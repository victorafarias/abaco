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Administrator\abaco\backend\target\classes\reports\planilhas\"/>
    </mc:Choice>
  </mc:AlternateContent>
  <xr:revisionPtr revIDLastSave="0" documentId="13_ncr:1_{1759192F-2322-4DF5-9E71-5989630AC5E8}" xr6:coauthVersionLast="47" xr6:coauthVersionMax="47" xr10:uidLastSave="{00000000-0000-0000-0000-000000000000}"/>
  <bookViews>
    <workbookView xWindow="8910" yWindow="2835" windowWidth="25335" windowHeight="15345" tabRatio="639" xr2:uid="{20F77622-3FD7-4A6C-80A6-09E7A3C46F17}"/>
  </bookViews>
  <sheets>
    <sheet name="Info Gerais" sheetId="1" r:id="rId1"/>
    <sheet name="Contagem_PF" sheetId="2" r:id="rId2"/>
    <sheet name="Relatório de Divergências FSW" sheetId="6" r:id="rId3"/>
    <sheet name="Deflatores" sheetId="3" r:id="rId4"/>
    <sheet name="Sumário 1" sheetId="4" r:id="rId5"/>
    <sheet name="Sumário 2" sheetId="5" r:id="rId6"/>
  </sheets>
  <definedNames>
    <definedName name="_xlnm._FilterDatabase" localSheetId="1" hidden="1">Contagem_PF!$O$1:$O$606</definedName>
    <definedName name="_xlnm._FilterDatabase" localSheetId="2" hidden="1">'Relatório de Divergências FSW'!$P$1:$P$606</definedName>
    <definedName name="_xlnm.Print_Area" localSheetId="1">Contagem_PF!$A$1:$AE$606</definedName>
    <definedName name="_xlnm.Print_Area" localSheetId="0">'Info Gerais'!$A$1:$V$45</definedName>
    <definedName name="_xlnm.Print_Area" localSheetId="2">'Relatório de Divergências FSW'!$A$1:$AE$606</definedName>
    <definedName name="TiposDeFuncao" localSheetId="1">Deflatores!$L$37:$L$64</definedName>
    <definedName name="TiposDeFuncao" localSheetId="2">Deflatores!$L$37:$L$64</definedName>
    <definedName name="TiposDeManutencao" localSheetId="1">Deflatores!$G$4:$G$38</definedName>
    <definedName name="TiposDeManutencao" localSheetId="2">Deflatores!$G$4:$G$38</definedName>
    <definedName name="_xlnm.Print_Titles" localSheetId="1">Contagem_PF!$1:$7</definedName>
    <definedName name="_xlnm.Print_Titles" localSheetId="2">'Relatório de Divergências FSW'!$1:$7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J9" i="2"/>
  <c r="M9" i="2" s="1"/>
  <c r="K9" i="2"/>
  <c r="I9" i="2" s="1"/>
  <c r="L9" i="2"/>
  <c r="N9" i="2"/>
  <c r="H10" i="2"/>
  <c r="J10" i="2"/>
  <c r="K10" i="2"/>
  <c r="I10" i="2" s="1"/>
  <c r="L10" i="2"/>
  <c r="N10" i="2"/>
  <c r="M10" i="2" s="1"/>
  <c r="H11" i="2"/>
  <c r="I11" i="2"/>
  <c r="J11" i="2"/>
  <c r="K11" i="2"/>
  <c r="L11" i="2"/>
  <c r="M11" i="2"/>
  <c r="N11" i="2"/>
  <c r="H12" i="2"/>
  <c r="I12" i="2"/>
  <c r="J12" i="2"/>
  <c r="K12" i="2"/>
  <c r="L12" i="2"/>
  <c r="M12" i="2"/>
  <c r="N12" i="2"/>
  <c r="H13" i="2"/>
  <c r="J13" i="2"/>
  <c r="M13" i="2" s="1"/>
  <c r="K13" i="2"/>
  <c r="I13" i="2" s="1"/>
  <c r="L13" i="2"/>
  <c r="N13" i="2"/>
  <c r="H14" i="2"/>
  <c r="J14" i="2"/>
  <c r="K14" i="2"/>
  <c r="I14" i="2" s="1"/>
  <c r="L14" i="2"/>
  <c r="M14" i="2"/>
  <c r="N14" i="2"/>
  <c r="H15" i="2"/>
  <c r="J15" i="2"/>
  <c r="K15" i="2"/>
  <c r="I15" i="2" s="1"/>
  <c r="L15" i="2"/>
  <c r="M15" i="2"/>
  <c r="N15" i="2"/>
  <c r="H16" i="2"/>
  <c r="I16" i="2"/>
  <c r="J16" i="2"/>
  <c r="K16" i="2"/>
  <c r="L16" i="2"/>
  <c r="M16" i="2"/>
  <c r="N16" i="2"/>
  <c r="H17" i="2"/>
  <c r="J17" i="2"/>
  <c r="M17" i="2" s="1"/>
  <c r="K17" i="2"/>
  <c r="I17" i="2" s="1"/>
  <c r="L17" i="2"/>
  <c r="N17" i="2"/>
  <c r="H18" i="2"/>
  <c r="J18" i="2"/>
  <c r="K18" i="2"/>
  <c r="I18" i="2" s="1"/>
  <c r="L18" i="2"/>
  <c r="M18" i="2"/>
  <c r="N18" i="2"/>
  <c r="H19" i="2"/>
  <c r="I19" i="2"/>
  <c r="J19" i="2"/>
  <c r="K19" i="2"/>
  <c r="L19" i="2"/>
  <c r="M19" i="2"/>
  <c r="N19" i="2"/>
  <c r="H20" i="2"/>
  <c r="I20" i="2"/>
  <c r="J20" i="2"/>
  <c r="M20" i="2" s="1"/>
  <c r="K20" i="2"/>
  <c r="L20" i="2"/>
  <c r="N20" i="2"/>
  <c r="H21" i="2"/>
  <c r="J21" i="2"/>
  <c r="M21" i="2" s="1"/>
  <c r="K21" i="2"/>
  <c r="I21" i="2" s="1"/>
  <c r="L21" i="2"/>
  <c r="N21" i="2"/>
  <c r="H22" i="2"/>
  <c r="J22" i="2"/>
  <c r="K22" i="2"/>
  <c r="I22" i="2" s="1"/>
  <c r="L22" i="2"/>
  <c r="M22" i="2"/>
  <c r="N22" i="2"/>
  <c r="H23" i="2"/>
  <c r="I23" i="2"/>
  <c r="J23" i="2"/>
  <c r="K23" i="2"/>
  <c r="L23" i="2"/>
  <c r="M23" i="2"/>
  <c r="N23" i="2"/>
  <c r="H24" i="2"/>
  <c r="I24" i="2"/>
  <c r="J24" i="2"/>
  <c r="K24" i="2"/>
  <c r="L24" i="2"/>
  <c r="N24" i="2"/>
  <c r="M24" i="2" s="1"/>
  <c r="H25" i="2"/>
  <c r="J25" i="2"/>
  <c r="M25" i="2" s="1"/>
  <c r="K25" i="2"/>
  <c r="I25" i="2" s="1"/>
  <c r="L25" i="2"/>
  <c r="N25" i="2"/>
  <c r="H26" i="2"/>
  <c r="J26" i="2"/>
  <c r="K26" i="2"/>
  <c r="I26" i="2" s="1"/>
  <c r="L26" i="2"/>
  <c r="N26" i="2"/>
  <c r="M26" i="2" s="1"/>
  <c r="H27" i="2"/>
  <c r="I27" i="2"/>
  <c r="J27" i="2"/>
  <c r="K27" i="2"/>
  <c r="L27" i="2"/>
  <c r="M27" i="2"/>
  <c r="N27" i="2"/>
  <c r="H28" i="2"/>
  <c r="I28" i="2"/>
  <c r="J28" i="2"/>
  <c r="K28" i="2"/>
  <c r="L28" i="2"/>
  <c r="M28" i="2"/>
  <c r="N28" i="2"/>
  <c r="H29" i="2"/>
  <c r="J29" i="2"/>
  <c r="M29" i="2" s="1"/>
  <c r="K29" i="2"/>
  <c r="I29" i="2" s="1"/>
  <c r="L29" i="2"/>
  <c r="N29" i="2"/>
  <c r="H30" i="2"/>
  <c r="J30" i="2"/>
  <c r="K30" i="2"/>
  <c r="I30" i="2" s="1"/>
  <c r="L30" i="2"/>
  <c r="M30" i="2"/>
  <c r="N30" i="2"/>
  <c r="H31" i="2"/>
  <c r="I31" i="2"/>
  <c r="J31" i="2"/>
  <c r="K31" i="2"/>
  <c r="L31" i="2"/>
  <c r="M31" i="2"/>
  <c r="N31" i="2"/>
  <c r="H32" i="2"/>
  <c r="I32" i="2"/>
  <c r="J32" i="2"/>
  <c r="K32" i="2"/>
  <c r="L32" i="2"/>
  <c r="M32" i="2"/>
  <c r="N32" i="2"/>
  <c r="H33" i="2"/>
  <c r="J33" i="2"/>
  <c r="M33" i="2" s="1"/>
  <c r="K33" i="2"/>
  <c r="I33" i="2" s="1"/>
  <c r="L33" i="2"/>
  <c r="N33" i="2"/>
  <c r="H34" i="2"/>
  <c r="J34" i="2"/>
  <c r="K34" i="2"/>
  <c r="I34" i="2" s="1"/>
  <c r="L34" i="2"/>
  <c r="M34" i="2"/>
  <c r="N34" i="2"/>
  <c r="H35" i="2"/>
  <c r="I35" i="2"/>
  <c r="J35" i="2"/>
  <c r="K35" i="2"/>
  <c r="L35" i="2"/>
  <c r="N35" i="2"/>
  <c r="M35" i="2" s="1"/>
  <c r="H36" i="2"/>
  <c r="I36" i="2"/>
  <c r="J36" i="2"/>
  <c r="M36" i="2" s="1"/>
  <c r="K36" i="2"/>
  <c r="L36" i="2"/>
  <c r="N36" i="2"/>
  <c r="H37" i="2"/>
  <c r="J37" i="2"/>
  <c r="M37" i="2" s="1"/>
  <c r="K37" i="2"/>
  <c r="I37" i="2" s="1"/>
  <c r="L37" i="2"/>
  <c r="N37" i="2"/>
  <c r="H38" i="2"/>
  <c r="J38" i="2"/>
  <c r="K38" i="2"/>
  <c r="I38" i="2" s="1"/>
  <c r="L38" i="2"/>
  <c r="M38" i="2"/>
  <c r="N38" i="2"/>
  <c r="H39" i="2"/>
  <c r="I39" i="2"/>
  <c r="J39" i="2"/>
  <c r="K39" i="2"/>
  <c r="L39" i="2"/>
  <c r="M39" i="2"/>
  <c r="N39" i="2"/>
  <c r="H40" i="2"/>
  <c r="J40" i="2"/>
  <c r="K40" i="2"/>
  <c r="I40" i="2" s="1"/>
  <c r="L40" i="2"/>
  <c r="N40" i="2"/>
  <c r="M40" i="2" s="1"/>
  <c r="H41" i="2"/>
  <c r="J41" i="2"/>
  <c r="M41" i="2" s="1"/>
  <c r="K41" i="2"/>
  <c r="I41" i="2" s="1"/>
  <c r="L41" i="2"/>
  <c r="N41" i="2"/>
  <c r="H42" i="2"/>
  <c r="J42" i="2"/>
  <c r="K42" i="2"/>
  <c r="I42" i="2" s="1"/>
  <c r="L42" i="2"/>
  <c r="M42" i="2"/>
  <c r="N42" i="2"/>
  <c r="H43" i="2"/>
  <c r="I43" i="2"/>
  <c r="J43" i="2"/>
  <c r="K43" i="2"/>
  <c r="L43" i="2"/>
  <c r="M43" i="2"/>
  <c r="N43" i="2"/>
  <c r="H44" i="2"/>
  <c r="I44" i="2"/>
  <c r="J44" i="2"/>
  <c r="K44" i="2"/>
  <c r="L44" i="2"/>
  <c r="M44" i="2"/>
  <c r="N44" i="2"/>
  <c r="H45" i="2"/>
  <c r="J45" i="2"/>
  <c r="M45" i="2" s="1"/>
  <c r="K45" i="2"/>
  <c r="I45" i="2" s="1"/>
  <c r="L45" i="2"/>
  <c r="N45" i="2"/>
  <c r="H46" i="2"/>
  <c r="J46" i="2"/>
  <c r="K46" i="2"/>
  <c r="I46" i="2" s="1"/>
  <c r="L46" i="2"/>
  <c r="N46" i="2"/>
  <c r="M46" i="2" s="1"/>
  <c r="H47" i="2"/>
  <c r="I47" i="2"/>
  <c r="J47" i="2"/>
  <c r="K47" i="2"/>
  <c r="L47" i="2"/>
  <c r="M47" i="2"/>
  <c r="N47" i="2"/>
  <c r="H48" i="2"/>
  <c r="I48" i="2"/>
  <c r="J48" i="2"/>
  <c r="K48" i="2"/>
  <c r="L48" i="2"/>
  <c r="M48" i="2"/>
  <c r="N48" i="2"/>
  <c r="H49" i="2"/>
  <c r="J49" i="2"/>
  <c r="M49" i="2" s="1"/>
  <c r="K49" i="2"/>
  <c r="I49" i="2" s="1"/>
  <c r="L49" i="2"/>
  <c r="N49" i="2"/>
  <c r="H50" i="2"/>
  <c r="J50" i="2"/>
  <c r="K50" i="2"/>
  <c r="I50" i="2" s="1"/>
  <c r="L50" i="2"/>
  <c r="M50" i="2"/>
  <c r="N50" i="2"/>
  <c r="H51" i="2"/>
  <c r="I51" i="2"/>
  <c r="J51" i="2"/>
  <c r="K51" i="2"/>
  <c r="L51" i="2"/>
  <c r="N51" i="2"/>
  <c r="M51" i="2" s="1"/>
  <c r="H52" i="2"/>
  <c r="I52" i="2"/>
  <c r="J52" i="2"/>
  <c r="M52" i="2" s="1"/>
  <c r="K52" i="2"/>
  <c r="L52" i="2"/>
  <c r="N52" i="2"/>
  <c r="H53" i="2"/>
  <c r="J53" i="2"/>
  <c r="M53" i="2" s="1"/>
  <c r="K53" i="2"/>
  <c r="I53" i="2" s="1"/>
  <c r="L53" i="2"/>
  <c r="N53" i="2"/>
  <c r="H54" i="2"/>
  <c r="J54" i="2"/>
  <c r="K54" i="2"/>
  <c r="I54" i="2" s="1"/>
  <c r="L54" i="2"/>
  <c r="M54" i="2"/>
  <c r="N54" i="2"/>
  <c r="H55" i="2"/>
  <c r="I55" i="2"/>
  <c r="J55" i="2"/>
  <c r="M55" i="2" s="1"/>
  <c r="K55" i="2"/>
  <c r="L55" i="2"/>
  <c r="N55" i="2"/>
  <c r="H56" i="2"/>
  <c r="J56" i="2"/>
  <c r="K56" i="2"/>
  <c r="I56" i="2" s="1"/>
  <c r="L56" i="2"/>
  <c r="N56" i="2"/>
  <c r="M56" i="2" s="1"/>
  <c r="H57" i="2"/>
  <c r="J57" i="2"/>
  <c r="M57" i="2" s="1"/>
  <c r="K57" i="2"/>
  <c r="I57" i="2" s="1"/>
  <c r="L57" i="2"/>
  <c r="N57" i="2"/>
  <c r="H58" i="2"/>
  <c r="J58" i="2"/>
  <c r="K58" i="2"/>
  <c r="I58" i="2" s="1"/>
  <c r="L58" i="2"/>
  <c r="M58" i="2"/>
  <c r="N58" i="2"/>
  <c r="H59" i="2"/>
  <c r="I59" i="2"/>
  <c r="J59" i="2"/>
  <c r="K59" i="2"/>
  <c r="L59" i="2"/>
  <c r="M59" i="2"/>
  <c r="N59" i="2"/>
  <c r="H60" i="2"/>
  <c r="I60" i="2"/>
  <c r="J60" i="2"/>
  <c r="K60" i="2"/>
  <c r="L60" i="2"/>
  <c r="M60" i="2"/>
  <c r="N60" i="2"/>
  <c r="H61" i="2"/>
  <c r="J61" i="2"/>
  <c r="M61" i="2" s="1"/>
  <c r="K61" i="2"/>
  <c r="I61" i="2" s="1"/>
  <c r="L61" i="2"/>
  <c r="N61" i="2"/>
  <c r="H62" i="2"/>
  <c r="J62" i="2"/>
  <c r="K62" i="2"/>
  <c r="I62" i="2" s="1"/>
  <c r="L62" i="2"/>
  <c r="N62" i="2"/>
  <c r="M62" i="2" s="1"/>
  <c r="H63" i="2"/>
  <c r="I63" i="2"/>
  <c r="J63" i="2"/>
  <c r="K63" i="2"/>
  <c r="L63" i="2"/>
  <c r="M63" i="2"/>
  <c r="N63" i="2"/>
  <c r="H64" i="2"/>
  <c r="I64" i="2"/>
  <c r="J64" i="2"/>
  <c r="M64" i="2" s="1"/>
  <c r="K64" i="2"/>
  <c r="L64" i="2"/>
  <c r="N64" i="2"/>
  <c r="H65" i="2"/>
  <c r="J65" i="2"/>
  <c r="M65" i="2" s="1"/>
  <c r="K65" i="2"/>
  <c r="I65" i="2" s="1"/>
  <c r="L65" i="2"/>
  <c r="N65" i="2"/>
  <c r="H66" i="2"/>
  <c r="J66" i="2"/>
  <c r="K66" i="2"/>
  <c r="I66" i="2" s="1"/>
  <c r="L66" i="2"/>
  <c r="M66" i="2"/>
  <c r="N66" i="2"/>
  <c r="H67" i="2"/>
  <c r="I67" i="2"/>
  <c r="J67" i="2"/>
  <c r="K67" i="2"/>
  <c r="L67" i="2"/>
  <c r="N67" i="2"/>
  <c r="M67" i="2" s="1"/>
  <c r="H68" i="2"/>
  <c r="I68" i="2"/>
  <c r="J68" i="2"/>
  <c r="M68" i="2" s="1"/>
  <c r="K68" i="2"/>
  <c r="L68" i="2"/>
  <c r="N68" i="2"/>
  <c r="H69" i="2"/>
  <c r="J69" i="2"/>
  <c r="M69" i="2" s="1"/>
  <c r="K69" i="2"/>
  <c r="I69" i="2" s="1"/>
  <c r="L69" i="2"/>
  <c r="N69" i="2"/>
  <c r="H70" i="2"/>
  <c r="J70" i="2"/>
  <c r="K70" i="2"/>
  <c r="I70" i="2" s="1"/>
  <c r="L70" i="2"/>
  <c r="M70" i="2"/>
  <c r="N70" i="2"/>
  <c r="H71" i="2"/>
  <c r="I71" i="2"/>
  <c r="J71" i="2"/>
  <c r="M71" i="2" s="1"/>
  <c r="K71" i="2"/>
  <c r="L71" i="2"/>
  <c r="N71" i="2"/>
  <c r="H72" i="2"/>
  <c r="J72" i="2"/>
  <c r="K72" i="2"/>
  <c r="I72" i="2" s="1"/>
  <c r="L72" i="2"/>
  <c r="N72" i="2"/>
  <c r="M72" i="2" s="1"/>
  <c r="H73" i="2"/>
  <c r="J73" i="2"/>
  <c r="M73" i="2" s="1"/>
  <c r="K73" i="2"/>
  <c r="I73" i="2" s="1"/>
  <c r="L73" i="2"/>
  <c r="N73" i="2"/>
  <c r="H74" i="2"/>
  <c r="J74" i="2"/>
  <c r="K74" i="2"/>
  <c r="I74" i="2" s="1"/>
  <c r="L74" i="2"/>
  <c r="M74" i="2"/>
  <c r="N74" i="2"/>
  <c r="H75" i="2"/>
  <c r="I75" i="2"/>
  <c r="J75" i="2"/>
  <c r="K75" i="2"/>
  <c r="L75" i="2"/>
  <c r="M75" i="2"/>
  <c r="N75" i="2"/>
  <c r="H76" i="2"/>
  <c r="I76" i="2"/>
  <c r="J76" i="2"/>
  <c r="K76" i="2"/>
  <c r="L76" i="2"/>
  <c r="M76" i="2"/>
  <c r="N76" i="2"/>
  <c r="H77" i="2"/>
  <c r="J77" i="2"/>
  <c r="M77" i="2" s="1"/>
  <c r="K77" i="2"/>
  <c r="I77" i="2" s="1"/>
  <c r="L77" i="2"/>
  <c r="N77" i="2"/>
  <c r="H78" i="2"/>
  <c r="J78" i="2"/>
  <c r="K78" i="2"/>
  <c r="I78" i="2" s="1"/>
  <c r="L78" i="2"/>
  <c r="N78" i="2"/>
  <c r="M78" i="2" s="1"/>
  <c r="H79" i="2"/>
  <c r="I79" i="2"/>
  <c r="J79" i="2"/>
  <c r="K79" i="2"/>
  <c r="L79" i="2"/>
  <c r="M79" i="2"/>
  <c r="N79" i="2"/>
  <c r="H80" i="2"/>
  <c r="I80" i="2"/>
  <c r="J80" i="2"/>
  <c r="M80" i="2" s="1"/>
  <c r="K80" i="2"/>
  <c r="L80" i="2"/>
  <c r="N80" i="2"/>
  <c r="H81" i="2"/>
  <c r="J81" i="2"/>
  <c r="M81" i="2" s="1"/>
  <c r="K81" i="2"/>
  <c r="I81" i="2" s="1"/>
  <c r="L81" i="2"/>
  <c r="N81" i="2"/>
  <c r="H82" i="2"/>
  <c r="J82" i="2"/>
  <c r="K82" i="2"/>
  <c r="I82" i="2" s="1"/>
  <c r="L82" i="2"/>
  <c r="M82" i="2"/>
  <c r="N82" i="2"/>
  <c r="H83" i="2"/>
  <c r="I83" i="2"/>
  <c r="J83" i="2"/>
  <c r="K83" i="2"/>
  <c r="L83" i="2"/>
  <c r="N83" i="2"/>
  <c r="M83" i="2" s="1"/>
  <c r="H84" i="2"/>
  <c r="I84" i="2"/>
  <c r="J84" i="2"/>
  <c r="M84" i="2" s="1"/>
  <c r="K84" i="2"/>
  <c r="L84" i="2"/>
  <c r="N84" i="2"/>
  <c r="H85" i="2"/>
  <c r="J85" i="2"/>
  <c r="M85" i="2" s="1"/>
  <c r="K85" i="2"/>
  <c r="I85" i="2" s="1"/>
  <c r="L85" i="2"/>
  <c r="N85" i="2"/>
  <c r="H86" i="2"/>
  <c r="J86" i="2"/>
  <c r="K86" i="2"/>
  <c r="I86" i="2" s="1"/>
  <c r="L86" i="2"/>
  <c r="N86" i="2"/>
  <c r="M86" i="2" s="1"/>
  <c r="H87" i="2"/>
  <c r="I87" i="2"/>
  <c r="J87" i="2"/>
  <c r="M87" i="2" s="1"/>
  <c r="K87" i="2"/>
  <c r="L87" i="2"/>
  <c r="N87" i="2"/>
  <c r="H88" i="2"/>
  <c r="J88" i="2"/>
  <c r="K88" i="2"/>
  <c r="I88" i="2" s="1"/>
  <c r="L88" i="2"/>
  <c r="N88" i="2"/>
  <c r="M88" i="2" s="1"/>
  <c r="H89" i="2"/>
  <c r="J89" i="2"/>
  <c r="M89" i="2" s="1"/>
  <c r="K89" i="2"/>
  <c r="I89" i="2" s="1"/>
  <c r="L89" i="2"/>
  <c r="N89" i="2"/>
  <c r="H90" i="2"/>
  <c r="J90" i="2"/>
  <c r="K90" i="2"/>
  <c r="I90" i="2" s="1"/>
  <c r="L90" i="2"/>
  <c r="M90" i="2"/>
  <c r="N90" i="2"/>
  <c r="H91" i="2"/>
  <c r="I91" i="2"/>
  <c r="J91" i="2"/>
  <c r="K91" i="2"/>
  <c r="L91" i="2"/>
  <c r="M91" i="2"/>
  <c r="N91" i="2"/>
  <c r="H92" i="2"/>
  <c r="I92" i="2"/>
  <c r="J92" i="2"/>
  <c r="K92" i="2"/>
  <c r="L92" i="2"/>
  <c r="M92" i="2"/>
  <c r="N92" i="2"/>
  <c r="H93" i="2"/>
  <c r="J93" i="2"/>
  <c r="M93" i="2" s="1"/>
  <c r="K93" i="2"/>
  <c r="I93" i="2" s="1"/>
  <c r="L93" i="2"/>
  <c r="N93" i="2"/>
  <c r="H94" i="2"/>
  <c r="J94" i="2"/>
  <c r="M94" i="2" s="1"/>
  <c r="K94" i="2"/>
  <c r="I94" i="2" s="1"/>
  <c r="L94" i="2"/>
  <c r="N94" i="2"/>
  <c r="H95" i="2"/>
  <c r="I95" i="2"/>
  <c r="J95" i="2"/>
  <c r="K95" i="2"/>
  <c r="L95" i="2"/>
  <c r="M95" i="2"/>
  <c r="N95" i="2"/>
  <c r="H96" i="2"/>
  <c r="I96" i="2"/>
  <c r="J96" i="2"/>
  <c r="M96" i="2" s="1"/>
  <c r="K96" i="2"/>
  <c r="L96" i="2"/>
  <c r="N96" i="2"/>
  <c r="H97" i="2"/>
  <c r="J97" i="2"/>
  <c r="M97" i="2" s="1"/>
  <c r="K97" i="2"/>
  <c r="I97" i="2" s="1"/>
  <c r="L97" i="2"/>
  <c r="N97" i="2"/>
  <c r="H98" i="2"/>
  <c r="J98" i="2"/>
  <c r="K98" i="2"/>
  <c r="I98" i="2" s="1"/>
  <c r="L98" i="2"/>
  <c r="M98" i="2"/>
  <c r="N98" i="2"/>
  <c r="H99" i="2"/>
  <c r="I99" i="2"/>
  <c r="J99" i="2"/>
  <c r="K99" i="2"/>
  <c r="L99" i="2"/>
  <c r="N99" i="2"/>
  <c r="M99" i="2" s="1"/>
  <c r="H100" i="2"/>
  <c r="I100" i="2"/>
  <c r="J100" i="2"/>
  <c r="M100" i="2" s="1"/>
  <c r="K100" i="2"/>
  <c r="L100" i="2"/>
  <c r="N100" i="2"/>
  <c r="H101" i="2"/>
  <c r="J101" i="2"/>
  <c r="M101" i="2" s="1"/>
  <c r="K101" i="2"/>
  <c r="I101" i="2" s="1"/>
  <c r="L101" i="2"/>
  <c r="N101" i="2"/>
  <c r="H102" i="2"/>
  <c r="J102" i="2"/>
  <c r="K102" i="2"/>
  <c r="I102" i="2" s="1"/>
  <c r="L102" i="2"/>
  <c r="N102" i="2"/>
  <c r="M102" i="2" s="1"/>
  <c r="H103" i="2"/>
  <c r="I103" i="2"/>
  <c r="J103" i="2"/>
  <c r="M103" i="2" s="1"/>
  <c r="K103" i="2"/>
  <c r="L103" i="2"/>
  <c r="N103" i="2"/>
  <c r="H104" i="2"/>
  <c r="J104" i="2"/>
  <c r="K104" i="2"/>
  <c r="I104" i="2" s="1"/>
  <c r="L104" i="2"/>
  <c r="N104" i="2"/>
  <c r="M104" i="2" s="1"/>
  <c r="H105" i="2"/>
  <c r="J105" i="2"/>
  <c r="M105" i="2" s="1"/>
  <c r="K105" i="2"/>
  <c r="I105" i="2" s="1"/>
  <c r="L105" i="2"/>
  <c r="N105" i="2"/>
  <c r="H106" i="2"/>
  <c r="J106" i="2"/>
  <c r="K106" i="2"/>
  <c r="I106" i="2" s="1"/>
  <c r="L106" i="2"/>
  <c r="M106" i="2"/>
  <c r="N106" i="2"/>
  <c r="H107" i="2"/>
  <c r="I107" i="2"/>
  <c r="J107" i="2"/>
  <c r="K107" i="2"/>
  <c r="L107" i="2"/>
  <c r="M107" i="2"/>
  <c r="N107" i="2"/>
  <c r="H108" i="2"/>
  <c r="I108" i="2"/>
  <c r="J108" i="2"/>
  <c r="K108" i="2"/>
  <c r="L108" i="2"/>
  <c r="M108" i="2"/>
  <c r="N108" i="2"/>
  <c r="H109" i="2"/>
  <c r="J109" i="2"/>
  <c r="M109" i="2" s="1"/>
  <c r="K109" i="2"/>
  <c r="I109" i="2" s="1"/>
  <c r="L109" i="2"/>
  <c r="N109" i="2"/>
  <c r="H110" i="2"/>
  <c r="J110" i="2"/>
  <c r="M110" i="2" s="1"/>
  <c r="K110" i="2"/>
  <c r="I110" i="2" s="1"/>
  <c r="L110" i="2"/>
  <c r="N110" i="2"/>
  <c r="H111" i="2"/>
  <c r="I111" i="2"/>
  <c r="J111" i="2"/>
  <c r="K111" i="2"/>
  <c r="L111" i="2"/>
  <c r="M111" i="2"/>
  <c r="N111" i="2"/>
  <c r="H112" i="2"/>
  <c r="I112" i="2"/>
  <c r="J112" i="2"/>
  <c r="M112" i="2" s="1"/>
  <c r="K112" i="2"/>
  <c r="L112" i="2"/>
  <c r="N112" i="2"/>
  <c r="H113" i="2"/>
  <c r="J113" i="2"/>
  <c r="M113" i="2" s="1"/>
  <c r="K113" i="2"/>
  <c r="I113" i="2" s="1"/>
  <c r="L113" i="2"/>
  <c r="N113" i="2"/>
  <c r="H114" i="2"/>
  <c r="J114" i="2"/>
  <c r="K114" i="2"/>
  <c r="I114" i="2" s="1"/>
  <c r="L114" i="2"/>
  <c r="M114" i="2"/>
  <c r="N114" i="2"/>
  <c r="H115" i="2"/>
  <c r="I115" i="2"/>
  <c r="J115" i="2"/>
  <c r="K115" i="2"/>
  <c r="L115" i="2"/>
  <c r="N115" i="2"/>
  <c r="M115" i="2" s="1"/>
  <c r="H116" i="2"/>
  <c r="I116" i="2"/>
  <c r="J116" i="2"/>
  <c r="M116" i="2" s="1"/>
  <c r="K116" i="2"/>
  <c r="L116" i="2"/>
  <c r="N116" i="2"/>
  <c r="H117" i="2"/>
  <c r="J117" i="2"/>
  <c r="M117" i="2" s="1"/>
  <c r="K117" i="2"/>
  <c r="I117" i="2" s="1"/>
  <c r="L117" i="2"/>
  <c r="N117" i="2"/>
  <c r="H118" i="2"/>
  <c r="J118" i="2"/>
  <c r="K118" i="2"/>
  <c r="I118" i="2" s="1"/>
  <c r="L118" i="2"/>
  <c r="N118" i="2"/>
  <c r="M118" i="2" s="1"/>
  <c r="H119" i="2"/>
  <c r="I119" i="2"/>
  <c r="J119" i="2"/>
  <c r="M119" i="2" s="1"/>
  <c r="K119" i="2"/>
  <c r="L119" i="2"/>
  <c r="N119" i="2"/>
  <c r="H120" i="2"/>
  <c r="J120" i="2"/>
  <c r="K120" i="2"/>
  <c r="I120" i="2" s="1"/>
  <c r="L120" i="2"/>
  <c r="N120" i="2"/>
  <c r="M120" i="2" s="1"/>
  <c r="H121" i="2"/>
  <c r="J121" i="2"/>
  <c r="M121" i="2" s="1"/>
  <c r="K121" i="2"/>
  <c r="I121" i="2" s="1"/>
  <c r="L121" i="2"/>
  <c r="N121" i="2"/>
  <c r="H122" i="2"/>
  <c r="J122" i="2"/>
  <c r="K122" i="2"/>
  <c r="I122" i="2" s="1"/>
  <c r="L122" i="2"/>
  <c r="M122" i="2"/>
  <c r="N122" i="2"/>
  <c r="H123" i="2"/>
  <c r="I123" i="2"/>
  <c r="J123" i="2"/>
  <c r="K123" i="2"/>
  <c r="L123" i="2"/>
  <c r="M123" i="2"/>
  <c r="N123" i="2"/>
  <c r="H124" i="2"/>
  <c r="I124" i="2"/>
  <c r="J124" i="2"/>
  <c r="K124" i="2"/>
  <c r="L124" i="2"/>
  <c r="M124" i="2"/>
  <c r="N124" i="2"/>
  <c r="H125" i="2"/>
  <c r="J125" i="2"/>
  <c r="M125" i="2" s="1"/>
  <c r="K125" i="2"/>
  <c r="I125" i="2" s="1"/>
  <c r="L125" i="2"/>
  <c r="N125" i="2"/>
  <c r="H126" i="2"/>
  <c r="J126" i="2"/>
  <c r="M126" i="2" s="1"/>
  <c r="K126" i="2"/>
  <c r="I126" i="2" s="1"/>
  <c r="L126" i="2"/>
  <c r="N126" i="2"/>
  <c r="H127" i="2"/>
  <c r="I127" i="2"/>
  <c r="J127" i="2"/>
  <c r="K127" i="2"/>
  <c r="L127" i="2"/>
  <c r="M127" i="2"/>
  <c r="N127" i="2"/>
  <c r="H128" i="2"/>
  <c r="I128" i="2"/>
  <c r="J128" i="2"/>
  <c r="M128" i="2" s="1"/>
  <c r="K128" i="2"/>
  <c r="L128" i="2"/>
  <c r="N128" i="2"/>
  <c r="H129" i="2"/>
  <c r="J129" i="2"/>
  <c r="M129" i="2" s="1"/>
  <c r="K129" i="2"/>
  <c r="I129" i="2" s="1"/>
  <c r="L129" i="2"/>
  <c r="N129" i="2"/>
  <c r="H130" i="2"/>
  <c r="J130" i="2"/>
  <c r="K130" i="2"/>
  <c r="I130" i="2" s="1"/>
  <c r="L130" i="2"/>
  <c r="M130" i="2"/>
  <c r="N130" i="2"/>
  <c r="H131" i="2"/>
  <c r="I131" i="2"/>
  <c r="J131" i="2"/>
  <c r="K131" i="2"/>
  <c r="L131" i="2"/>
  <c r="N131" i="2"/>
  <c r="M131" i="2" s="1"/>
  <c r="H132" i="2"/>
  <c r="I132" i="2"/>
  <c r="J132" i="2"/>
  <c r="M132" i="2" s="1"/>
  <c r="K132" i="2"/>
  <c r="L132" i="2"/>
  <c r="N132" i="2"/>
  <c r="H133" i="2"/>
  <c r="J133" i="2"/>
  <c r="M133" i="2" s="1"/>
  <c r="K133" i="2"/>
  <c r="I133" i="2" s="1"/>
  <c r="L133" i="2"/>
  <c r="N133" i="2"/>
  <c r="H134" i="2"/>
  <c r="J134" i="2"/>
  <c r="M134" i="2" s="1"/>
  <c r="K134" i="2"/>
  <c r="I134" i="2" s="1"/>
  <c r="L134" i="2"/>
  <c r="N134" i="2"/>
  <c r="H135" i="2"/>
  <c r="I135" i="2"/>
  <c r="J135" i="2"/>
  <c r="M135" i="2" s="1"/>
  <c r="K135" i="2"/>
  <c r="L135" i="2"/>
  <c r="N135" i="2"/>
  <c r="H136" i="2"/>
  <c r="J136" i="2"/>
  <c r="K136" i="2"/>
  <c r="I136" i="2" s="1"/>
  <c r="L136" i="2"/>
  <c r="N136" i="2"/>
  <c r="M136" i="2" s="1"/>
  <c r="H137" i="2"/>
  <c r="J137" i="2"/>
  <c r="M137" i="2" s="1"/>
  <c r="K137" i="2"/>
  <c r="I137" i="2" s="1"/>
  <c r="L137" i="2"/>
  <c r="N137" i="2"/>
  <c r="H138" i="2"/>
  <c r="J138" i="2"/>
  <c r="K138" i="2"/>
  <c r="I138" i="2" s="1"/>
  <c r="L138" i="2"/>
  <c r="M138" i="2"/>
  <c r="N138" i="2"/>
  <c r="H139" i="2"/>
  <c r="I139" i="2"/>
  <c r="J139" i="2"/>
  <c r="K139" i="2"/>
  <c r="L139" i="2"/>
  <c r="M139" i="2"/>
  <c r="N139" i="2"/>
  <c r="H140" i="2"/>
  <c r="I140" i="2"/>
  <c r="J140" i="2"/>
  <c r="K140" i="2"/>
  <c r="L140" i="2"/>
  <c r="M140" i="2"/>
  <c r="N140" i="2"/>
  <c r="H141" i="2"/>
  <c r="J141" i="2"/>
  <c r="M141" i="2" s="1"/>
  <c r="K141" i="2"/>
  <c r="I141" i="2" s="1"/>
  <c r="L141" i="2"/>
  <c r="N141" i="2"/>
  <c r="H142" i="2"/>
  <c r="J142" i="2"/>
  <c r="M142" i="2" s="1"/>
  <c r="K142" i="2"/>
  <c r="I142" i="2" s="1"/>
  <c r="L142" i="2"/>
  <c r="N142" i="2"/>
  <c r="H143" i="2"/>
  <c r="I143" i="2"/>
  <c r="J143" i="2"/>
  <c r="K143" i="2"/>
  <c r="L143" i="2"/>
  <c r="M143" i="2"/>
  <c r="N143" i="2"/>
  <c r="H144" i="2"/>
  <c r="I144" i="2"/>
  <c r="J144" i="2"/>
  <c r="M144" i="2" s="1"/>
  <c r="K144" i="2"/>
  <c r="L144" i="2"/>
  <c r="N144" i="2"/>
  <c r="H145" i="2"/>
  <c r="J145" i="2"/>
  <c r="M145" i="2" s="1"/>
  <c r="K145" i="2"/>
  <c r="I145" i="2" s="1"/>
  <c r="L145" i="2"/>
  <c r="N145" i="2"/>
  <c r="H146" i="2"/>
  <c r="J146" i="2"/>
  <c r="K146" i="2"/>
  <c r="I146" i="2" s="1"/>
  <c r="L146" i="2"/>
  <c r="M146" i="2"/>
  <c r="N146" i="2"/>
  <c r="H147" i="2"/>
  <c r="I147" i="2"/>
  <c r="J147" i="2"/>
  <c r="K147" i="2"/>
  <c r="L147" i="2"/>
  <c r="N147" i="2"/>
  <c r="M147" i="2" s="1"/>
  <c r="H148" i="2"/>
  <c r="I148" i="2"/>
  <c r="J148" i="2"/>
  <c r="M148" i="2" s="1"/>
  <c r="K148" i="2"/>
  <c r="L148" i="2"/>
  <c r="N148" i="2"/>
  <c r="H149" i="2"/>
  <c r="J149" i="2"/>
  <c r="M149" i="2" s="1"/>
  <c r="K149" i="2"/>
  <c r="I149" i="2" s="1"/>
  <c r="L149" i="2"/>
  <c r="N149" i="2"/>
  <c r="H150" i="2"/>
  <c r="J150" i="2"/>
  <c r="M150" i="2" s="1"/>
  <c r="K150" i="2"/>
  <c r="I150" i="2" s="1"/>
  <c r="L150" i="2"/>
  <c r="N150" i="2"/>
  <c r="H151" i="2"/>
  <c r="I151" i="2"/>
  <c r="J151" i="2"/>
  <c r="M151" i="2" s="1"/>
  <c r="K151" i="2"/>
  <c r="L151" i="2"/>
  <c r="N151" i="2"/>
  <c r="H152" i="2"/>
  <c r="J152" i="2"/>
  <c r="K152" i="2"/>
  <c r="I152" i="2" s="1"/>
  <c r="L152" i="2"/>
  <c r="N152" i="2"/>
  <c r="M152" i="2" s="1"/>
  <c r="H153" i="2"/>
  <c r="J153" i="2"/>
  <c r="M153" i="2" s="1"/>
  <c r="K153" i="2"/>
  <c r="I153" i="2" s="1"/>
  <c r="L153" i="2"/>
  <c r="N153" i="2"/>
  <c r="H154" i="2"/>
  <c r="J154" i="2"/>
  <c r="K154" i="2"/>
  <c r="I154" i="2" s="1"/>
  <c r="L154" i="2"/>
  <c r="M154" i="2"/>
  <c r="N154" i="2"/>
  <c r="H155" i="2"/>
  <c r="I155" i="2"/>
  <c r="J155" i="2"/>
  <c r="K155" i="2"/>
  <c r="L155" i="2"/>
  <c r="M155" i="2"/>
  <c r="N155" i="2"/>
  <c r="H156" i="2"/>
  <c r="I156" i="2"/>
  <c r="J156" i="2"/>
  <c r="K156" i="2"/>
  <c r="L156" i="2"/>
  <c r="M156" i="2"/>
  <c r="N156" i="2"/>
  <c r="H157" i="2"/>
  <c r="J157" i="2"/>
  <c r="M157" i="2" s="1"/>
  <c r="K157" i="2"/>
  <c r="I157" i="2" s="1"/>
  <c r="L157" i="2"/>
  <c r="N157" i="2"/>
  <c r="H158" i="2"/>
  <c r="J158" i="2"/>
  <c r="M158" i="2" s="1"/>
  <c r="K158" i="2"/>
  <c r="I158" i="2" s="1"/>
  <c r="L158" i="2"/>
  <c r="N158" i="2"/>
  <c r="H159" i="2"/>
  <c r="I159" i="2"/>
  <c r="J159" i="2"/>
  <c r="K159" i="2"/>
  <c r="L159" i="2"/>
  <c r="M159" i="2"/>
  <c r="N159" i="2"/>
  <c r="H160" i="2"/>
  <c r="I160" i="2"/>
  <c r="J160" i="2"/>
  <c r="M160" i="2" s="1"/>
  <c r="K160" i="2"/>
  <c r="L160" i="2"/>
  <c r="N160" i="2"/>
  <c r="H161" i="2"/>
  <c r="J161" i="2"/>
  <c r="M161" i="2" s="1"/>
  <c r="K161" i="2"/>
  <c r="I161" i="2" s="1"/>
  <c r="L161" i="2"/>
  <c r="N161" i="2"/>
  <c r="H162" i="2"/>
  <c r="J162" i="2"/>
  <c r="K162" i="2"/>
  <c r="I162" i="2" s="1"/>
  <c r="L162" i="2"/>
  <c r="M162" i="2"/>
  <c r="N162" i="2"/>
  <c r="H163" i="2"/>
  <c r="I163" i="2"/>
  <c r="J163" i="2"/>
  <c r="K163" i="2"/>
  <c r="L163" i="2"/>
  <c r="N163" i="2"/>
  <c r="M163" i="2" s="1"/>
  <c r="H164" i="2"/>
  <c r="I164" i="2"/>
  <c r="J164" i="2"/>
  <c r="M164" i="2" s="1"/>
  <c r="K164" i="2"/>
  <c r="L164" i="2"/>
  <c r="N164" i="2"/>
  <c r="H165" i="2"/>
  <c r="J165" i="2"/>
  <c r="M165" i="2" s="1"/>
  <c r="K165" i="2"/>
  <c r="I165" i="2" s="1"/>
  <c r="L165" i="2"/>
  <c r="N165" i="2"/>
  <c r="H166" i="2"/>
  <c r="J166" i="2"/>
  <c r="M166" i="2" s="1"/>
  <c r="K166" i="2"/>
  <c r="I166" i="2" s="1"/>
  <c r="L166" i="2"/>
  <c r="N166" i="2"/>
  <c r="H167" i="2"/>
  <c r="I167" i="2"/>
  <c r="J167" i="2"/>
  <c r="M167" i="2" s="1"/>
  <c r="K167" i="2"/>
  <c r="L167" i="2"/>
  <c r="N167" i="2"/>
  <c r="H168" i="2"/>
  <c r="J168" i="2"/>
  <c r="K168" i="2"/>
  <c r="I168" i="2" s="1"/>
  <c r="L168" i="2"/>
  <c r="N168" i="2"/>
  <c r="M168" i="2" s="1"/>
  <c r="H169" i="2"/>
  <c r="J169" i="2"/>
  <c r="M169" i="2" s="1"/>
  <c r="K169" i="2"/>
  <c r="I169" i="2" s="1"/>
  <c r="L169" i="2"/>
  <c r="N169" i="2"/>
  <c r="H170" i="2"/>
  <c r="J170" i="2"/>
  <c r="K170" i="2"/>
  <c r="I170" i="2" s="1"/>
  <c r="L170" i="2"/>
  <c r="M170" i="2"/>
  <c r="N170" i="2"/>
  <c r="H171" i="2"/>
  <c r="I171" i="2"/>
  <c r="J171" i="2"/>
  <c r="K171" i="2"/>
  <c r="L171" i="2"/>
  <c r="M171" i="2"/>
  <c r="N171" i="2"/>
  <c r="H172" i="2"/>
  <c r="I172" i="2"/>
  <c r="J172" i="2"/>
  <c r="K172" i="2"/>
  <c r="L172" i="2"/>
  <c r="M172" i="2"/>
  <c r="N172" i="2"/>
  <c r="H173" i="2"/>
  <c r="J173" i="2"/>
  <c r="M173" i="2" s="1"/>
  <c r="K173" i="2"/>
  <c r="I173" i="2" s="1"/>
  <c r="L173" i="2"/>
  <c r="N173" i="2"/>
  <c r="H174" i="2"/>
  <c r="J174" i="2"/>
  <c r="M174" i="2" s="1"/>
  <c r="K174" i="2"/>
  <c r="I174" i="2" s="1"/>
  <c r="L174" i="2"/>
  <c r="N174" i="2"/>
  <c r="H175" i="2"/>
  <c r="I175" i="2"/>
  <c r="J175" i="2"/>
  <c r="K175" i="2"/>
  <c r="L175" i="2"/>
  <c r="M175" i="2"/>
  <c r="N175" i="2"/>
  <c r="H176" i="2"/>
  <c r="I176" i="2"/>
  <c r="J176" i="2"/>
  <c r="M176" i="2" s="1"/>
  <c r="K176" i="2"/>
  <c r="L176" i="2"/>
  <c r="N176" i="2"/>
  <c r="H177" i="2"/>
  <c r="J177" i="2"/>
  <c r="M177" i="2" s="1"/>
  <c r="K177" i="2"/>
  <c r="I177" i="2" s="1"/>
  <c r="L177" i="2"/>
  <c r="N177" i="2"/>
  <c r="H178" i="2"/>
  <c r="J178" i="2"/>
  <c r="K178" i="2"/>
  <c r="I178" i="2" s="1"/>
  <c r="L178" i="2"/>
  <c r="M178" i="2"/>
  <c r="N178" i="2"/>
  <c r="H179" i="2"/>
  <c r="I179" i="2"/>
  <c r="J179" i="2"/>
  <c r="K179" i="2"/>
  <c r="L179" i="2"/>
  <c r="N179" i="2"/>
  <c r="M179" i="2" s="1"/>
  <c r="H180" i="2"/>
  <c r="I180" i="2"/>
  <c r="J180" i="2"/>
  <c r="M180" i="2" s="1"/>
  <c r="K180" i="2"/>
  <c r="L180" i="2"/>
  <c r="N180" i="2"/>
  <c r="H181" i="2"/>
  <c r="J181" i="2"/>
  <c r="M181" i="2" s="1"/>
  <c r="K181" i="2"/>
  <c r="I181" i="2" s="1"/>
  <c r="L181" i="2"/>
  <c r="N181" i="2"/>
  <c r="H182" i="2"/>
  <c r="J182" i="2"/>
  <c r="M182" i="2" s="1"/>
  <c r="K182" i="2"/>
  <c r="I182" i="2" s="1"/>
  <c r="L182" i="2"/>
  <c r="N182" i="2"/>
  <c r="H183" i="2"/>
  <c r="I183" i="2"/>
  <c r="J183" i="2"/>
  <c r="M183" i="2" s="1"/>
  <c r="K183" i="2"/>
  <c r="L183" i="2"/>
  <c r="N183" i="2"/>
  <c r="H184" i="2"/>
  <c r="J184" i="2"/>
  <c r="K184" i="2"/>
  <c r="I184" i="2" s="1"/>
  <c r="L184" i="2"/>
  <c r="N184" i="2"/>
  <c r="M184" i="2" s="1"/>
  <c r="H185" i="2"/>
  <c r="J185" i="2"/>
  <c r="M185" i="2" s="1"/>
  <c r="K185" i="2"/>
  <c r="I185" i="2" s="1"/>
  <c r="L185" i="2"/>
  <c r="N185" i="2"/>
  <c r="H186" i="2"/>
  <c r="J186" i="2"/>
  <c r="K186" i="2"/>
  <c r="I186" i="2" s="1"/>
  <c r="L186" i="2"/>
  <c r="M186" i="2"/>
  <c r="N186" i="2"/>
  <c r="H187" i="2"/>
  <c r="I187" i="2"/>
  <c r="J187" i="2"/>
  <c r="K187" i="2"/>
  <c r="L187" i="2"/>
  <c r="M187" i="2"/>
  <c r="N187" i="2"/>
  <c r="H188" i="2"/>
  <c r="I188" i="2"/>
  <c r="J188" i="2"/>
  <c r="K188" i="2"/>
  <c r="L188" i="2"/>
  <c r="M188" i="2"/>
  <c r="N188" i="2"/>
  <c r="H189" i="2"/>
  <c r="J189" i="2"/>
  <c r="M189" i="2" s="1"/>
  <c r="K189" i="2"/>
  <c r="I189" i="2" s="1"/>
  <c r="L189" i="2"/>
  <c r="N189" i="2"/>
  <c r="H190" i="2"/>
  <c r="J190" i="2"/>
  <c r="M190" i="2" s="1"/>
  <c r="K190" i="2"/>
  <c r="I190" i="2" s="1"/>
  <c r="L190" i="2"/>
  <c r="N190" i="2"/>
  <c r="H191" i="2"/>
  <c r="I191" i="2"/>
  <c r="J191" i="2"/>
  <c r="K191" i="2"/>
  <c r="L191" i="2"/>
  <c r="M191" i="2"/>
  <c r="N191" i="2"/>
  <c r="H192" i="2"/>
  <c r="I192" i="2"/>
  <c r="J192" i="2"/>
  <c r="M192" i="2" s="1"/>
  <c r="K192" i="2"/>
  <c r="L192" i="2"/>
  <c r="N192" i="2"/>
  <c r="H193" i="2"/>
  <c r="J193" i="2"/>
  <c r="M193" i="2" s="1"/>
  <c r="K193" i="2"/>
  <c r="I193" i="2" s="1"/>
  <c r="L193" i="2"/>
  <c r="N193" i="2"/>
  <c r="H194" i="2"/>
  <c r="J194" i="2"/>
  <c r="K194" i="2"/>
  <c r="I194" i="2" s="1"/>
  <c r="L194" i="2"/>
  <c r="M194" i="2"/>
  <c r="N194" i="2"/>
  <c r="H195" i="2"/>
  <c r="I195" i="2"/>
  <c r="J195" i="2"/>
  <c r="K195" i="2"/>
  <c r="L195" i="2"/>
  <c r="N195" i="2"/>
  <c r="M195" i="2" s="1"/>
  <c r="H196" i="2"/>
  <c r="I196" i="2"/>
  <c r="J196" i="2"/>
  <c r="M196" i="2" s="1"/>
  <c r="K196" i="2"/>
  <c r="L196" i="2"/>
  <c r="N196" i="2"/>
  <c r="H197" i="2"/>
  <c r="J197" i="2"/>
  <c r="M197" i="2" s="1"/>
  <c r="K197" i="2"/>
  <c r="I197" i="2" s="1"/>
  <c r="L197" i="2"/>
  <c r="N197" i="2"/>
  <c r="H198" i="2"/>
  <c r="J198" i="2"/>
  <c r="M198" i="2" s="1"/>
  <c r="K198" i="2"/>
  <c r="I198" i="2" s="1"/>
  <c r="L198" i="2"/>
  <c r="N198" i="2"/>
  <c r="H199" i="2"/>
  <c r="I199" i="2"/>
  <c r="J199" i="2"/>
  <c r="M199" i="2" s="1"/>
  <c r="K199" i="2"/>
  <c r="L199" i="2"/>
  <c r="N199" i="2"/>
  <c r="H200" i="2"/>
  <c r="J200" i="2"/>
  <c r="K200" i="2"/>
  <c r="I200" i="2" s="1"/>
  <c r="L200" i="2"/>
  <c r="N200" i="2"/>
  <c r="M200" i="2" s="1"/>
  <c r="H201" i="2"/>
  <c r="J201" i="2"/>
  <c r="M201" i="2" s="1"/>
  <c r="K201" i="2"/>
  <c r="I201" i="2" s="1"/>
  <c r="L201" i="2"/>
  <c r="N201" i="2"/>
  <c r="H202" i="2"/>
  <c r="J202" i="2"/>
  <c r="K202" i="2"/>
  <c r="I202" i="2" s="1"/>
  <c r="L202" i="2"/>
  <c r="M202" i="2"/>
  <c r="N202" i="2"/>
  <c r="H203" i="2"/>
  <c r="I203" i="2"/>
  <c r="J203" i="2"/>
  <c r="K203" i="2"/>
  <c r="L203" i="2"/>
  <c r="M203" i="2"/>
  <c r="N203" i="2"/>
  <c r="H204" i="2"/>
  <c r="I204" i="2"/>
  <c r="J204" i="2"/>
  <c r="K204" i="2"/>
  <c r="L204" i="2"/>
  <c r="M204" i="2"/>
  <c r="N204" i="2"/>
  <c r="H205" i="2"/>
  <c r="J205" i="2"/>
  <c r="M205" i="2" s="1"/>
  <c r="K205" i="2"/>
  <c r="I205" i="2" s="1"/>
  <c r="L205" i="2"/>
  <c r="N205" i="2"/>
  <c r="H206" i="2"/>
  <c r="J206" i="2"/>
  <c r="M206" i="2" s="1"/>
  <c r="K206" i="2"/>
  <c r="I206" i="2" s="1"/>
  <c r="L206" i="2"/>
  <c r="N206" i="2"/>
  <c r="H207" i="2"/>
  <c r="I207" i="2"/>
  <c r="J207" i="2"/>
  <c r="K207" i="2"/>
  <c r="L207" i="2"/>
  <c r="M207" i="2"/>
  <c r="N207" i="2"/>
  <c r="H208" i="2"/>
  <c r="I208" i="2"/>
  <c r="J208" i="2"/>
  <c r="M208" i="2" s="1"/>
  <c r="K208" i="2"/>
  <c r="L208" i="2"/>
  <c r="N208" i="2"/>
  <c r="H209" i="2"/>
  <c r="J209" i="2"/>
  <c r="M209" i="2" s="1"/>
  <c r="K209" i="2"/>
  <c r="I209" i="2" s="1"/>
  <c r="L209" i="2"/>
  <c r="N209" i="2"/>
  <c r="H210" i="2"/>
  <c r="J210" i="2"/>
  <c r="K210" i="2"/>
  <c r="I210" i="2" s="1"/>
  <c r="L210" i="2"/>
  <c r="M210" i="2"/>
  <c r="N210" i="2"/>
  <c r="H211" i="2"/>
  <c r="I211" i="2"/>
  <c r="J211" i="2"/>
  <c r="K211" i="2"/>
  <c r="L211" i="2"/>
  <c r="N211" i="2"/>
  <c r="M211" i="2" s="1"/>
  <c r="H212" i="2"/>
  <c r="I212" i="2"/>
  <c r="J212" i="2"/>
  <c r="M212" i="2" s="1"/>
  <c r="K212" i="2"/>
  <c r="L212" i="2"/>
  <c r="N212" i="2"/>
  <c r="H213" i="2"/>
  <c r="J213" i="2"/>
  <c r="M213" i="2" s="1"/>
  <c r="K213" i="2"/>
  <c r="I213" i="2" s="1"/>
  <c r="L213" i="2"/>
  <c r="N213" i="2"/>
  <c r="H214" i="2"/>
  <c r="J214" i="2"/>
  <c r="M214" i="2" s="1"/>
  <c r="K214" i="2"/>
  <c r="I214" i="2" s="1"/>
  <c r="L214" i="2"/>
  <c r="N214" i="2"/>
  <c r="H215" i="2"/>
  <c r="I215" i="2"/>
  <c r="J215" i="2"/>
  <c r="M215" i="2" s="1"/>
  <c r="K215" i="2"/>
  <c r="L215" i="2"/>
  <c r="N215" i="2"/>
  <c r="H216" i="2"/>
  <c r="J216" i="2"/>
  <c r="K216" i="2"/>
  <c r="I216" i="2" s="1"/>
  <c r="L216" i="2"/>
  <c r="N216" i="2"/>
  <c r="M216" i="2" s="1"/>
  <c r="H217" i="2"/>
  <c r="J217" i="2"/>
  <c r="M217" i="2" s="1"/>
  <c r="K217" i="2"/>
  <c r="I217" i="2" s="1"/>
  <c r="L217" i="2"/>
  <c r="N217" i="2"/>
  <c r="H218" i="2"/>
  <c r="J218" i="2"/>
  <c r="K218" i="2"/>
  <c r="I218" i="2" s="1"/>
  <c r="L218" i="2"/>
  <c r="M218" i="2"/>
  <c r="N218" i="2"/>
  <c r="H219" i="2"/>
  <c r="I219" i="2"/>
  <c r="J219" i="2"/>
  <c r="K219" i="2"/>
  <c r="L219" i="2"/>
  <c r="M219" i="2"/>
  <c r="N219" i="2"/>
  <c r="H220" i="2"/>
  <c r="I220" i="2"/>
  <c r="J220" i="2"/>
  <c r="K220" i="2"/>
  <c r="L220" i="2"/>
  <c r="M220" i="2"/>
  <c r="N220" i="2"/>
  <c r="H221" i="2"/>
  <c r="J221" i="2"/>
  <c r="M221" i="2" s="1"/>
  <c r="K221" i="2"/>
  <c r="I221" i="2" s="1"/>
  <c r="L221" i="2"/>
  <c r="N221" i="2"/>
  <c r="H222" i="2"/>
  <c r="J222" i="2"/>
  <c r="M222" i="2" s="1"/>
  <c r="K222" i="2"/>
  <c r="I222" i="2" s="1"/>
  <c r="L222" i="2"/>
  <c r="N222" i="2"/>
  <c r="H223" i="2"/>
  <c r="I223" i="2"/>
  <c r="J223" i="2"/>
  <c r="K223" i="2"/>
  <c r="L223" i="2"/>
  <c r="M223" i="2"/>
  <c r="N223" i="2"/>
  <c r="H224" i="2"/>
  <c r="I224" i="2"/>
  <c r="J224" i="2"/>
  <c r="M224" i="2" s="1"/>
  <c r="K224" i="2"/>
  <c r="L224" i="2"/>
  <c r="N224" i="2"/>
  <c r="H225" i="2"/>
  <c r="J225" i="2"/>
  <c r="M225" i="2" s="1"/>
  <c r="K225" i="2"/>
  <c r="I225" i="2" s="1"/>
  <c r="L225" i="2"/>
  <c r="N225" i="2"/>
  <c r="H226" i="2"/>
  <c r="J226" i="2"/>
  <c r="K226" i="2"/>
  <c r="I226" i="2" s="1"/>
  <c r="L226" i="2"/>
  <c r="M226" i="2"/>
  <c r="N226" i="2"/>
  <c r="H227" i="2"/>
  <c r="I227" i="2"/>
  <c r="J227" i="2"/>
  <c r="K227" i="2"/>
  <c r="L227" i="2"/>
  <c r="N227" i="2"/>
  <c r="M227" i="2" s="1"/>
  <c r="H228" i="2"/>
  <c r="I228" i="2"/>
  <c r="J228" i="2"/>
  <c r="M228" i="2" s="1"/>
  <c r="K228" i="2"/>
  <c r="L228" i="2"/>
  <c r="N228" i="2"/>
  <c r="H229" i="2"/>
  <c r="J229" i="2"/>
  <c r="M229" i="2" s="1"/>
  <c r="K229" i="2"/>
  <c r="I229" i="2" s="1"/>
  <c r="L229" i="2"/>
  <c r="N229" i="2"/>
  <c r="H230" i="2"/>
  <c r="J230" i="2"/>
  <c r="M230" i="2" s="1"/>
  <c r="K230" i="2"/>
  <c r="I230" i="2" s="1"/>
  <c r="L230" i="2"/>
  <c r="N230" i="2"/>
  <c r="H231" i="2"/>
  <c r="I231" i="2"/>
  <c r="J231" i="2"/>
  <c r="M231" i="2" s="1"/>
  <c r="K231" i="2"/>
  <c r="L231" i="2"/>
  <c r="N231" i="2"/>
  <c r="H232" i="2"/>
  <c r="J232" i="2"/>
  <c r="K232" i="2"/>
  <c r="I232" i="2" s="1"/>
  <c r="L232" i="2"/>
  <c r="N232" i="2"/>
  <c r="M232" i="2" s="1"/>
  <c r="H233" i="2"/>
  <c r="J233" i="2"/>
  <c r="M233" i="2" s="1"/>
  <c r="K233" i="2"/>
  <c r="I233" i="2" s="1"/>
  <c r="L233" i="2"/>
  <c r="N233" i="2"/>
  <c r="H234" i="2"/>
  <c r="J234" i="2"/>
  <c r="K234" i="2"/>
  <c r="I234" i="2" s="1"/>
  <c r="L234" i="2"/>
  <c r="M234" i="2"/>
  <c r="N234" i="2"/>
  <c r="H235" i="2"/>
  <c r="I235" i="2"/>
  <c r="J235" i="2"/>
  <c r="K235" i="2"/>
  <c r="L235" i="2"/>
  <c r="M235" i="2"/>
  <c r="N235" i="2"/>
  <c r="H236" i="2"/>
  <c r="I236" i="2"/>
  <c r="J236" i="2"/>
  <c r="K236" i="2"/>
  <c r="L236" i="2"/>
  <c r="M236" i="2"/>
  <c r="N236" i="2"/>
  <c r="H237" i="2"/>
  <c r="J237" i="2"/>
  <c r="M237" i="2" s="1"/>
  <c r="K237" i="2"/>
  <c r="I237" i="2" s="1"/>
  <c r="L237" i="2"/>
  <c r="N237" i="2"/>
  <c r="H238" i="2"/>
  <c r="J238" i="2"/>
  <c r="M238" i="2" s="1"/>
  <c r="K238" i="2"/>
  <c r="I238" i="2" s="1"/>
  <c r="L238" i="2"/>
  <c r="N238" i="2"/>
  <c r="H239" i="2"/>
  <c r="I239" i="2"/>
  <c r="J239" i="2"/>
  <c r="K239" i="2"/>
  <c r="L239" i="2"/>
  <c r="M239" i="2"/>
  <c r="N239" i="2"/>
  <c r="H240" i="2"/>
  <c r="I240" i="2"/>
  <c r="J240" i="2"/>
  <c r="M240" i="2" s="1"/>
  <c r="K240" i="2"/>
  <c r="L240" i="2"/>
  <c r="N240" i="2"/>
  <c r="H241" i="2"/>
  <c r="J241" i="2"/>
  <c r="M241" i="2" s="1"/>
  <c r="K241" i="2"/>
  <c r="I241" i="2" s="1"/>
  <c r="L241" i="2"/>
  <c r="N241" i="2"/>
  <c r="H242" i="2"/>
  <c r="J242" i="2"/>
  <c r="K242" i="2"/>
  <c r="I242" i="2" s="1"/>
  <c r="L242" i="2"/>
  <c r="M242" i="2"/>
  <c r="N242" i="2"/>
  <c r="H243" i="2"/>
  <c r="I243" i="2"/>
  <c r="J243" i="2"/>
  <c r="K243" i="2"/>
  <c r="L243" i="2"/>
  <c r="N243" i="2"/>
  <c r="M243" i="2" s="1"/>
  <c r="H244" i="2"/>
  <c r="I244" i="2"/>
  <c r="J244" i="2"/>
  <c r="M244" i="2" s="1"/>
  <c r="K244" i="2"/>
  <c r="L244" i="2"/>
  <c r="N244" i="2"/>
  <c r="H245" i="2"/>
  <c r="J245" i="2"/>
  <c r="M245" i="2" s="1"/>
  <c r="K245" i="2"/>
  <c r="I245" i="2" s="1"/>
  <c r="L245" i="2"/>
  <c r="N245" i="2"/>
  <c r="H246" i="2"/>
  <c r="J246" i="2"/>
  <c r="M246" i="2" s="1"/>
  <c r="K246" i="2"/>
  <c r="I246" i="2" s="1"/>
  <c r="L246" i="2"/>
  <c r="N246" i="2"/>
  <c r="H247" i="2"/>
  <c r="I247" i="2"/>
  <c r="J247" i="2"/>
  <c r="M247" i="2" s="1"/>
  <c r="K247" i="2"/>
  <c r="L247" i="2"/>
  <c r="N247" i="2"/>
  <c r="H248" i="2"/>
  <c r="J248" i="2"/>
  <c r="K248" i="2"/>
  <c r="I248" i="2" s="1"/>
  <c r="L248" i="2"/>
  <c r="N248" i="2"/>
  <c r="M248" i="2" s="1"/>
  <c r="H249" i="2"/>
  <c r="J249" i="2"/>
  <c r="M249" i="2" s="1"/>
  <c r="K249" i="2"/>
  <c r="I249" i="2" s="1"/>
  <c r="L249" i="2"/>
  <c r="N249" i="2"/>
  <c r="H250" i="2"/>
  <c r="J250" i="2"/>
  <c r="K250" i="2"/>
  <c r="I250" i="2" s="1"/>
  <c r="L250" i="2"/>
  <c r="M250" i="2"/>
  <c r="N250" i="2"/>
  <c r="H251" i="2"/>
  <c r="I251" i="2"/>
  <c r="J251" i="2"/>
  <c r="K251" i="2"/>
  <c r="L251" i="2"/>
  <c r="M251" i="2"/>
  <c r="N251" i="2"/>
  <c r="H252" i="2"/>
  <c r="I252" i="2"/>
  <c r="J252" i="2"/>
  <c r="K252" i="2"/>
  <c r="L252" i="2"/>
  <c r="M252" i="2"/>
  <c r="N252" i="2"/>
  <c r="H253" i="2"/>
  <c r="J253" i="2"/>
  <c r="M253" i="2" s="1"/>
  <c r="K253" i="2"/>
  <c r="I253" i="2" s="1"/>
  <c r="L253" i="2"/>
  <c r="N253" i="2"/>
  <c r="H254" i="2"/>
  <c r="J254" i="2"/>
  <c r="M254" i="2" s="1"/>
  <c r="K254" i="2"/>
  <c r="I254" i="2" s="1"/>
  <c r="L254" i="2"/>
  <c r="N254" i="2"/>
  <c r="H255" i="2"/>
  <c r="I255" i="2"/>
  <c r="J255" i="2"/>
  <c r="K255" i="2"/>
  <c r="L255" i="2"/>
  <c r="M255" i="2"/>
  <c r="N255" i="2"/>
  <c r="H256" i="2"/>
  <c r="J256" i="2"/>
  <c r="M256" i="2" s="1"/>
  <c r="K256" i="2"/>
  <c r="I256" i="2" s="1"/>
  <c r="L256" i="2"/>
  <c r="N256" i="2"/>
  <c r="H257" i="2"/>
  <c r="J257" i="2"/>
  <c r="M257" i="2" s="1"/>
  <c r="K257" i="2"/>
  <c r="I257" i="2" s="1"/>
  <c r="L257" i="2"/>
  <c r="N257" i="2"/>
  <c r="H258" i="2"/>
  <c r="J258" i="2"/>
  <c r="K258" i="2"/>
  <c r="I258" i="2" s="1"/>
  <c r="L258" i="2"/>
  <c r="M258" i="2"/>
  <c r="N258" i="2"/>
  <c r="H259" i="2"/>
  <c r="I259" i="2"/>
  <c r="J259" i="2"/>
  <c r="K259" i="2"/>
  <c r="L259" i="2"/>
  <c r="N259" i="2"/>
  <c r="M259" i="2" s="1"/>
  <c r="H260" i="2"/>
  <c r="I260" i="2"/>
  <c r="J260" i="2"/>
  <c r="M260" i="2" s="1"/>
  <c r="K260" i="2"/>
  <c r="L260" i="2"/>
  <c r="N260" i="2"/>
  <c r="H261" i="2"/>
  <c r="J261" i="2"/>
  <c r="M261" i="2" s="1"/>
  <c r="K261" i="2"/>
  <c r="I261" i="2" s="1"/>
  <c r="L261" i="2"/>
  <c r="N261" i="2"/>
  <c r="H262" i="2"/>
  <c r="J262" i="2"/>
  <c r="M262" i="2" s="1"/>
  <c r="K262" i="2"/>
  <c r="I262" i="2" s="1"/>
  <c r="L262" i="2"/>
  <c r="N262" i="2"/>
  <c r="H263" i="2"/>
  <c r="I263" i="2"/>
  <c r="J263" i="2"/>
  <c r="M263" i="2" s="1"/>
  <c r="K263" i="2"/>
  <c r="L263" i="2"/>
  <c r="N263" i="2"/>
  <c r="H264" i="2"/>
  <c r="J264" i="2"/>
  <c r="K264" i="2"/>
  <c r="I264" i="2" s="1"/>
  <c r="L264" i="2"/>
  <c r="N264" i="2"/>
  <c r="M264" i="2" s="1"/>
  <c r="H265" i="2"/>
  <c r="J265" i="2"/>
  <c r="M265" i="2" s="1"/>
  <c r="K265" i="2"/>
  <c r="I265" i="2" s="1"/>
  <c r="L265" i="2"/>
  <c r="N265" i="2"/>
  <c r="H266" i="2"/>
  <c r="J266" i="2"/>
  <c r="K266" i="2"/>
  <c r="I266" i="2" s="1"/>
  <c r="L266" i="2"/>
  <c r="M266" i="2"/>
  <c r="N266" i="2"/>
  <c r="H267" i="2"/>
  <c r="I267" i="2"/>
  <c r="J267" i="2"/>
  <c r="K267" i="2"/>
  <c r="L267" i="2"/>
  <c r="M267" i="2"/>
  <c r="N267" i="2"/>
  <c r="H268" i="2"/>
  <c r="I268" i="2"/>
  <c r="J268" i="2"/>
  <c r="K268" i="2"/>
  <c r="L268" i="2"/>
  <c r="M268" i="2"/>
  <c r="N268" i="2"/>
  <c r="H269" i="2"/>
  <c r="J269" i="2"/>
  <c r="M269" i="2" s="1"/>
  <c r="K269" i="2"/>
  <c r="I269" i="2" s="1"/>
  <c r="L269" i="2"/>
  <c r="N269" i="2"/>
  <c r="H270" i="2"/>
  <c r="J270" i="2"/>
  <c r="M270" i="2" s="1"/>
  <c r="K270" i="2"/>
  <c r="I270" i="2" s="1"/>
  <c r="L270" i="2"/>
  <c r="N270" i="2"/>
  <c r="H271" i="2"/>
  <c r="I271" i="2"/>
  <c r="J271" i="2"/>
  <c r="K271" i="2"/>
  <c r="L271" i="2"/>
  <c r="M271" i="2"/>
  <c r="N271" i="2"/>
  <c r="H272" i="2"/>
  <c r="J272" i="2"/>
  <c r="M272" i="2" s="1"/>
  <c r="K272" i="2"/>
  <c r="I272" i="2" s="1"/>
  <c r="L272" i="2"/>
  <c r="N272" i="2"/>
  <c r="H273" i="2"/>
  <c r="J273" i="2"/>
  <c r="M273" i="2" s="1"/>
  <c r="K273" i="2"/>
  <c r="I273" i="2" s="1"/>
  <c r="L273" i="2"/>
  <c r="N273" i="2"/>
  <c r="H274" i="2"/>
  <c r="J274" i="2"/>
  <c r="K274" i="2"/>
  <c r="I274" i="2" s="1"/>
  <c r="L274" i="2"/>
  <c r="M274" i="2"/>
  <c r="N274" i="2"/>
  <c r="H275" i="2"/>
  <c r="I275" i="2"/>
  <c r="J275" i="2"/>
  <c r="K275" i="2"/>
  <c r="L275" i="2"/>
  <c r="N275" i="2"/>
  <c r="M275" i="2" s="1"/>
  <c r="H276" i="2"/>
  <c r="I276" i="2"/>
  <c r="J276" i="2"/>
  <c r="M276" i="2" s="1"/>
  <c r="K276" i="2"/>
  <c r="L276" i="2"/>
  <c r="N276" i="2"/>
  <c r="H277" i="2"/>
  <c r="J277" i="2"/>
  <c r="M277" i="2" s="1"/>
  <c r="K277" i="2"/>
  <c r="I277" i="2" s="1"/>
  <c r="L277" i="2"/>
  <c r="N277" i="2"/>
  <c r="H278" i="2"/>
  <c r="J278" i="2"/>
  <c r="M278" i="2" s="1"/>
  <c r="K278" i="2"/>
  <c r="I278" i="2" s="1"/>
  <c r="L278" i="2"/>
  <c r="N278" i="2"/>
  <c r="H279" i="2"/>
  <c r="I279" i="2"/>
  <c r="J279" i="2"/>
  <c r="M279" i="2" s="1"/>
  <c r="K279" i="2"/>
  <c r="L279" i="2"/>
  <c r="N279" i="2"/>
  <c r="H280" i="2"/>
  <c r="J280" i="2"/>
  <c r="K280" i="2"/>
  <c r="I280" i="2" s="1"/>
  <c r="L280" i="2"/>
  <c r="N280" i="2"/>
  <c r="M280" i="2" s="1"/>
  <c r="H281" i="2"/>
  <c r="J281" i="2"/>
  <c r="M281" i="2" s="1"/>
  <c r="K281" i="2"/>
  <c r="I281" i="2" s="1"/>
  <c r="L281" i="2"/>
  <c r="N281" i="2"/>
  <c r="H282" i="2"/>
  <c r="J282" i="2"/>
  <c r="K282" i="2"/>
  <c r="I282" i="2" s="1"/>
  <c r="L282" i="2"/>
  <c r="M282" i="2"/>
  <c r="N282" i="2"/>
  <c r="H283" i="2"/>
  <c r="I283" i="2"/>
  <c r="J283" i="2"/>
  <c r="K283" i="2"/>
  <c r="L283" i="2"/>
  <c r="M283" i="2"/>
  <c r="N283" i="2"/>
  <c r="H284" i="2"/>
  <c r="I284" i="2"/>
  <c r="J284" i="2"/>
  <c r="K284" i="2"/>
  <c r="L284" i="2"/>
  <c r="M284" i="2"/>
  <c r="N284" i="2"/>
  <c r="H285" i="2"/>
  <c r="J285" i="2"/>
  <c r="M285" i="2" s="1"/>
  <c r="K285" i="2"/>
  <c r="I285" i="2" s="1"/>
  <c r="L285" i="2"/>
  <c r="N285" i="2"/>
  <c r="H286" i="2"/>
  <c r="J286" i="2"/>
  <c r="M286" i="2" s="1"/>
  <c r="K286" i="2"/>
  <c r="I286" i="2" s="1"/>
  <c r="L286" i="2"/>
  <c r="N286" i="2"/>
  <c r="H287" i="2"/>
  <c r="I287" i="2"/>
  <c r="J287" i="2"/>
  <c r="K287" i="2"/>
  <c r="L287" i="2"/>
  <c r="M287" i="2"/>
  <c r="N287" i="2"/>
  <c r="H288" i="2"/>
  <c r="J288" i="2"/>
  <c r="M288" i="2" s="1"/>
  <c r="K288" i="2"/>
  <c r="I288" i="2" s="1"/>
  <c r="L288" i="2"/>
  <c r="N288" i="2"/>
  <c r="H289" i="2"/>
  <c r="J289" i="2"/>
  <c r="M289" i="2" s="1"/>
  <c r="K289" i="2"/>
  <c r="I289" i="2" s="1"/>
  <c r="L289" i="2"/>
  <c r="N289" i="2"/>
  <c r="H290" i="2"/>
  <c r="J290" i="2"/>
  <c r="K290" i="2"/>
  <c r="I290" i="2" s="1"/>
  <c r="L290" i="2"/>
  <c r="M290" i="2"/>
  <c r="N290" i="2"/>
  <c r="H291" i="2"/>
  <c r="I291" i="2"/>
  <c r="J291" i="2"/>
  <c r="K291" i="2"/>
  <c r="L291" i="2"/>
  <c r="N291" i="2"/>
  <c r="M291" i="2" s="1"/>
  <c r="H292" i="2"/>
  <c r="I292" i="2"/>
  <c r="J292" i="2"/>
  <c r="M292" i="2" s="1"/>
  <c r="K292" i="2"/>
  <c r="L292" i="2"/>
  <c r="N292" i="2"/>
  <c r="H293" i="2"/>
  <c r="J293" i="2"/>
  <c r="M293" i="2" s="1"/>
  <c r="K293" i="2"/>
  <c r="I293" i="2" s="1"/>
  <c r="L293" i="2"/>
  <c r="N293" i="2"/>
  <c r="H294" i="2"/>
  <c r="J294" i="2"/>
  <c r="M294" i="2" s="1"/>
  <c r="K294" i="2"/>
  <c r="I294" i="2" s="1"/>
  <c r="L294" i="2"/>
  <c r="N294" i="2"/>
  <c r="H295" i="2"/>
  <c r="I295" i="2"/>
  <c r="J295" i="2"/>
  <c r="M295" i="2" s="1"/>
  <c r="K295" i="2"/>
  <c r="L295" i="2"/>
  <c r="N295" i="2"/>
  <c r="H296" i="2"/>
  <c r="J296" i="2"/>
  <c r="K296" i="2"/>
  <c r="I296" i="2" s="1"/>
  <c r="L296" i="2"/>
  <c r="N296" i="2"/>
  <c r="M296" i="2" s="1"/>
  <c r="H297" i="2"/>
  <c r="J297" i="2"/>
  <c r="M297" i="2" s="1"/>
  <c r="K297" i="2"/>
  <c r="I297" i="2" s="1"/>
  <c r="L297" i="2"/>
  <c r="N297" i="2"/>
  <c r="H298" i="2"/>
  <c r="J298" i="2"/>
  <c r="K298" i="2"/>
  <c r="I298" i="2" s="1"/>
  <c r="L298" i="2"/>
  <c r="M298" i="2"/>
  <c r="N298" i="2"/>
  <c r="H299" i="2"/>
  <c r="I299" i="2"/>
  <c r="J299" i="2"/>
  <c r="K299" i="2"/>
  <c r="L299" i="2"/>
  <c r="M299" i="2"/>
  <c r="N299" i="2"/>
  <c r="H300" i="2"/>
  <c r="I300" i="2"/>
  <c r="J300" i="2"/>
  <c r="K300" i="2"/>
  <c r="L300" i="2"/>
  <c r="M300" i="2"/>
  <c r="N300" i="2"/>
  <c r="H301" i="2"/>
  <c r="J301" i="2"/>
  <c r="M301" i="2" s="1"/>
  <c r="K301" i="2"/>
  <c r="I301" i="2" s="1"/>
  <c r="L301" i="2"/>
  <c r="N301" i="2"/>
  <c r="H302" i="2"/>
  <c r="J302" i="2"/>
  <c r="M302" i="2" s="1"/>
  <c r="K302" i="2"/>
  <c r="I302" i="2" s="1"/>
  <c r="L302" i="2"/>
  <c r="N302" i="2"/>
  <c r="H303" i="2"/>
  <c r="I303" i="2"/>
  <c r="J303" i="2"/>
  <c r="K303" i="2"/>
  <c r="L303" i="2"/>
  <c r="M303" i="2"/>
  <c r="N303" i="2"/>
  <c r="H304" i="2"/>
  <c r="J304" i="2"/>
  <c r="M304" i="2" s="1"/>
  <c r="K304" i="2"/>
  <c r="I304" i="2" s="1"/>
  <c r="L304" i="2"/>
  <c r="N304" i="2"/>
  <c r="H305" i="2"/>
  <c r="J305" i="2"/>
  <c r="M305" i="2" s="1"/>
  <c r="K305" i="2"/>
  <c r="I305" i="2" s="1"/>
  <c r="L305" i="2"/>
  <c r="N305" i="2"/>
  <c r="H306" i="2"/>
  <c r="J306" i="2"/>
  <c r="K306" i="2"/>
  <c r="I306" i="2" s="1"/>
  <c r="L306" i="2"/>
  <c r="M306" i="2"/>
  <c r="N306" i="2"/>
  <c r="H307" i="2"/>
  <c r="I307" i="2"/>
  <c r="J307" i="2"/>
  <c r="K307" i="2"/>
  <c r="L307" i="2"/>
  <c r="N307" i="2"/>
  <c r="M307" i="2" s="1"/>
  <c r="H308" i="2"/>
  <c r="I308" i="2"/>
  <c r="J308" i="2"/>
  <c r="M308" i="2" s="1"/>
  <c r="K308" i="2"/>
  <c r="L308" i="2"/>
  <c r="N308" i="2"/>
  <c r="H309" i="2"/>
  <c r="J309" i="2"/>
  <c r="M309" i="2" s="1"/>
  <c r="K309" i="2"/>
  <c r="I309" i="2" s="1"/>
  <c r="L309" i="2"/>
  <c r="N309" i="2"/>
  <c r="H310" i="2"/>
  <c r="J310" i="2"/>
  <c r="M310" i="2" s="1"/>
  <c r="K310" i="2"/>
  <c r="I310" i="2" s="1"/>
  <c r="L310" i="2"/>
  <c r="N310" i="2"/>
  <c r="H311" i="2"/>
  <c r="I311" i="2"/>
  <c r="J311" i="2"/>
  <c r="M311" i="2" s="1"/>
  <c r="K311" i="2"/>
  <c r="L311" i="2"/>
  <c r="N311" i="2"/>
  <c r="H312" i="2"/>
  <c r="J312" i="2"/>
  <c r="K312" i="2"/>
  <c r="I312" i="2" s="1"/>
  <c r="L312" i="2"/>
  <c r="N312" i="2"/>
  <c r="M312" i="2" s="1"/>
  <c r="H313" i="2"/>
  <c r="J313" i="2"/>
  <c r="M313" i="2" s="1"/>
  <c r="K313" i="2"/>
  <c r="I313" i="2" s="1"/>
  <c r="L313" i="2"/>
  <c r="N313" i="2"/>
  <c r="H314" i="2"/>
  <c r="J314" i="2"/>
  <c r="K314" i="2"/>
  <c r="I314" i="2" s="1"/>
  <c r="L314" i="2"/>
  <c r="M314" i="2"/>
  <c r="N314" i="2"/>
  <c r="H315" i="2"/>
  <c r="I315" i="2"/>
  <c r="J315" i="2"/>
  <c r="K315" i="2"/>
  <c r="L315" i="2"/>
  <c r="M315" i="2"/>
  <c r="N315" i="2"/>
  <c r="H316" i="2"/>
  <c r="I316" i="2"/>
  <c r="J316" i="2"/>
  <c r="K316" i="2"/>
  <c r="L316" i="2"/>
  <c r="M316" i="2"/>
  <c r="N316" i="2"/>
  <c r="H317" i="2"/>
  <c r="J317" i="2"/>
  <c r="M317" i="2" s="1"/>
  <c r="K317" i="2"/>
  <c r="I317" i="2" s="1"/>
  <c r="L317" i="2"/>
  <c r="N317" i="2"/>
  <c r="H318" i="2"/>
  <c r="I318" i="2"/>
  <c r="J318" i="2"/>
  <c r="M318" i="2" s="1"/>
  <c r="K318" i="2"/>
  <c r="L318" i="2"/>
  <c r="N318" i="2"/>
  <c r="H319" i="2"/>
  <c r="I319" i="2"/>
  <c r="J319" i="2"/>
  <c r="K319" i="2"/>
  <c r="L319" i="2"/>
  <c r="M319" i="2"/>
  <c r="N319" i="2"/>
  <c r="H320" i="2"/>
  <c r="J320" i="2"/>
  <c r="M320" i="2" s="1"/>
  <c r="K320" i="2"/>
  <c r="I320" i="2" s="1"/>
  <c r="L320" i="2"/>
  <c r="N320" i="2"/>
  <c r="H321" i="2"/>
  <c r="J321" i="2"/>
  <c r="M321" i="2" s="1"/>
  <c r="K321" i="2"/>
  <c r="I321" i="2" s="1"/>
  <c r="L321" i="2"/>
  <c r="N321" i="2"/>
  <c r="H322" i="2"/>
  <c r="J322" i="2"/>
  <c r="K322" i="2"/>
  <c r="I322" i="2" s="1"/>
  <c r="L322" i="2"/>
  <c r="M322" i="2"/>
  <c r="N322" i="2"/>
  <c r="H323" i="2"/>
  <c r="I323" i="2"/>
  <c r="J323" i="2"/>
  <c r="K323" i="2"/>
  <c r="L323" i="2"/>
  <c r="N323" i="2"/>
  <c r="M323" i="2" s="1"/>
  <c r="H324" i="2"/>
  <c r="I324" i="2"/>
  <c r="J324" i="2"/>
  <c r="M324" i="2" s="1"/>
  <c r="K324" i="2"/>
  <c r="L324" i="2"/>
  <c r="N324" i="2"/>
  <c r="H325" i="2"/>
  <c r="J325" i="2"/>
  <c r="M325" i="2" s="1"/>
  <c r="K325" i="2"/>
  <c r="I325" i="2" s="1"/>
  <c r="L325" i="2"/>
  <c r="N325" i="2"/>
  <c r="H326" i="2"/>
  <c r="J326" i="2"/>
  <c r="M326" i="2" s="1"/>
  <c r="K326" i="2"/>
  <c r="I326" i="2" s="1"/>
  <c r="L326" i="2"/>
  <c r="N326" i="2"/>
  <c r="H327" i="2"/>
  <c r="I327" i="2"/>
  <c r="J327" i="2"/>
  <c r="M327" i="2" s="1"/>
  <c r="K327" i="2"/>
  <c r="L327" i="2"/>
  <c r="N327" i="2"/>
  <c r="H328" i="2"/>
  <c r="J328" i="2"/>
  <c r="K328" i="2"/>
  <c r="I328" i="2" s="1"/>
  <c r="L328" i="2"/>
  <c r="N328" i="2"/>
  <c r="M328" i="2" s="1"/>
  <c r="H329" i="2"/>
  <c r="J329" i="2"/>
  <c r="M329" i="2" s="1"/>
  <c r="K329" i="2"/>
  <c r="I329" i="2" s="1"/>
  <c r="L329" i="2"/>
  <c r="N329" i="2"/>
  <c r="H330" i="2"/>
  <c r="J330" i="2"/>
  <c r="K330" i="2"/>
  <c r="I330" i="2" s="1"/>
  <c r="L330" i="2"/>
  <c r="M330" i="2"/>
  <c r="N330" i="2"/>
  <c r="H331" i="2"/>
  <c r="I331" i="2"/>
  <c r="J331" i="2"/>
  <c r="K331" i="2"/>
  <c r="L331" i="2"/>
  <c r="M331" i="2"/>
  <c r="N331" i="2"/>
  <c r="H332" i="2"/>
  <c r="I332" i="2"/>
  <c r="J332" i="2"/>
  <c r="K332" i="2"/>
  <c r="L332" i="2"/>
  <c r="M332" i="2"/>
  <c r="N332" i="2"/>
  <c r="H333" i="2"/>
  <c r="J333" i="2"/>
  <c r="M333" i="2" s="1"/>
  <c r="K333" i="2"/>
  <c r="I333" i="2" s="1"/>
  <c r="L333" i="2"/>
  <c r="N333" i="2"/>
  <c r="H334" i="2"/>
  <c r="I334" i="2"/>
  <c r="J334" i="2"/>
  <c r="M334" i="2" s="1"/>
  <c r="K334" i="2"/>
  <c r="L334" i="2"/>
  <c r="N334" i="2"/>
  <c r="H335" i="2"/>
  <c r="I335" i="2"/>
  <c r="J335" i="2"/>
  <c r="K335" i="2"/>
  <c r="L335" i="2"/>
  <c r="M335" i="2"/>
  <c r="N335" i="2"/>
  <c r="H336" i="2"/>
  <c r="J336" i="2"/>
  <c r="M336" i="2" s="1"/>
  <c r="K336" i="2"/>
  <c r="I336" i="2" s="1"/>
  <c r="L336" i="2"/>
  <c r="N336" i="2"/>
  <c r="H337" i="2"/>
  <c r="J337" i="2"/>
  <c r="M337" i="2" s="1"/>
  <c r="K337" i="2"/>
  <c r="I337" i="2" s="1"/>
  <c r="L337" i="2"/>
  <c r="N337" i="2"/>
  <c r="H338" i="2"/>
  <c r="J338" i="2"/>
  <c r="K338" i="2"/>
  <c r="I338" i="2" s="1"/>
  <c r="L338" i="2"/>
  <c r="M338" i="2"/>
  <c r="N338" i="2"/>
  <c r="H339" i="2"/>
  <c r="I339" i="2"/>
  <c r="J339" i="2"/>
  <c r="K339" i="2"/>
  <c r="L339" i="2"/>
  <c r="N339" i="2"/>
  <c r="M339" i="2" s="1"/>
  <c r="H340" i="2"/>
  <c r="I340" i="2"/>
  <c r="J340" i="2"/>
  <c r="M340" i="2" s="1"/>
  <c r="K340" i="2"/>
  <c r="L340" i="2"/>
  <c r="N340" i="2"/>
  <c r="H341" i="2"/>
  <c r="J341" i="2"/>
  <c r="M341" i="2" s="1"/>
  <c r="K341" i="2"/>
  <c r="I341" i="2" s="1"/>
  <c r="L341" i="2"/>
  <c r="N341" i="2"/>
  <c r="H342" i="2"/>
  <c r="J342" i="2"/>
  <c r="M342" i="2" s="1"/>
  <c r="K342" i="2"/>
  <c r="I342" i="2" s="1"/>
  <c r="L342" i="2"/>
  <c r="N342" i="2"/>
  <c r="H343" i="2"/>
  <c r="I343" i="2"/>
  <c r="J343" i="2"/>
  <c r="M343" i="2" s="1"/>
  <c r="K343" i="2"/>
  <c r="L343" i="2"/>
  <c r="N343" i="2"/>
  <c r="H344" i="2"/>
  <c r="J344" i="2"/>
  <c r="K344" i="2"/>
  <c r="I344" i="2" s="1"/>
  <c r="L344" i="2"/>
  <c r="N344" i="2"/>
  <c r="M344" i="2" s="1"/>
  <c r="H345" i="2"/>
  <c r="J345" i="2"/>
  <c r="M345" i="2" s="1"/>
  <c r="K345" i="2"/>
  <c r="I345" i="2" s="1"/>
  <c r="L345" i="2"/>
  <c r="N345" i="2"/>
  <c r="H346" i="2"/>
  <c r="J346" i="2"/>
  <c r="K346" i="2"/>
  <c r="I346" i="2" s="1"/>
  <c r="L346" i="2"/>
  <c r="M346" i="2"/>
  <c r="N346" i="2"/>
  <c r="H347" i="2"/>
  <c r="I347" i="2"/>
  <c r="J347" i="2"/>
  <c r="K347" i="2"/>
  <c r="L347" i="2"/>
  <c r="M347" i="2"/>
  <c r="N347" i="2"/>
  <c r="H348" i="2"/>
  <c r="I348" i="2"/>
  <c r="J348" i="2"/>
  <c r="K348" i="2"/>
  <c r="L348" i="2"/>
  <c r="M348" i="2"/>
  <c r="N348" i="2"/>
  <c r="H349" i="2"/>
  <c r="J349" i="2"/>
  <c r="M349" i="2" s="1"/>
  <c r="K349" i="2"/>
  <c r="I349" i="2" s="1"/>
  <c r="L349" i="2"/>
  <c r="N349" i="2"/>
  <c r="H350" i="2"/>
  <c r="I350" i="2"/>
  <c r="J350" i="2"/>
  <c r="M350" i="2" s="1"/>
  <c r="K350" i="2"/>
  <c r="L350" i="2"/>
  <c r="N350" i="2"/>
  <c r="H351" i="2"/>
  <c r="I351" i="2"/>
  <c r="J351" i="2"/>
  <c r="K351" i="2"/>
  <c r="L351" i="2"/>
  <c r="M351" i="2"/>
  <c r="N351" i="2"/>
  <c r="H352" i="2"/>
  <c r="J352" i="2"/>
  <c r="M352" i="2" s="1"/>
  <c r="K352" i="2"/>
  <c r="I352" i="2" s="1"/>
  <c r="L352" i="2"/>
  <c r="N352" i="2"/>
  <c r="H353" i="2"/>
  <c r="J353" i="2"/>
  <c r="M353" i="2" s="1"/>
  <c r="K353" i="2"/>
  <c r="I353" i="2" s="1"/>
  <c r="L353" i="2"/>
  <c r="N353" i="2"/>
  <c r="H354" i="2"/>
  <c r="J354" i="2"/>
  <c r="K354" i="2"/>
  <c r="I354" i="2" s="1"/>
  <c r="L354" i="2"/>
  <c r="M354" i="2"/>
  <c r="N354" i="2"/>
  <c r="H355" i="2"/>
  <c r="I355" i="2"/>
  <c r="J355" i="2"/>
  <c r="K355" i="2"/>
  <c r="L355" i="2"/>
  <c r="N355" i="2"/>
  <c r="M355" i="2" s="1"/>
  <c r="H356" i="2"/>
  <c r="I356" i="2"/>
  <c r="J356" i="2"/>
  <c r="M356" i="2" s="1"/>
  <c r="K356" i="2"/>
  <c r="L356" i="2"/>
  <c r="N356" i="2"/>
  <c r="H357" i="2"/>
  <c r="J357" i="2"/>
  <c r="M357" i="2" s="1"/>
  <c r="K357" i="2"/>
  <c r="I357" i="2" s="1"/>
  <c r="L357" i="2"/>
  <c r="N357" i="2"/>
  <c r="H358" i="2"/>
  <c r="J358" i="2"/>
  <c r="M358" i="2" s="1"/>
  <c r="K358" i="2"/>
  <c r="I358" i="2" s="1"/>
  <c r="L358" i="2"/>
  <c r="N358" i="2"/>
  <c r="H359" i="2"/>
  <c r="I359" i="2"/>
  <c r="J359" i="2"/>
  <c r="M359" i="2" s="1"/>
  <c r="K359" i="2"/>
  <c r="L359" i="2"/>
  <c r="N359" i="2"/>
  <c r="H360" i="2"/>
  <c r="J360" i="2"/>
  <c r="K360" i="2"/>
  <c r="I360" i="2" s="1"/>
  <c r="L360" i="2"/>
  <c r="N360" i="2"/>
  <c r="M360" i="2" s="1"/>
  <c r="H361" i="2"/>
  <c r="J361" i="2"/>
  <c r="M361" i="2" s="1"/>
  <c r="K361" i="2"/>
  <c r="I361" i="2" s="1"/>
  <c r="L361" i="2"/>
  <c r="N361" i="2"/>
  <c r="H362" i="2"/>
  <c r="J362" i="2"/>
  <c r="K362" i="2"/>
  <c r="I362" i="2" s="1"/>
  <c r="L362" i="2"/>
  <c r="M362" i="2"/>
  <c r="N362" i="2"/>
  <c r="H363" i="2"/>
  <c r="I363" i="2"/>
  <c r="J363" i="2"/>
  <c r="K363" i="2"/>
  <c r="L363" i="2"/>
  <c r="M363" i="2"/>
  <c r="N363" i="2"/>
  <c r="H364" i="2"/>
  <c r="I364" i="2"/>
  <c r="J364" i="2"/>
  <c r="K364" i="2"/>
  <c r="L364" i="2"/>
  <c r="M364" i="2"/>
  <c r="N364" i="2"/>
  <c r="H365" i="2"/>
  <c r="J365" i="2"/>
  <c r="M365" i="2" s="1"/>
  <c r="K365" i="2"/>
  <c r="I365" i="2" s="1"/>
  <c r="L365" i="2"/>
  <c r="N365" i="2"/>
  <c r="H366" i="2"/>
  <c r="I366" i="2"/>
  <c r="J366" i="2"/>
  <c r="M366" i="2" s="1"/>
  <c r="K366" i="2"/>
  <c r="L366" i="2"/>
  <c r="N366" i="2"/>
  <c r="H367" i="2"/>
  <c r="I367" i="2"/>
  <c r="J367" i="2"/>
  <c r="K367" i="2"/>
  <c r="L367" i="2"/>
  <c r="M367" i="2"/>
  <c r="N367" i="2"/>
  <c r="H368" i="2"/>
  <c r="J368" i="2"/>
  <c r="M368" i="2" s="1"/>
  <c r="K368" i="2"/>
  <c r="I368" i="2" s="1"/>
  <c r="L368" i="2"/>
  <c r="N368" i="2"/>
  <c r="H369" i="2"/>
  <c r="J369" i="2"/>
  <c r="M369" i="2" s="1"/>
  <c r="K369" i="2"/>
  <c r="I369" i="2" s="1"/>
  <c r="L369" i="2"/>
  <c r="N369" i="2"/>
  <c r="H370" i="2"/>
  <c r="J370" i="2"/>
  <c r="K370" i="2"/>
  <c r="I370" i="2" s="1"/>
  <c r="L370" i="2"/>
  <c r="M370" i="2"/>
  <c r="N370" i="2"/>
  <c r="H371" i="2"/>
  <c r="I371" i="2"/>
  <c r="J371" i="2"/>
  <c r="K371" i="2"/>
  <c r="L371" i="2"/>
  <c r="N371" i="2"/>
  <c r="M371" i="2" s="1"/>
  <c r="H372" i="2"/>
  <c r="I372" i="2"/>
  <c r="J372" i="2"/>
  <c r="M372" i="2" s="1"/>
  <c r="K372" i="2"/>
  <c r="L372" i="2"/>
  <c r="N372" i="2"/>
  <c r="H373" i="2"/>
  <c r="J373" i="2"/>
  <c r="M373" i="2" s="1"/>
  <c r="K373" i="2"/>
  <c r="I373" i="2" s="1"/>
  <c r="L373" i="2"/>
  <c r="N373" i="2"/>
  <c r="H374" i="2"/>
  <c r="J374" i="2"/>
  <c r="M374" i="2" s="1"/>
  <c r="K374" i="2"/>
  <c r="I374" i="2" s="1"/>
  <c r="L374" i="2"/>
  <c r="N374" i="2"/>
  <c r="H375" i="2"/>
  <c r="I375" i="2"/>
  <c r="J375" i="2"/>
  <c r="M375" i="2" s="1"/>
  <c r="K375" i="2"/>
  <c r="L375" i="2"/>
  <c r="N375" i="2"/>
  <c r="H376" i="2"/>
  <c r="J376" i="2"/>
  <c r="K376" i="2"/>
  <c r="I376" i="2" s="1"/>
  <c r="L376" i="2"/>
  <c r="N376" i="2"/>
  <c r="M376" i="2" s="1"/>
  <c r="H377" i="2"/>
  <c r="J377" i="2"/>
  <c r="M377" i="2" s="1"/>
  <c r="K377" i="2"/>
  <c r="I377" i="2" s="1"/>
  <c r="L377" i="2"/>
  <c r="N377" i="2"/>
  <c r="H378" i="2"/>
  <c r="J378" i="2"/>
  <c r="K378" i="2"/>
  <c r="I378" i="2" s="1"/>
  <c r="L378" i="2"/>
  <c r="M378" i="2"/>
  <c r="N378" i="2"/>
  <c r="H379" i="2"/>
  <c r="I379" i="2"/>
  <c r="J379" i="2"/>
  <c r="K379" i="2"/>
  <c r="L379" i="2"/>
  <c r="M379" i="2"/>
  <c r="N379" i="2"/>
  <c r="H380" i="2"/>
  <c r="I380" i="2"/>
  <c r="J380" i="2"/>
  <c r="K380" i="2"/>
  <c r="L380" i="2"/>
  <c r="M380" i="2"/>
  <c r="N380" i="2"/>
  <c r="H381" i="2"/>
  <c r="J381" i="2"/>
  <c r="M381" i="2" s="1"/>
  <c r="K381" i="2"/>
  <c r="I381" i="2" s="1"/>
  <c r="L381" i="2"/>
  <c r="N381" i="2"/>
  <c r="H382" i="2"/>
  <c r="I382" i="2"/>
  <c r="J382" i="2"/>
  <c r="M382" i="2" s="1"/>
  <c r="K382" i="2"/>
  <c r="L382" i="2"/>
  <c r="N382" i="2"/>
  <c r="H383" i="2"/>
  <c r="I383" i="2"/>
  <c r="J383" i="2"/>
  <c r="K383" i="2"/>
  <c r="L383" i="2"/>
  <c r="M383" i="2"/>
  <c r="N383" i="2"/>
  <c r="H384" i="2"/>
  <c r="J384" i="2"/>
  <c r="M384" i="2" s="1"/>
  <c r="K384" i="2"/>
  <c r="I384" i="2" s="1"/>
  <c r="L384" i="2"/>
  <c r="N384" i="2"/>
  <c r="H385" i="2"/>
  <c r="J385" i="2"/>
  <c r="M385" i="2" s="1"/>
  <c r="K385" i="2"/>
  <c r="I385" i="2" s="1"/>
  <c r="L385" i="2"/>
  <c r="N385" i="2"/>
  <c r="H386" i="2"/>
  <c r="J386" i="2"/>
  <c r="K386" i="2"/>
  <c r="I386" i="2" s="1"/>
  <c r="L386" i="2"/>
  <c r="M386" i="2"/>
  <c r="N386" i="2"/>
  <c r="H387" i="2"/>
  <c r="I387" i="2"/>
  <c r="J387" i="2"/>
  <c r="K387" i="2"/>
  <c r="L387" i="2"/>
  <c r="N387" i="2"/>
  <c r="M387" i="2" s="1"/>
  <c r="H388" i="2"/>
  <c r="I388" i="2"/>
  <c r="J388" i="2"/>
  <c r="M388" i="2" s="1"/>
  <c r="K388" i="2"/>
  <c r="L388" i="2"/>
  <c r="N388" i="2"/>
  <c r="H389" i="2"/>
  <c r="J389" i="2"/>
  <c r="M389" i="2" s="1"/>
  <c r="K389" i="2"/>
  <c r="I389" i="2" s="1"/>
  <c r="L389" i="2"/>
  <c r="N389" i="2"/>
  <c r="H390" i="2"/>
  <c r="J390" i="2"/>
  <c r="M390" i="2" s="1"/>
  <c r="K390" i="2"/>
  <c r="I390" i="2" s="1"/>
  <c r="L390" i="2"/>
  <c r="N390" i="2"/>
  <c r="H391" i="2"/>
  <c r="I391" i="2"/>
  <c r="J391" i="2"/>
  <c r="M391" i="2" s="1"/>
  <c r="K391" i="2"/>
  <c r="L391" i="2"/>
  <c r="N391" i="2"/>
  <c r="H392" i="2"/>
  <c r="J392" i="2"/>
  <c r="K392" i="2"/>
  <c r="I392" i="2" s="1"/>
  <c r="L392" i="2"/>
  <c r="N392" i="2"/>
  <c r="M392" i="2" s="1"/>
  <c r="H393" i="2"/>
  <c r="J393" i="2"/>
  <c r="M393" i="2" s="1"/>
  <c r="K393" i="2"/>
  <c r="I393" i="2" s="1"/>
  <c r="L393" i="2"/>
  <c r="N393" i="2"/>
  <c r="H394" i="2"/>
  <c r="J394" i="2"/>
  <c r="K394" i="2"/>
  <c r="I394" i="2" s="1"/>
  <c r="L394" i="2"/>
  <c r="M394" i="2"/>
  <c r="N394" i="2"/>
  <c r="H395" i="2"/>
  <c r="I395" i="2"/>
  <c r="J395" i="2"/>
  <c r="K395" i="2"/>
  <c r="L395" i="2"/>
  <c r="M395" i="2"/>
  <c r="N395" i="2"/>
  <c r="H396" i="2"/>
  <c r="I396" i="2"/>
  <c r="J396" i="2"/>
  <c r="K396" i="2"/>
  <c r="L396" i="2"/>
  <c r="M396" i="2"/>
  <c r="N396" i="2"/>
  <c r="H397" i="2"/>
  <c r="J397" i="2"/>
  <c r="M397" i="2" s="1"/>
  <c r="K397" i="2"/>
  <c r="I397" i="2" s="1"/>
  <c r="L397" i="2"/>
  <c r="N397" i="2"/>
  <c r="H398" i="2"/>
  <c r="I398" i="2"/>
  <c r="J398" i="2"/>
  <c r="M398" i="2" s="1"/>
  <c r="K398" i="2"/>
  <c r="L398" i="2"/>
  <c r="N398" i="2"/>
  <c r="H399" i="2"/>
  <c r="I399" i="2"/>
  <c r="J399" i="2"/>
  <c r="K399" i="2"/>
  <c r="L399" i="2"/>
  <c r="M399" i="2"/>
  <c r="N399" i="2"/>
  <c r="H400" i="2"/>
  <c r="J400" i="2"/>
  <c r="M400" i="2" s="1"/>
  <c r="K400" i="2"/>
  <c r="I400" i="2" s="1"/>
  <c r="L400" i="2"/>
  <c r="N400" i="2"/>
  <c r="H401" i="2"/>
  <c r="J401" i="2"/>
  <c r="M401" i="2" s="1"/>
  <c r="K401" i="2"/>
  <c r="I401" i="2" s="1"/>
  <c r="L401" i="2"/>
  <c r="N401" i="2"/>
  <c r="H402" i="2"/>
  <c r="J402" i="2"/>
  <c r="K402" i="2"/>
  <c r="I402" i="2" s="1"/>
  <c r="L402" i="2"/>
  <c r="M402" i="2"/>
  <c r="N402" i="2"/>
  <c r="H403" i="2"/>
  <c r="I403" i="2"/>
  <c r="J403" i="2"/>
  <c r="K403" i="2"/>
  <c r="L403" i="2"/>
  <c r="N403" i="2"/>
  <c r="M403" i="2" s="1"/>
  <c r="H404" i="2"/>
  <c r="I404" i="2"/>
  <c r="J404" i="2"/>
  <c r="M404" i="2" s="1"/>
  <c r="K404" i="2"/>
  <c r="L404" i="2"/>
  <c r="N404" i="2"/>
  <c r="H405" i="2"/>
  <c r="J405" i="2"/>
  <c r="M405" i="2" s="1"/>
  <c r="K405" i="2"/>
  <c r="I405" i="2" s="1"/>
  <c r="L405" i="2"/>
  <c r="N405" i="2"/>
  <c r="H406" i="2"/>
  <c r="J406" i="2"/>
  <c r="M406" i="2" s="1"/>
  <c r="K406" i="2"/>
  <c r="I406" i="2" s="1"/>
  <c r="L406" i="2"/>
  <c r="N406" i="2"/>
  <c r="H407" i="2"/>
  <c r="I407" i="2"/>
  <c r="J407" i="2"/>
  <c r="M407" i="2" s="1"/>
  <c r="K407" i="2"/>
  <c r="L407" i="2"/>
  <c r="N407" i="2"/>
  <c r="H408" i="2"/>
  <c r="J408" i="2"/>
  <c r="K408" i="2"/>
  <c r="I408" i="2" s="1"/>
  <c r="L408" i="2"/>
  <c r="N408" i="2"/>
  <c r="M408" i="2" s="1"/>
  <c r="H409" i="2"/>
  <c r="J409" i="2"/>
  <c r="M409" i="2" s="1"/>
  <c r="K409" i="2"/>
  <c r="I409" i="2" s="1"/>
  <c r="L409" i="2"/>
  <c r="N409" i="2"/>
  <c r="H410" i="2"/>
  <c r="J410" i="2"/>
  <c r="K410" i="2"/>
  <c r="I410" i="2" s="1"/>
  <c r="L410" i="2"/>
  <c r="M410" i="2"/>
  <c r="N410" i="2"/>
  <c r="H411" i="2"/>
  <c r="I411" i="2"/>
  <c r="J411" i="2"/>
  <c r="K411" i="2"/>
  <c r="L411" i="2"/>
  <c r="N411" i="2"/>
  <c r="M411" i="2" s="1"/>
  <c r="H412" i="2"/>
  <c r="I412" i="2"/>
  <c r="J412" i="2"/>
  <c r="K412" i="2"/>
  <c r="L412" i="2"/>
  <c r="M412" i="2"/>
  <c r="N412" i="2"/>
  <c r="H413" i="2"/>
  <c r="J413" i="2"/>
  <c r="M413" i="2" s="1"/>
  <c r="K413" i="2"/>
  <c r="I413" i="2" s="1"/>
  <c r="L413" i="2"/>
  <c r="N413" i="2"/>
  <c r="H414" i="2"/>
  <c r="I414" i="2"/>
  <c r="J414" i="2"/>
  <c r="M414" i="2" s="1"/>
  <c r="K414" i="2"/>
  <c r="L414" i="2"/>
  <c r="N414" i="2"/>
  <c r="H415" i="2"/>
  <c r="I415" i="2"/>
  <c r="J415" i="2"/>
  <c r="K415" i="2"/>
  <c r="L415" i="2"/>
  <c r="M415" i="2"/>
  <c r="N415" i="2"/>
  <c r="H416" i="2"/>
  <c r="J416" i="2"/>
  <c r="M416" i="2" s="1"/>
  <c r="K416" i="2"/>
  <c r="I416" i="2" s="1"/>
  <c r="L416" i="2"/>
  <c r="N416" i="2"/>
  <c r="H417" i="2"/>
  <c r="J417" i="2"/>
  <c r="M417" i="2" s="1"/>
  <c r="K417" i="2"/>
  <c r="I417" i="2" s="1"/>
  <c r="L417" i="2"/>
  <c r="N417" i="2"/>
  <c r="H418" i="2"/>
  <c r="J418" i="2"/>
  <c r="K418" i="2"/>
  <c r="I418" i="2" s="1"/>
  <c r="L418" i="2"/>
  <c r="M418" i="2"/>
  <c r="N418" i="2"/>
  <c r="H419" i="2"/>
  <c r="I419" i="2"/>
  <c r="J419" i="2"/>
  <c r="K419" i="2"/>
  <c r="L419" i="2"/>
  <c r="N419" i="2"/>
  <c r="M419" i="2" s="1"/>
  <c r="H420" i="2"/>
  <c r="I420" i="2"/>
  <c r="J420" i="2"/>
  <c r="M420" i="2" s="1"/>
  <c r="K420" i="2"/>
  <c r="L420" i="2"/>
  <c r="N420" i="2"/>
  <c r="H421" i="2"/>
  <c r="J421" i="2"/>
  <c r="M421" i="2" s="1"/>
  <c r="K421" i="2"/>
  <c r="I421" i="2" s="1"/>
  <c r="L421" i="2"/>
  <c r="N421" i="2"/>
  <c r="H422" i="2"/>
  <c r="J422" i="2"/>
  <c r="M422" i="2" s="1"/>
  <c r="K422" i="2"/>
  <c r="I422" i="2" s="1"/>
  <c r="L422" i="2"/>
  <c r="N422" i="2"/>
  <c r="H423" i="2"/>
  <c r="I423" i="2"/>
  <c r="J423" i="2"/>
  <c r="M423" i="2" s="1"/>
  <c r="K423" i="2"/>
  <c r="L423" i="2"/>
  <c r="N423" i="2"/>
  <c r="H424" i="2"/>
  <c r="J424" i="2"/>
  <c r="K424" i="2"/>
  <c r="I424" i="2" s="1"/>
  <c r="L424" i="2"/>
  <c r="N424" i="2"/>
  <c r="M424" i="2" s="1"/>
  <c r="H425" i="2"/>
  <c r="J425" i="2"/>
  <c r="M425" i="2" s="1"/>
  <c r="K425" i="2"/>
  <c r="I425" i="2" s="1"/>
  <c r="L425" i="2"/>
  <c r="N425" i="2"/>
  <c r="H426" i="2"/>
  <c r="J426" i="2"/>
  <c r="K426" i="2"/>
  <c r="I426" i="2" s="1"/>
  <c r="L426" i="2"/>
  <c r="M426" i="2"/>
  <c r="N426" i="2"/>
  <c r="H427" i="2"/>
  <c r="I427" i="2"/>
  <c r="J427" i="2"/>
  <c r="K427" i="2"/>
  <c r="L427" i="2"/>
  <c r="N427" i="2"/>
  <c r="M427" i="2" s="1"/>
  <c r="H428" i="2"/>
  <c r="I428" i="2"/>
  <c r="J428" i="2"/>
  <c r="K428" i="2"/>
  <c r="L428" i="2"/>
  <c r="M428" i="2"/>
  <c r="N428" i="2"/>
  <c r="H429" i="2"/>
  <c r="J429" i="2"/>
  <c r="M429" i="2" s="1"/>
  <c r="K429" i="2"/>
  <c r="I429" i="2" s="1"/>
  <c r="L429" i="2"/>
  <c r="N429" i="2"/>
  <c r="H430" i="2"/>
  <c r="I430" i="2"/>
  <c r="J430" i="2"/>
  <c r="M430" i="2" s="1"/>
  <c r="K430" i="2"/>
  <c r="L430" i="2"/>
  <c r="N430" i="2"/>
  <c r="H431" i="2"/>
  <c r="I431" i="2"/>
  <c r="J431" i="2"/>
  <c r="K431" i="2"/>
  <c r="L431" i="2"/>
  <c r="M431" i="2"/>
  <c r="N431" i="2"/>
  <c r="H432" i="2"/>
  <c r="J432" i="2"/>
  <c r="M432" i="2" s="1"/>
  <c r="K432" i="2"/>
  <c r="I432" i="2" s="1"/>
  <c r="L432" i="2"/>
  <c r="N432" i="2"/>
  <c r="H433" i="2"/>
  <c r="J433" i="2"/>
  <c r="M433" i="2" s="1"/>
  <c r="K433" i="2"/>
  <c r="I433" i="2" s="1"/>
  <c r="L433" i="2"/>
  <c r="N433" i="2"/>
  <c r="H434" i="2"/>
  <c r="J434" i="2"/>
  <c r="K434" i="2"/>
  <c r="I434" i="2" s="1"/>
  <c r="L434" i="2"/>
  <c r="M434" i="2"/>
  <c r="N434" i="2"/>
  <c r="H435" i="2"/>
  <c r="I435" i="2"/>
  <c r="J435" i="2"/>
  <c r="K435" i="2"/>
  <c r="L435" i="2"/>
  <c r="N435" i="2"/>
  <c r="M435" i="2" s="1"/>
  <c r="H436" i="2"/>
  <c r="I436" i="2"/>
  <c r="J436" i="2"/>
  <c r="M436" i="2" s="1"/>
  <c r="K436" i="2"/>
  <c r="L436" i="2"/>
  <c r="N436" i="2"/>
  <c r="H437" i="2"/>
  <c r="J437" i="2"/>
  <c r="M437" i="2" s="1"/>
  <c r="K437" i="2"/>
  <c r="I437" i="2" s="1"/>
  <c r="L437" i="2"/>
  <c r="N437" i="2"/>
  <c r="H438" i="2"/>
  <c r="J438" i="2"/>
  <c r="M438" i="2" s="1"/>
  <c r="K438" i="2"/>
  <c r="I438" i="2" s="1"/>
  <c r="L438" i="2"/>
  <c r="N438" i="2"/>
  <c r="H439" i="2"/>
  <c r="I439" i="2"/>
  <c r="J439" i="2"/>
  <c r="M439" i="2" s="1"/>
  <c r="K439" i="2"/>
  <c r="L439" i="2"/>
  <c r="N439" i="2"/>
  <c r="H440" i="2"/>
  <c r="J440" i="2"/>
  <c r="K440" i="2"/>
  <c r="I440" i="2" s="1"/>
  <c r="L440" i="2"/>
  <c r="N440" i="2"/>
  <c r="M440" i="2" s="1"/>
  <c r="H441" i="2"/>
  <c r="J441" i="2"/>
  <c r="M441" i="2" s="1"/>
  <c r="K441" i="2"/>
  <c r="I441" i="2" s="1"/>
  <c r="L441" i="2"/>
  <c r="N441" i="2"/>
  <c r="H442" i="2"/>
  <c r="J442" i="2"/>
  <c r="K442" i="2"/>
  <c r="I442" i="2" s="1"/>
  <c r="L442" i="2"/>
  <c r="M442" i="2"/>
  <c r="N442" i="2"/>
  <c r="H443" i="2"/>
  <c r="I443" i="2"/>
  <c r="J443" i="2"/>
  <c r="K443" i="2"/>
  <c r="L443" i="2"/>
  <c r="N443" i="2"/>
  <c r="M443" i="2" s="1"/>
  <c r="H444" i="2"/>
  <c r="I444" i="2"/>
  <c r="J444" i="2"/>
  <c r="K444" i="2"/>
  <c r="L444" i="2"/>
  <c r="M444" i="2"/>
  <c r="N444" i="2"/>
  <c r="H445" i="2"/>
  <c r="J445" i="2"/>
  <c r="M445" i="2" s="1"/>
  <c r="K445" i="2"/>
  <c r="I445" i="2" s="1"/>
  <c r="L445" i="2"/>
  <c r="N445" i="2"/>
  <c r="H446" i="2"/>
  <c r="I446" i="2"/>
  <c r="J446" i="2"/>
  <c r="M446" i="2" s="1"/>
  <c r="K446" i="2"/>
  <c r="L446" i="2"/>
  <c r="N446" i="2"/>
  <c r="H447" i="2"/>
  <c r="I447" i="2"/>
  <c r="J447" i="2"/>
  <c r="K447" i="2"/>
  <c r="L447" i="2"/>
  <c r="M447" i="2"/>
  <c r="N447" i="2"/>
  <c r="H448" i="2"/>
  <c r="J448" i="2"/>
  <c r="M448" i="2" s="1"/>
  <c r="K448" i="2"/>
  <c r="I448" i="2" s="1"/>
  <c r="L448" i="2"/>
  <c r="N448" i="2"/>
  <c r="H449" i="2"/>
  <c r="J449" i="2"/>
  <c r="M449" i="2" s="1"/>
  <c r="K449" i="2"/>
  <c r="I449" i="2" s="1"/>
  <c r="L449" i="2"/>
  <c r="N449" i="2"/>
  <c r="H450" i="2"/>
  <c r="J450" i="2"/>
  <c r="K450" i="2"/>
  <c r="I450" i="2" s="1"/>
  <c r="L450" i="2"/>
  <c r="M450" i="2"/>
  <c r="N450" i="2"/>
  <c r="H451" i="2"/>
  <c r="I451" i="2"/>
  <c r="J451" i="2"/>
  <c r="K451" i="2"/>
  <c r="L451" i="2"/>
  <c r="N451" i="2"/>
  <c r="M451" i="2" s="1"/>
  <c r="H452" i="2"/>
  <c r="I452" i="2"/>
  <c r="J452" i="2"/>
  <c r="M452" i="2" s="1"/>
  <c r="K452" i="2"/>
  <c r="L452" i="2"/>
  <c r="N452" i="2"/>
  <c r="H453" i="2"/>
  <c r="J453" i="2"/>
  <c r="M453" i="2" s="1"/>
  <c r="K453" i="2"/>
  <c r="I453" i="2" s="1"/>
  <c r="L453" i="2"/>
  <c r="N453" i="2"/>
  <c r="H454" i="2"/>
  <c r="J454" i="2"/>
  <c r="M454" i="2" s="1"/>
  <c r="K454" i="2"/>
  <c r="I454" i="2" s="1"/>
  <c r="L454" i="2"/>
  <c r="N454" i="2"/>
  <c r="H455" i="2"/>
  <c r="I455" i="2"/>
  <c r="J455" i="2"/>
  <c r="M455" i="2" s="1"/>
  <c r="K455" i="2"/>
  <c r="L455" i="2"/>
  <c r="N455" i="2"/>
  <c r="H456" i="2"/>
  <c r="J456" i="2"/>
  <c r="K456" i="2"/>
  <c r="I456" i="2" s="1"/>
  <c r="L456" i="2"/>
  <c r="N456" i="2"/>
  <c r="M456" i="2" s="1"/>
  <c r="H457" i="2"/>
  <c r="J457" i="2"/>
  <c r="M457" i="2" s="1"/>
  <c r="K457" i="2"/>
  <c r="I457" i="2" s="1"/>
  <c r="L457" i="2"/>
  <c r="N457" i="2"/>
  <c r="H458" i="2"/>
  <c r="J458" i="2"/>
  <c r="K458" i="2"/>
  <c r="I458" i="2" s="1"/>
  <c r="L458" i="2"/>
  <c r="M458" i="2"/>
  <c r="N458" i="2"/>
  <c r="H459" i="2"/>
  <c r="I459" i="2"/>
  <c r="J459" i="2"/>
  <c r="K459" i="2"/>
  <c r="L459" i="2"/>
  <c r="N459" i="2"/>
  <c r="M459" i="2" s="1"/>
  <c r="H460" i="2"/>
  <c r="I460" i="2"/>
  <c r="J460" i="2"/>
  <c r="K460" i="2"/>
  <c r="L460" i="2"/>
  <c r="M460" i="2"/>
  <c r="N460" i="2"/>
  <c r="H461" i="2"/>
  <c r="J461" i="2"/>
  <c r="M461" i="2" s="1"/>
  <c r="K461" i="2"/>
  <c r="I461" i="2" s="1"/>
  <c r="L461" i="2"/>
  <c r="N461" i="2"/>
  <c r="H462" i="2"/>
  <c r="I462" i="2"/>
  <c r="J462" i="2"/>
  <c r="M462" i="2" s="1"/>
  <c r="K462" i="2"/>
  <c r="L462" i="2"/>
  <c r="N462" i="2"/>
  <c r="H463" i="2"/>
  <c r="I463" i="2"/>
  <c r="J463" i="2"/>
  <c r="K463" i="2"/>
  <c r="L463" i="2"/>
  <c r="M463" i="2"/>
  <c r="N463" i="2"/>
  <c r="H464" i="2"/>
  <c r="J464" i="2"/>
  <c r="M464" i="2" s="1"/>
  <c r="K464" i="2"/>
  <c r="I464" i="2" s="1"/>
  <c r="L464" i="2"/>
  <c r="N464" i="2"/>
  <c r="H465" i="2"/>
  <c r="J465" i="2"/>
  <c r="M465" i="2" s="1"/>
  <c r="K465" i="2"/>
  <c r="I465" i="2" s="1"/>
  <c r="L465" i="2"/>
  <c r="N465" i="2"/>
  <c r="H466" i="2"/>
  <c r="J466" i="2"/>
  <c r="K466" i="2"/>
  <c r="I466" i="2" s="1"/>
  <c r="L466" i="2"/>
  <c r="M466" i="2"/>
  <c r="N466" i="2"/>
  <c r="H467" i="2"/>
  <c r="I467" i="2"/>
  <c r="J467" i="2"/>
  <c r="K467" i="2"/>
  <c r="L467" i="2"/>
  <c r="N467" i="2"/>
  <c r="M467" i="2" s="1"/>
  <c r="H468" i="2"/>
  <c r="I468" i="2"/>
  <c r="J468" i="2"/>
  <c r="M468" i="2" s="1"/>
  <c r="K468" i="2"/>
  <c r="L468" i="2"/>
  <c r="N468" i="2"/>
  <c r="H469" i="2"/>
  <c r="J469" i="2"/>
  <c r="M469" i="2" s="1"/>
  <c r="K469" i="2"/>
  <c r="I469" i="2" s="1"/>
  <c r="L469" i="2"/>
  <c r="N469" i="2"/>
  <c r="H470" i="2"/>
  <c r="J470" i="2"/>
  <c r="M470" i="2" s="1"/>
  <c r="K470" i="2"/>
  <c r="I470" i="2" s="1"/>
  <c r="L470" i="2"/>
  <c r="N470" i="2"/>
  <c r="H471" i="2"/>
  <c r="I471" i="2"/>
  <c r="J471" i="2"/>
  <c r="M471" i="2" s="1"/>
  <c r="K471" i="2"/>
  <c r="L471" i="2"/>
  <c r="N471" i="2"/>
  <c r="H472" i="2"/>
  <c r="J472" i="2"/>
  <c r="K472" i="2"/>
  <c r="I472" i="2" s="1"/>
  <c r="L472" i="2"/>
  <c r="N472" i="2"/>
  <c r="M472" i="2" s="1"/>
  <c r="H473" i="2"/>
  <c r="J473" i="2"/>
  <c r="M473" i="2" s="1"/>
  <c r="K473" i="2"/>
  <c r="I473" i="2" s="1"/>
  <c r="L473" i="2"/>
  <c r="N473" i="2"/>
  <c r="H474" i="2"/>
  <c r="J474" i="2"/>
  <c r="K474" i="2"/>
  <c r="I474" i="2" s="1"/>
  <c r="L474" i="2"/>
  <c r="M474" i="2"/>
  <c r="N474" i="2"/>
  <c r="H475" i="2"/>
  <c r="I475" i="2"/>
  <c r="J475" i="2"/>
  <c r="K475" i="2"/>
  <c r="L475" i="2"/>
  <c r="N475" i="2"/>
  <c r="M475" i="2" s="1"/>
  <c r="H476" i="2"/>
  <c r="I476" i="2"/>
  <c r="J476" i="2"/>
  <c r="K476" i="2"/>
  <c r="L476" i="2"/>
  <c r="M476" i="2"/>
  <c r="N476" i="2"/>
  <c r="H477" i="2"/>
  <c r="J477" i="2"/>
  <c r="M477" i="2" s="1"/>
  <c r="K477" i="2"/>
  <c r="I477" i="2" s="1"/>
  <c r="L477" i="2"/>
  <c r="N477" i="2"/>
  <c r="H478" i="2"/>
  <c r="I478" i="2"/>
  <c r="J478" i="2"/>
  <c r="M478" i="2" s="1"/>
  <c r="K478" i="2"/>
  <c r="L478" i="2"/>
  <c r="N478" i="2"/>
  <c r="H479" i="2"/>
  <c r="I479" i="2"/>
  <c r="J479" i="2"/>
  <c r="K479" i="2"/>
  <c r="L479" i="2"/>
  <c r="M479" i="2"/>
  <c r="N479" i="2"/>
  <c r="H480" i="2"/>
  <c r="J480" i="2"/>
  <c r="M480" i="2" s="1"/>
  <c r="K480" i="2"/>
  <c r="I480" i="2" s="1"/>
  <c r="L480" i="2"/>
  <c r="N480" i="2"/>
  <c r="H481" i="2"/>
  <c r="J481" i="2"/>
  <c r="M481" i="2" s="1"/>
  <c r="K481" i="2"/>
  <c r="I481" i="2" s="1"/>
  <c r="L481" i="2"/>
  <c r="N481" i="2"/>
  <c r="H482" i="2"/>
  <c r="J482" i="2"/>
  <c r="K482" i="2"/>
  <c r="I482" i="2" s="1"/>
  <c r="L482" i="2"/>
  <c r="M482" i="2"/>
  <c r="N482" i="2"/>
  <c r="H483" i="2"/>
  <c r="I483" i="2"/>
  <c r="J483" i="2"/>
  <c r="K483" i="2"/>
  <c r="L483" i="2"/>
  <c r="N483" i="2"/>
  <c r="M483" i="2" s="1"/>
  <c r="H484" i="2"/>
  <c r="I484" i="2"/>
  <c r="J484" i="2"/>
  <c r="M484" i="2" s="1"/>
  <c r="K484" i="2"/>
  <c r="L484" i="2"/>
  <c r="N484" i="2"/>
  <c r="H485" i="2"/>
  <c r="J485" i="2"/>
  <c r="M485" i="2" s="1"/>
  <c r="K485" i="2"/>
  <c r="I485" i="2" s="1"/>
  <c r="L485" i="2"/>
  <c r="N485" i="2"/>
  <c r="H486" i="2"/>
  <c r="J486" i="2"/>
  <c r="M486" i="2" s="1"/>
  <c r="K486" i="2"/>
  <c r="I486" i="2" s="1"/>
  <c r="L486" i="2"/>
  <c r="N486" i="2"/>
  <c r="H487" i="2"/>
  <c r="I487" i="2"/>
  <c r="J487" i="2"/>
  <c r="M487" i="2" s="1"/>
  <c r="K487" i="2"/>
  <c r="L487" i="2"/>
  <c r="N487" i="2"/>
  <c r="H488" i="2"/>
  <c r="J488" i="2"/>
  <c r="K488" i="2"/>
  <c r="I488" i="2" s="1"/>
  <c r="L488" i="2"/>
  <c r="N488" i="2"/>
  <c r="M488" i="2" s="1"/>
  <c r="H489" i="2"/>
  <c r="J489" i="2"/>
  <c r="M489" i="2" s="1"/>
  <c r="K489" i="2"/>
  <c r="I489" i="2" s="1"/>
  <c r="L489" i="2"/>
  <c r="N489" i="2"/>
  <c r="H490" i="2"/>
  <c r="J490" i="2"/>
  <c r="K490" i="2"/>
  <c r="I490" i="2" s="1"/>
  <c r="L490" i="2"/>
  <c r="M490" i="2"/>
  <c r="N490" i="2"/>
  <c r="H491" i="2"/>
  <c r="I491" i="2"/>
  <c r="J491" i="2"/>
  <c r="K491" i="2"/>
  <c r="L491" i="2"/>
  <c r="N491" i="2"/>
  <c r="M491" i="2" s="1"/>
  <c r="H492" i="2"/>
  <c r="I492" i="2"/>
  <c r="J492" i="2"/>
  <c r="K492" i="2"/>
  <c r="L492" i="2"/>
  <c r="M492" i="2"/>
  <c r="N492" i="2"/>
  <c r="H493" i="2"/>
  <c r="J493" i="2"/>
  <c r="M493" i="2" s="1"/>
  <c r="K493" i="2"/>
  <c r="I493" i="2" s="1"/>
  <c r="L493" i="2"/>
  <c r="N493" i="2"/>
  <c r="H494" i="2"/>
  <c r="I494" i="2"/>
  <c r="J494" i="2"/>
  <c r="M494" i="2" s="1"/>
  <c r="K494" i="2"/>
  <c r="L494" i="2"/>
  <c r="N494" i="2"/>
  <c r="H495" i="2"/>
  <c r="I495" i="2"/>
  <c r="J495" i="2"/>
  <c r="K495" i="2"/>
  <c r="L495" i="2"/>
  <c r="M495" i="2"/>
  <c r="N495" i="2"/>
  <c r="H496" i="2"/>
  <c r="J496" i="2"/>
  <c r="M496" i="2" s="1"/>
  <c r="K496" i="2"/>
  <c r="I496" i="2" s="1"/>
  <c r="L496" i="2"/>
  <c r="N496" i="2"/>
  <c r="H497" i="2"/>
  <c r="J497" i="2"/>
  <c r="M497" i="2" s="1"/>
  <c r="K497" i="2"/>
  <c r="I497" i="2" s="1"/>
  <c r="L497" i="2"/>
  <c r="N497" i="2"/>
  <c r="H498" i="2"/>
  <c r="J498" i="2"/>
  <c r="K498" i="2"/>
  <c r="I498" i="2" s="1"/>
  <c r="L498" i="2"/>
  <c r="M498" i="2"/>
  <c r="N498" i="2"/>
  <c r="H499" i="2"/>
  <c r="I499" i="2"/>
  <c r="J499" i="2"/>
  <c r="K499" i="2"/>
  <c r="L499" i="2"/>
  <c r="N499" i="2"/>
  <c r="M499" i="2" s="1"/>
  <c r="H500" i="2"/>
  <c r="I500" i="2"/>
  <c r="J500" i="2"/>
  <c r="M500" i="2" s="1"/>
  <c r="K500" i="2"/>
  <c r="L500" i="2"/>
  <c r="N500" i="2"/>
  <c r="H501" i="2"/>
  <c r="J501" i="2"/>
  <c r="M501" i="2" s="1"/>
  <c r="K501" i="2"/>
  <c r="I501" i="2" s="1"/>
  <c r="L501" i="2"/>
  <c r="N501" i="2"/>
  <c r="H502" i="2"/>
  <c r="J502" i="2"/>
  <c r="M502" i="2" s="1"/>
  <c r="K502" i="2"/>
  <c r="I502" i="2" s="1"/>
  <c r="L502" i="2"/>
  <c r="N502" i="2"/>
  <c r="H503" i="2"/>
  <c r="I503" i="2"/>
  <c r="J503" i="2"/>
  <c r="M503" i="2" s="1"/>
  <c r="K503" i="2"/>
  <c r="L503" i="2"/>
  <c r="N503" i="2"/>
  <c r="H504" i="2"/>
  <c r="J504" i="2"/>
  <c r="K504" i="2"/>
  <c r="I504" i="2" s="1"/>
  <c r="L504" i="2"/>
  <c r="N504" i="2"/>
  <c r="M504" i="2" s="1"/>
  <c r="H505" i="2"/>
  <c r="J505" i="2"/>
  <c r="M505" i="2" s="1"/>
  <c r="K505" i="2"/>
  <c r="I505" i="2" s="1"/>
  <c r="L505" i="2"/>
  <c r="N505" i="2"/>
  <c r="H506" i="2"/>
  <c r="J506" i="2"/>
  <c r="K506" i="2"/>
  <c r="I506" i="2" s="1"/>
  <c r="L506" i="2"/>
  <c r="M506" i="2"/>
  <c r="N506" i="2"/>
  <c r="H507" i="2"/>
  <c r="I507" i="2"/>
  <c r="J507" i="2"/>
  <c r="K507" i="2"/>
  <c r="L507" i="2"/>
  <c r="N507" i="2"/>
  <c r="M507" i="2" s="1"/>
  <c r="H508" i="2"/>
  <c r="I508" i="2"/>
  <c r="J508" i="2"/>
  <c r="K508" i="2"/>
  <c r="L508" i="2"/>
  <c r="M508" i="2"/>
  <c r="N508" i="2"/>
  <c r="H509" i="2"/>
  <c r="J509" i="2"/>
  <c r="M509" i="2" s="1"/>
  <c r="K509" i="2"/>
  <c r="I509" i="2" s="1"/>
  <c r="L509" i="2"/>
  <c r="N509" i="2"/>
  <c r="H510" i="2"/>
  <c r="I510" i="2"/>
  <c r="J510" i="2"/>
  <c r="M510" i="2" s="1"/>
  <c r="K510" i="2"/>
  <c r="L510" i="2"/>
  <c r="N510" i="2"/>
  <c r="H511" i="2"/>
  <c r="I511" i="2"/>
  <c r="J511" i="2"/>
  <c r="K511" i="2"/>
  <c r="L511" i="2"/>
  <c r="M511" i="2"/>
  <c r="N511" i="2"/>
  <c r="H512" i="2"/>
  <c r="J512" i="2"/>
  <c r="M512" i="2" s="1"/>
  <c r="K512" i="2"/>
  <c r="I512" i="2" s="1"/>
  <c r="L512" i="2"/>
  <c r="N512" i="2"/>
  <c r="H513" i="2"/>
  <c r="J513" i="2"/>
  <c r="M513" i="2" s="1"/>
  <c r="K513" i="2"/>
  <c r="I513" i="2" s="1"/>
  <c r="L513" i="2"/>
  <c r="N513" i="2"/>
  <c r="H514" i="2"/>
  <c r="J514" i="2"/>
  <c r="K514" i="2"/>
  <c r="I514" i="2" s="1"/>
  <c r="L514" i="2"/>
  <c r="M514" i="2"/>
  <c r="N514" i="2"/>
  <c r="H515" i="2"/>
  <c r="I515" i="2"/>
  <c r="J515" i="2"/>
  <c r="K515" i="2"/>
  <c r="L515" i="2"/>
  <c r="N515" i="2"/>
  <c r="M515" i="2" s="1"/>
  <c r="H516" i="2"/>
  <c r="I516" i="2"/>
  <c r="J516" i="2"/>
  <c r="M516" i="2" s="1"/>
  <c r="K516" i="2"/>
  <c r="L516" i="2"/>
  <c r="N516" i="2"/>
  <c r="H517" i="2"/>
  <c r="J517" i="2"/>
  <c r="M517" i="2" s="1"/>
  <c r="K517" i="2"/>
  <c r="I517" i="2" s="1"/>
  <c r="L517" i="2"/>
  <c r="N517" i="2"/>
  <c r="H518" i="2"/>
  <c r="J518" i="2"/>
  <c r="M518" i="2" s="1"/>
  <c r="K518" i="2"/>
  <c r="I518" i="2" s="1"/>
  <c r="L518" i="2"/>
  <c r="N518" i="2"/>
  <c r="H519" i="2"/>
  <c r="I519" i="2"/>
  <c r="J519" i="2"/>
  <c r="M519" i="2" s="1"/>
  <c r="K519" i="2"/>
  <c r="L519" i="2"/>
  <c r="N519" i="2"/>
  <c r="H520" i="2"/>
  <c r="J520" i="2"/>
  <c r="K520" i="2"/>
  <c r="I520" i="2" s="1"/>
  <c r="L520" i="2"/>
  <c r="N520" i="2"/>
  <c r="M520" i="2" s="1"/>
  <c r="H521" i="2"/>
  <c r="J521" i="2"/>
  <c r="M521" i="2" s="1"/>
  <c r="K521" i="2"/>
  <c r="I521" i="2" s="1"/>
  <c r="L521" i="2"/>
  <c r="N521" i="2"/>
  <c r="H522" i="2"/>
  <c r="J522" i="2"/>
  <c r="K522" i="2"/>
  <c r="I522" i="2" s="1"/>
  <c r="L522" i="2"/>
  <c r="M522" i="2"/>
  <c r="N522" i="2"/>
  <c r="H523" i="2"/>
  <c r="I523" i="2"/>
  <c r="J523" i="2"/>
  <c r="K523" i="2"/>
  <c r="L523" i="2"/>
  <c r="N523" i="2"/>
  <c r="M523" i="2" s="1"/>
  <c r="H524" i="2"/>
  <c r="I524" i="2"/>
  <c r="J524" i="2"/>
  <c r="K524" i="2"/>
  <c r="L524" i="2"/>
  <c r="N524" i="2"/>
  <c r="M524" i="2" s="1"/>
  <c r="H525" i="2"/>
  <c r="J525" i="2"/>
  <c r="M525" i="2" s="1"/>
  <c r="K525" i="2"/>
  <c r="I525" i="2" s="1"/>
  <c r="L525" i="2"/>
  <c r="N525" i="2"/>
  <c r="H526" i="2"/>
  <c r="I526" i="2"/>
  <c r="J526" i="2"/>
  <c r="M526" i="2" s="1"/>
  <c r="K526" i="2"/>
  <c r="L526" i="2"/>
  <c r="N526" i="2"/>
  <c r="H527" i="2"/>
  <c r="I527" i="2"/>
  <c r="J527" i="2"/>
  <c r="K527" i="2"/>
  <c r="L527" i="2"/>
  <c r="M527" i="2"/>
  <c r="N527" i="2"/>
  <c r="H528" i="2"/>
  <c r="J528" i="2"/>
  <c r="M528" i="2" s="1"/>
  <c r="K528" i="2"/>
  <c r="I528" i="2" s="1"/>
  <c r="L528" i="2"/>
  <c r="N528" i="2"/>
  <c r="H529" i="2"/>
  <c r="J529" i="2"/>
  <c r="M529" i="2" s="1"/>
  <c r="K529" i="2"/>
  <c r="I529" i="2" s="1"/>
  <c r="L529" i="2"/>
  <c r="N529" i="2"/>
  <c r="H530" i="2"/>
  <c r="J530" i="2"/>
  <c r="K530" i="2"/>
  <c r="I530" i="2" s="1"/>
  <c r="L530" i="2"/>
  <c r="M530" i="2"/>
  <c r="N530" i="2"/>
  <c r="H531" i="2"/>
  <c r="I531" i="2"/>
  <c r="J531" i="2"/>
  <c r="K531" i="2"/>
  <c r="L531" i="2"/>
  <c r="M531" i="2"/>
  <c r="N531" i="2"/>
  <c r="H532" i="2"/>
  <c r="I532" i="2"/>
  <c r="J532" i="2"/>
  <c r="M532" i="2" s="1"/>
  <c r="K532" i="2"/>
  <c r="L532" i="2"/>
  <c r="N532" i="2"/>
  <c r="H533" i="2"/>
  <c r="J533" i="2"/>
  <c r="M533" i="2" s="1"/>
  <c r="K533" i="2"/>
  <c r="I533" i="2" s="1"/>
  <c r="L533" i="2"/>
  <c r="N533" i="2"/>
  <c r="H534" i="2"/>
  <c r="J534" i="2"/>
  <c r="M534" i="2" s="1"/>
  <c r="K534" i="2"/>
  <c r="I534" i="2" s="1"/>
  <c r="L534" i="2"/>
  <c r="N534" i="2"/>
  <c r="H535" i="2"/>
  <c r="I535" i="2"/>
  <c r="J535" i="2"/>
  <c r="M535" i="2" s="1"/>
  <c r="K535" i="2"/>
  <c r="L535" i="2"/>
  <c r="N535" i="2"/>
  <c r="H536" i="2"/>
  <c r="J536" i="2"/>
  <c r="K536" i="2"/>
  <c r="I536" i="2" s="1"/>
  <c r="L536" i="2"/>
  <c r="N536" i="2"/>
  <c r="M536" i="2" s="1"/>
  <c r="H537" i="2"/>
  <c r="J537" i="2"/>
  <c r="M537" i="2" s="1"/>
  <c r="K537" i="2"/>
  <c r="I537" i="2" s="1"/>
  <c r="L537" i="2"/>
  <c r="N537" i="2"/>
  <c r="H538" i="2"/>
  <c r="J538" i="2"/>
  <c r="K538" i="2"/>
  <c r="I538" i="2" s="1"/>
  <c r="L538" i="2"/>
  <c r="M538" i="2"/>
  <c r="N538" i="2"/>
  <c r="H539" i="2"/>
  <c r="I539" i="2"/>
  <c r="J539" i="2"/>
  <c r="K539" i="2"/>
  <c r="L539" i="2"/>
  <c r="N539" i="2"/>
  <c r="M539" i="2" s="1"/>
  <c r="H540" i="2"/>
  <c r="I540" i="2"/>
  <c r="J540" i="2"/>
  <c r="K540" i="2"/>
  <c r="L540" i="2"/>
  <c r="M540" i="2"/>
  <c r="N540" i="2"/>
  <c r="H541" i="2"/>
  <c r="J541" i="2"/>
  <c r="M541" i="2" s="1"/>
  <c r="K541" i="2"/>
  <c r="I541" i="2" s="1"/>
  <c r="L541" i="2"/>
  <c r="N541" i="2"/>
  <c r="H542" i="2"/>
  <c r="I542" i="2"/>
  <c r="J542" i="2"/>
  <c r="M542" i="2" s="1"/>
  <c r="K542" i="2"/>
  <c r="L542" i="2"/>
  <c r="N542" i="2"/>
  <c r="H543" i="2"/>
  <c r="I543" i="2"/>
  <c r="J543" i="2"/>
  <c r="K543" i="2"/>
  <c r="L543" i="2"/>
  <c r="M543" i="2"/>
  <c r="N543" i="2"/>
  <c r="H544" i="2"/>
  <c r="J544" i="2"/>
  <c r="M544" i="2" s="1"/>
  <c r="K544" i="2"/>
  <c r="I544" i="2" s="1"/>
  <c r="L544" i="2"/>
  <c r="N544" i="2"/>
  <c r="H545" i="2"/>
  <c r="J545" i="2"/>
  <c r="M545" i="2" s="1"/>
  <c r="K545" i="2"/>
  <c r="I545" i="2" s="1"/>
  <c r="L545" i="2"/>
  <c r="N545" i="2"/>
  <c r="H546" i="2"/>
  <c r="J546" i="2"/>
  <c r="K546" i="2"/>
  <c r="I546" i="2" s="1"/>
  <c r="L546" i="2"/>
  <c r="M546" i="2"/>
  <c r="N546" i="2"/>
  <c r="H547" i="2"/>
  <c r="I547" i="2"/>
  <c r="J547" i="2"/>
  <c r="K547" i="2"/>
  <c r="L547" i="2"/>
  <c r="M547" i="2"/>
  <c r="N547" i="2"/>
  <c r="H548" i="2"/>
  <c r="I548" i="2"/>
  <c r="J548" i="2"/>
  <c r="M548" i="2" s="1"/>
  <c r="K548" i="2"/>
  <c r="L548" i="2"/>
  <c r="N548" i="2"/>
  <c r="H549" i="2"/>
  <c r="J549" i="2"/>
  <c r="M549" i="2" s="1"/>
  <c r="K549" i="2"/>
  <c r="I549" i="2" s="1"/>
  <c r="L549" i="2"/>
  <c r="N549" i="2"/>
  <c r="H550" i="2"/>
  <c r="J550" i="2"/>
  <c r="M550" i="2" s="1"/>
  <c r="K550" i="2"/>
  <c r="I550" i="2" s="1"/>
  <c r="L550" i="2"/>
  <c r="N550" i="2"/>
  <c r="H551" i="2"/>
  <c r="I551" i="2"/>
  <c r="J551" i="2"/>
  <c r="M551" i="2" s="1"/>
  <c r="K551" i="2"/>
  <c r="L551" i="2"/>
  <c r="N551" i="2"/>
  <c r="H552" i="2"/>
  <c r="J552" i="2"/>
  <c r="K552" i="2"/>
  <c r="I552" i="2" s="1"/>
  <c r="L552" i="2"/>
  <c r="N552" i="2"/>
  <c r="M552" i="2" s="1"/>
  <c r="H553" i="2"/>
  <c r="J553" i="2"/>
  <c r="M553" i="2" s="1"/>
  <c r="K553" i="2"/>
  <c r="I553" i="2" s="1"/>
  <c r="L553" i="2"/>
  <c r="N553" i="2"/>
  <c r="H554" i="2"/>
  <c r="J554" i="2"/>
  <c r="K554" i="2"/>
  <c r="I554" i="2" s="1"/>
  <c r="L554" i="2"/>
  <c r="M554" i="2"/>
  <c r="N554" i="2"/>
  <c r="H555" i="2"/>
  <c r="I555" i="2"/>
  <c r="J555" i="2"/>
  <c r="K555" i="2"/>
  <c r="L555" i="2"/>
  <c r="N555" i="2"/>
  <c r="M555" i="2" s="1"/>
  <c r="H556" i="2"/>
  <c r="I556" i="2"/>
  <c r="J556" i="2"/>
  <c r="K556" i="2"/>
  <c r="L556" i="2"/>
  <c r="N556" i="2"/>
  <c r="M556" i="2" s="1"/>
  <c r="H557" i="2"/>
  <c r="J557" i="2"/>
  <c r="M557" i="2" s="1"/>
  <c r="K557" i="2"/>
  <c r="I557" i="2" s="1"/>
  <c r="L557" i="2"/>
  <c r="N557" i="2"/>
  <c r="H558" i="2"/>
  <c r="I558" i="2"/>
  <c r="J558" i="2"/>
  <c r="M558" i="2" s="1"/>
  <c r="K558" i="2"/>
  <c r="L558" i="2"/>
  <c r="N558" i="2"/>
  <c r="H559" i="2"/>
  <c r="I559" i="2"/>
  <c r="J559" i="2"/>
  <c r="K559" i="2"/>
  <c r="L559" i="2"/>
  <c r="M559" i="2"/>
  <c r="N559" i="2"/>
  <c r="H560" i="2"/>
  <c r="J560" i="2"/>
  <c r="M560" i="2" s="1"/>
  <c r="K560" i="2"/>
  <c r="I560" i="2" s="1"/>
  <c r="L560" i="2"/>
  <c r="N560" i="2"/>
  <c r="H561" i="2"/>
  <c r="J561" i="2"/>
  <c r="M561" i="2" s="1"/>
  <c r="K561" i="2"/>
  <c r="I561" i="2" s="1"/>
  <c r="L561" i="2"/>
  <c r="N561" i="2"/>
  <c r="H562" i="2"/>
  <c r="J562" i="2"/>
  <c r="K562" i="2"/>
  <c r="I562" i="2" s="1"/>
  <c r="L562" i="2"/>
  <c r="M562" i="2"/>
  <c r="N562" i="2"/>
  <c r="H563" i="2"/>
  <c r="I563" i="2"/>
  <c r="J563" i="2"/>
  <c r="K563" i="2"/>
  <c r="L563" i="2"/>
  <c r="M563" i="2"/>
  <c r="N563" i="2"/>
  <c r="H564" i="2"/>
  <c r="I564" i="2"/>
  <c r="J564" i="2"/>
  <c r="M564" i="2" s="1"/>
  <c r="K564" i="2"/>
  <c r="L564" i="2"/>
  <c r="N564" i="2"/>
  <c r="H565" i="2"/>
  <c r="J565" i="2"/>
  <c r="M565" i="2" s="1"/>
  <c r="K565" i="2"/>
  <c r="I565" i="2" s="1"/>
  <c r="L565" i="2"/>
  <c r="N565" i="2"/>
  <c r="H566" i="2"/>
  <c r="J566" i="2"/>
  <c r="M566" i="2" s="1"/>
  <c r="K566" i="2"/>
  <c r="I566" i="2" s="1"/>
  <c r="L566" i="2"/>
  <c r="N566" i="2"/>
  <c r="H567" i="2"/>
  <c r="I567" i="2"/>
  <c r="J567" i="2"/>
  <c r="M567" i="2" s="1"/>
  <c r="K567" i="2"/>
  <c r="L567" i="2"/>
  <c r="N567" i="2"/>
  <c r="H568" i="2"/>
  <c r="J568" i="2"/>
  <c r="K568" i="2"/>
  <c r="I568" i="2" s="1"/>
  <c r="L568" i="2"/>
  <c r="N568" i="2"/>
  <c r="M568" i="2" s="1"/>
  <c r="H569" i="2"/>
  <c r="J569" i="2"/>
  <c r="M569" i="2" s="1"/>
  <c r="K569" i="2"/>
  <c r="I569" i="2" s="1"/>
  <c r="L569" i="2"/>
  <c r="N569" i="2"/>
  <c r="H570" i="2"/>
  <c r="J570" i="2"/>
  <c r="K570" i="2"/>
  <c r="I570" i="2" s="1"/>
  <c r="L570" i="2"/>
  <c r="M570" i="2"/>
  <c r="N570" i="2"/>
  <c r="H571" i="2"/>
  <c r="I571" i="2"/>
  <c r="J571" i="2"/>
  <c r="K571" i="2"/>
  <c r="L571" i="2"/>
  <c r="N571" i="2"/>
  <c r="M571" i="2" s="1"/>
  <c r="H572" i="2"/>
  <c r="I572" i="2"/>
  <c r="J572" i="2"/>
  <c r="K572" i="2"/>
  <c r="L572" i="2"/>
  <c r="N572" i="2"/>
  <c r="M572" i="2" s="1"/>
  <c r="H573" i="2"/>
  <c r="J573" i="2"/>
  <c r="M573" i="2" s="1"/>
  <c r="K573" i="2"/>
  <c r="I573" i="2" s="1"/>
  <c r="L573" i="2"/>
  <c r="N573" i="2"/>
  <c r="H574" i="2"/>
  <c r="I574" i="2"/>
  <c r="J574" i="2"/>
  <c r="M574" i="2" s="1"/>
  <c r="K574" i="2"/>
  <c r="L574" i="2"/>
  <c r="N574" i="2"/>
  <c r="H575" i="2"/>
  <c r="I575" i="2"/>
  <c r="J575" i="2"/>
  <c r="K575" i="2"/>
  <c r="L575" i="2"/>
  <c r="M575" i="2"/>
  <c r="N575" i="2"/>
  <c r="H576" i="2"/>
  <c r="J576" i="2"/>
  <c r="M576" i="2" s="1"/>
  <c r="K576" i="2"/>
  <c r="I576" i="2" s="1"/>
  <c r="L576" i="2"/>
  <c r="N576" i="2"/>
  <c r="H577" i="2"/>
  <c r="J577" i="2"/>
  <c r="M577" i="2" s="1"/>
  <c r="K577" i="2"/>
  <c r="I577" i="2" s="1"/>
  <c r="L577" i="2"/>
  <c r="N577" i="2"/>
  <c r="H578" i="2"/>
  <c r="J578" i="2"/>
  <c r="K578" i="2"/>
  <c r="I578" i="2" s="1"/>
  <c r="L578" i="2"/>
  <c r="M578" i="2"/>
  <c r="N578" i="2"/>
  <c r="H579" i="2"/>
  <c r="I579" i="2"/>
  <c r="J579" i="2"/>
  <c r="K579" i="2"/>
  <c r="L579" i="2"/>
  <c r="M579" i="2"/>
  <c r="N579" i="2"/>
  <c r="H580" i="2"/>
  <c r="I580" i="2"/>
  <c r="J580" i="2"/>
  <c r="M580" i="2" s="1"/>
  <c r="K580" i="2"/>
  <c r="L580" i="2"/>
  <c r="N580" i="2"/>
  <c r="H581" i="2"/>
  <c r="J581" i="2"/>
  <c r="M581" i="2" s="1"/>
  <c r="K581" i="2"/>
  <c r="I581" i="2" s="1"/>
  <c r="L581" i="2"/>
  <c r="N581" i="2"/>
  <c r="H582" i="2"/>
  <c r="J582" i="2"/>
  <c r="M582" i="2" s="1"/>
  <c r="K582" i="2"/>
  <c r="I582" i="2" s="1"/>
  <c r="L582" i="2"/>
  <c r="N582" i="2"/>
  <c r="H583" i="2"/>
  <c r="I583" i="2"/>
  <c r="J583" i="2"/>
  <c r="M583" i="2" s="1"/>
  <c r="K583" i="2"/>
  <c r="L583" i="2"/>
  <c r="N583" i="2"/>
  <c r="H584" i="2"/>
  <c r="J584" i="2"/>
  <c r="K584" i="2"/>
  <c r="I584" i="2" s="1"/>
  <c r="L584" i="2"/>
  <c r="N584" i="2"/>
  <c r="M584" i="2" s="1"/>
  <c r="H585" i="2"/>
  <c r="J585" i="2"/>
  <c r="M585" i="2" s="1"/>
  <c r="K585" i="2"/>
  <c r="I585" i="2" s="1"/>
  <c r="L585" i="2"/>
  <c r="N585" i="2"/>
  <c r="H586" i="2"/>
  <c r="J586" i="2"/>
  <c r="K586" i="2"/>
  <c r="I586" i="2" s="1"/>
  <c r="L586" i="2"/>
  <c r="M586" i="2"/>
  <c r="N586" i="2"/>
  <c r="H587" i="2"/>
  <c r="I587" i="2"/>
  <c r="J587" i="2"/>
  <c r="K587" i="2"/>
  <c r="L587" i="2"/>
  <c r="N587" i="2"/>
  <c r="M587" i="2" s="1"/>
  <c r="H588" i="2"/>
  <c r="I588" i="2"/>
  <c r="J588" i="2"/>
  <c r="K588" i="2"/>
  <c r="L588" i="2"/>
  <c r="N588" i="2"/>
  <c r="M588" i="2" s="1"/>
  <c r="H589" i="2"/>
  <c r="J589" i="2"/>
  <c r="M589" i="2" s="1"/>
  <c r="K589" i="2"/>
  <c r="I589" i="2" s="1"/>
  <c r="L589" i="2"/>
  <c r="N589" i="2"/>
  <c r="H590" i="2"/>
  <c r="I590" i="2"/>
  <c r="J590" i="2"/>
  <c r="M590" i="2" s="1"/>
  <c r="K590" i="2"/>
  <c r="L590" i="2"/>
  <c r="N590" i="2"/>
  <c r="H591" i="2"/>
  <c r="I591" i="2"/>
  <c r="J591" i="2"/>
  <c r="K591" i="2"/>
  <c r="L591" i="2"/>
  <c r="M591" i="2"/>
  <c r="N591" i="2"/>
  <c r="H592" i="2"/>
  <c r="J592" i="2"/>
  <c r="M592" i="2" s="1"/>
  <c r="K592" i="2"/>
  <c r="I592" i="2" s="1"/>
  <c r="L592" i="2"/>
  <c r="N592" i="2"/>
  <c r="H593" i="2"/>
  <c r="J593" i="2"/>
  <c r="M593" i="2" s="1"/>
  <c r="K593" i="2"/>
  <c r="I593" i="2" s="1"/>
  <c r="L593" i="2"/>
  <c r="N593" i="2"/>
  <c r="H594" i="2"/>
  <c r="J594" i="2"/>
  <c r="K594" i="2"/>
  <c r="I594" i="2" s="1"/>
  <c r="L594" i="2"/>
  <c r="M594" i="2"/>
  <c r="N594" i="2"/>
  <c r="H595" i="2"/>
  <c r="I595" i="2"/>
  <c r="J595" i="2"/>
  <c r="K595" i="2"/>
  <c r="L595" i="2"/>
  <c r="M595" i="2"/>
  <c r="N595" i="2"/>
  <c r="H596" i="2"/>
  <c r="I596" i="2"/>
  <c r="J596" i="2"/>
  <c r="M596" i="2" s="1"/>
  <c r="K596" i="2"/>
  <c r="L596" i="2"/>
  <c r="N596" i="2"/>
  <c r="H597" i="2"/>
  <c r="J597" i="2"/>
  <c r="M597" i="2" s="1"/>
  <c r="K597" i="2"/>
  <c r="I597" i="2" s="1"/>
  <c r="L597" i="2"/>
  <c r="N597" i="2"/>
  <c r="H598" i="2"/>
  <c r="J598" i="2"/>
  <c r="M598" i="2" s="1"/>
  <c r="K598" i="2"/>
  <c r="I598" i="2" s="1"/>
  <c r="L598" i="2"/>
  <c r="N598" i="2"/>
  <c r="H599" i="2"/>
  <c r="I599" i="2"/>
  <c r="J599" i="2"/>
  <c r="M599" i="2" s="1"/>
  <c r="K599" i="2"/>
  <c r="L599" i="2"/>
  <c r="N599" i="2"/>
  <c r="H600" i="2"/>
  <c r="J600" i="2"/>
  <c r="K600" i="2"/>
  <c r="I600" i="2" s="1"/>
  <c r="L600" i="2"/>
  <c r="N600" i="2"/>
  <c r="M600" i="2" s="1"/>
  <c r="H601" i="2"/>
  <c r="J601" i="2"/>
  <c r="M601" i="2" s="1"/>
  <c r="K601" i="2"/>
  <c r="I601" i="2" s="1"/>
  <c r="L601" i="2"/>
  <c r="N601" i="2"/>
  <c r="H602" i="2"/>
  <c r="J602" i="2"/>
  <c r="K602" i="2"/>
  <c r="I602" i="2" s="1"/>
  <c r="L602" i="2"/>
  <c r="M602" i="2"/>
  <c r="N602" i="2"/>
  <c r="H603" i="2"/>
  <c r="I603" i="2"/>
  <c r="J603" i="2"/>
  <c r="K603" i="2"/>
  <c r="L603" i="2"/>
  <c r="N603" i="2"/>
  <c r="M603" i="2" s="1"/>
  <c r="H604" i="2"/>
  <c r="I604" i="2"/>
  <c r="J604" i="2"/>
  <c r="K604" i="2"/>
  <c r="L604" i="2"/>
  <c r="N604" i="2"/>
  <c r="M604" i="2" s="1"/>
  <c r="H605" i="2"/>
  <c r="J605" i="2"/>
  <c r="M605" i="2" s="1"/>
  <c r="K605" i="2"/>
  <c r="I605" i="2" s="1"/>
  <c r="L605" i="2"/>
  <c r="N605" i="2"/>
  <c r="H606" i="2"/>
  <c r="I606" i="2"/>
  <c r="J606" i="2"/>
  <c r="M606" i="2" s="1"/>
  <c r="K606" i="2"/>
  <c r="L606" i="2"/>
  <c r="N606" i="2"/>
  <c r="L8" i="6"/>
  <c r="I8" i="6" s="1"/>
  <c r="M8" i="6"/>
  <c r="L9" i="6"/>
  <c r="I9" i="6" s="1"/>
  <c r="M9" i="6"/>
  <c r="L10" i="6"/>
  <c r="I10" i="6" s="1"/>
  <c r="M10" i="6"/>
  <c r="I11" i="6"/>
  <c r="K11" i="6"/>
  <c r="L11" i="6"/>
  <c r="J11" i="6" s="1"/>
  <c r="M11" i="6"/>
  <c r="O11" i="6"/>
  <c r="A4" i="6"/>
  <c r="A5" i="2"/>
  <c r="A6" i="2"/>
  <c r="O606" i="6"/>
  <c r="M606" i="6"/>
  <c r="L606" i="6"/>
  <c r="J606" i="6" s="1"/>
  <c r="K606" i="6"/>
  <c r="I606" i="6"/>
  <c r="O605" i="6"/>
  <c r="M605" i="6"/>
  <c r="L605" i="6"/>
  <c r="J605" i="6" s="1"/>
  <c r="K605" i="6"/>
  <c r="I605" i="6"/>
  <c r="O604" i="6"/>
  <c r="M604" i="6"/>
  <c r="L604" i="6"/>
  <c r="J604" i="6" s="1"/>
  <c r="K604" i="6"/>
  <c r="I604" i="6"/>
  <c r="O603" i="6"/>
  <c r="M603" i="6"/>
  <c r="L603" i="6"/>
  <c r="J603" i="6" s="1"/>
  <c r="K603" i="6"/>
  <c r="I603" i="6"/>
  <c r="O602" i="6"/>
  <c r="M602" i="6"/>
  <c r="L602" i="6"/>
  <c r="J602" i="6" s="1"/>
  <c r="K602" i="6"/>
  <c r="I602" i="6"/>
  <c r="O601" i="6"/>
  <c r="M601" i="6"/>
  <c r="L601" i="6"/>
  <c r="J601" i="6" s="1"/>
  <c r="K601" i="6"/>
  <c r="I601" i="6"/>
  <c r="O600" i="6"/>
  <c r="M600" i="6"/>
  <c r="L600" i="6"/>
  <c r="J600" i="6" s="1"/>
  <c r="K600" i="6"/>
  <c r="I600" i="6"/>
  <c r="O599" i="6"/>
  <c r="M599" i="6"/>
  <c r="L599" i="6"/>
  <c r="J599" i="6" s="1"/>
  <c r="K599" i="6"/>
  <c r="I599" i="6"/>
  <c r="O598" i="6"/>
  <c r="M598" i="6"/>
  <c r="L598" i="6"/>
  <c r="J598" i="6" s="1"/>
  <c r="K598" i="6"/>
  <c r="I598" i="6"/>
  <c r="O597" i="6"/>
  <c r="M597" i="6"/>
  <c r="L597" i="6"/>
  <c r="J597" i="6" s="1"/>
  <c r="K597" i="6"/>
  <c r="I597" i="6"/>
  <c r="O596" i="6"/>
  <c r="M596" i="6"/>
  <c r="L596" i="6"/>
  <c r="J596" i="6" s="1"/>
  <c r="K596" i="6"/>
  <c r="I596" i="6"/>
  <c r="O595" i="6"/>
  <c r="M595" i="6"/>
  <c r="L595" i="6"/>
  <c r="J595" i="6" s="1"/>
  <c r="K595" i="6"/>
  <c r="I595" i="6"/>
  <c r="O594" i="6"/>
  <c r="M594" i="6"/>
  <c r="L594" i="6"/>
  <c r="J594" i="6" s="1"/>
  <c r="K594" i="6"/>
  <c r="I594" i="6"/>
  <c r="O593" i="6"/>
  <c r="M593" i="6"/>
  <c r="L593" i="6"/>
  <c r="J593" i="6" s="1"/>
  <c r="K593" i="6"/>
  <c r="I593" i="6"/>
  <c r="O592" i="6"/>
  <c r="M592" i="6"/>
  <c r="L592" i="6"/>
  <c r="J592" i="6" s="1"/>
  <c r="K592" i="6"/>
  <c r="I592" i="6"/>
  <c r="O591" i="6"/>
  <c r="M591" i="6"/>
  <c r="L591" i="6"/>
  <c r="J591" i="6" s="1"/>
  <c r="K591" i="6"/>
  <c r="I591" i="6"/>
  <c r="O590" i="6"/>
  <c r="M590" i="6"/>
  <c r="L590" i="6"/>
  <c r="J590" i="6" s="1"/>
  <c r="K590" i="6"/>
  <c r="I590" i="6"/>
  <c r="O589" i="6"/>
  <c r="M589" i="6"/>
  <c r="L589" i="6"/>
  <c r="J589" i="6" s="1"/>
  <c r="K589" i="6"/>
  <c r="I589" i="6"/>
  <c r="O588" i="6"/>
  <c r="M588" i="6"/>
  <c r="L588" i="6"/>
  <c r="J588" i="6" s="1"/>
  <c r="K588" i="6"/>
  <c r="I588" i="6"/>
  <c r="O587" i="6"/>
  <c r="M587" i="6"/>
  <c r="L587" i="6"/>
  <c r="J587" i="6" s="1"/>
  <c r="K587" i="6"/>
  <c r="I587" i="6"/>
  <c r="O586" i="6"/>
  <c r="M586" i="6"/>
  <c r="L586" i="6"/>
  <c r="J586" i="6" s="1"/>
  <c r="K586" i="6"/>
  <c r="I586" i="6"/>
  <c r="O585" i="6"/>
  <c r="M585" i="6"/>
  <c r="L585" i="6"/>
  <c r="J585" i="6" s="1"/>
  <c r="K585" i="6"/>
  <c r="I585" i="6"/>
  <c r="O584" i="6"/>
  <c r="M584" i="6"/>
  <c r="L584" i="6"/>
  <c r="J584" i="6" s="1"/>
  <c r="K584" i="6"/>
  <c r="I584" i="6"/>
  <c r="O583" i="6"/>
  <c r="M583" i="6"/>
  <c r="L583" i="6"/>
  <c r="J583" i="6" s="1"/>
  <c r="K583" i="6"/>
  <c r="I583" i="6"/>
  <c r="O582" i="6"/>
  <c r="M582" i="6"/>
  <c r="L582" i="6"/>
  <c r="J582" i="6" s="1"/>
  <c r="K582" i="6"/>
  <c r="I582" i="6"/>
  <c r="O581" i="6"/>
  <c r="M581" i="6"/>
  <c r="L581" i="6"/>
  <c r="J581" i="6" s="1"/>
  <c r="K581" i="6"/>
  <c r="I581" i="6"/>
  <c r="O580" i="6"/>
  <c r="M580" i="6"/>
  <c r="L580" i="6"/>
  <c r="J580" i="6" s="1"/>
  <c r="K580" i="6"/>
  <c r="I580" i="6"/>
  <c r="O579" i="6"/>
  <c r="M579" i="6"/>
  <c r="L579" i="6"/>
  <c r="J579" i="6" s="1"/>
  <c r="K579" i="6"/>
  <c r="I579" i="6"/>
  <c r="O578" i="6"/>
  <c r="M578" i="6"/>
  <c r="L578" i="6"/>
  <c r="J578" i="6" s="1"/>
  <c r="K578" i="6"/>
  <c r="I578" i="6"/>
  <c r="O577" i="6"/>
  <c r="M577" i="6"/>
  <c r="L577" i="6"/>
  <c r="J577" i="6" s="1"/>
  <c r="K577" i="6"/>
  <c r="I577" i="6"/>
  <c r="O576" i="6"/>
  <c r="M576" i="6"/>
  <c r="L576" i="6"/>
  <c r="J576" i="6" s="1"/>
  <c r="K576" i="6"/>
  <c r="I576" i="6"/>
  <c r="O575" i="6"/>
  <c r="M575" i="6"/>
  <c r="L575" i="6"/>
  <c r="J575" i="6" s="1"/>
  <c r="K575" i="6"/>
  <c r="I575" i="6"/>
  <c r="O574" i="6"/>
  <c r="M574" i="6"/>
  <c r="L574" i="6"/>
  <c r="J574" i="6" s="1"/>
  <c r="K574" i="6"/>
  <c r="I574" i="6"/>
  <c r="O573" i="6"/>
  <c r="M573" i="6"/>
  <c r="L573" i="6"/>
  <c r="J573" i="6" s="1"/>
  <c r="K573" i="6"/>
  <c r="I573" i="6"/>
  <c r="O572" i="6"/>
  <c r="M572" i="6"/>
  <c r="L572" i="6"/>
  <c r="J572" i="6" s="1"/>
  <c r="K572" i="6"/>
  <c r="I572" i="6"/>
  <c r="O571" i="6"/>
  <c r="M571" i="6"/>
  <c r="L571" i="6"/>
  <c r="J571" i="6" s="1"/>
  <c r="K571" i="6"/>
  <c r="I571" i="6"/>
  <c r="O570" i="6"/>
  <c r="M570" i="6"/>
  <c r="L570" i="6"/>
  <c r="J570" i="6" s="1"/>
  <c r="K570" i="6"/>
  <c r="I570" i="6"/>
  <c r="O569" i="6"/>
  <c r="M569" i="6"/>
  <c r="L569" i="6"/>
  <c r="J569" i="6" s="1"/>
  <c r="K569" i="6"/>
  <c r="I569" i="6"/>
  <c r="O568" i="6"/>
  <c r="M568" i="6"/>
  <c r="L568" i="6"/>
  <c r="J568" i="6" s="1"/>
  <c r="K568" i="6"/>
  <c r="I568" i="6"/>
  <c r="O567" i="6"/>
  <c r="M567" i="6"/>
  <c r="L567" i="6"/>
  <c r="J567" i="6" s="1"/>
  <c r="K567" i="6"/>
  <c r="I567" i="6"/>
  <c r="O566" i="6"/>
  <c r="M566" i="6"/>
  <c r="L566" i="6"/>
  <c r="J566" i="6" s="1"/>
  <c r="K566" i="6"/>
  <c r="I566" i="6"/>
  <c r="O565" i="6"/>
  <c r="M565" i="6"/>
  <c r="L565" i="6"/>
  <c r="J565" i="6" s="1"/>
  <c r="K565" i="6"/>
  <c r="I565" i="6"/>
  <c r="O564" i="6"/>
  <c r="M564" i="6"/>
  <c r="L564" i="6"/>
  <c r="J564" i="6" s="1"/>
  <c r="K564" i="6"/>
  <c r="I564" i="6"/>
  <c r="O563" i="6"/>
  <c r="M563" i="6"/>
  <c r="L563" i="6"/>
  <c r="J563" i="6" s="1"/>
  <c r="K563" i="6"/>
  <c r="I563" i="6"/>
  <c r="O562" i="6"/>
  <c r="M562" i="6"/>
  <c r="L562" i="6"/>
  <c r="J562" i="6" s="1"/>
  <c r="K562" i="6"/>
  <c r="I562" i="6"/>
  <c r="O561" i="6"/>
  <c r="M561" i="6"/>
  <c r="L561" i="6"/>
  <c r="J561" i="6" s="1"/>
  <c r="K561" i="6"/>
  <c r="I561" i="6"/>
  <c r="O560" i="6"/>
  <c r="M560" i="6"/>
  <c r="L560" i="6"/>
  <c r="J560" i="6" s="1"/>
  <c r="K560" i="6"/>
  <c r="I560" i="6"/>
  <c r="O559" i="6"/>
  <c r="M559" i="6"/>
  <c r="L559" i="6"/>
  <c r="J559" i="6" s="1"/>
  <c r="K559" i="6"/>
  <c r="I559" i="6"/>
  <c r="O558" i="6"/>
  <c r="M558" i="6"/>
  <c r="L558" i="6"/>
  <c r="J558" i="6" s="1"/>
  <c r="K558" i="6"/>
  <c r="I558" i="6"/>
  <c r="O557" i="6"/>
  <c r="M557" i="6"/>
  <c r="L557" i="6"/>
  <c r="J557" i="6" s="1"/>
  <c r="K557" i="6"/>
  <c r="I557" i="6"/>
  <c r="O556" i="6"/>
  <c r="M556" i="6"/>
  <c r="L556" i="6"/>
  <c r="J556" i="6" s="1"/>
  <c r="K556" i="6"/>
  <c r="I556" i="6"/>
  <c r="O555" i="6"/>
  <c r="M555" i="6"/>
  <c r="L555" i="6"/>
  <c r="J555" i="6" s="1"/>
  <c r="K555" i="6"/>
  <c r="I555" i="6"/>
  <c r="O554" i="6"/>
  <c r="M554" i="6"/>
  <c r="L554" i="6"/>
  <c r="J554" i="6" s="1"/>
  <c r="K554" i="6"/>
  <c r="I554" i="6"/>
  <c r="O553" i="6"/>
  <c r="M553" i="6"/>
  <c r="L553" i="6"/>
  <c r="J553" i="6" s="1"/>
  <c r="K553" i="6"/>
  <c r="I553" i="6"/>
  <c r="O552" i="6"/>
  <c r="M552" i="6"/>
  <c r="L552" i="6"/>
  <c r="J552" i="6" s="1"/>
  <c r="K552" i="6"/>
  <c r="I552" i="6"/>
  <c r="O551" i="6"/>
  <c r="M551" i="6"/>
  <c r="L551" i="6"/>
  <c r="J551" i="6" s="1"/>
  <c r="K551" i="6"/>
  <c r="I551" i="6"/>
  <c r="O550" i="6"/>
  <c r="M550" i="6"/>
  <c r="L550" i="6"/>
  <c r="J550" i="6" s="1"/>
  <c r="K550" i="6"/>
  <c r="I550" i="6"/>
  <c r="O549" i="6"/>
  <c r="M549" i="6"/>
  <c r="L549" i="6"/>
  <c r="J549" i="6" s="1"/>
  <c r="K549" i="6"/>
  <c r="I549" i="6"/>
  <c r="O548" i="6"/>
  <c r="M548" i="6"/>
  <c r="L548" i="6"/>
  <c r="J548" i="6" s="1"/>
  <c r="K548" i="6"/>
  <c r="I548" i="6"/>
  <c r="O547" i="6"/>
  <c r="M547" i="6"/>
  <c r="L547" i="6"/>
  <c r="J547" i="6" s="1"/>
  <c r="K547" i="6"/>
  <c r="I547" i="6"/>
  <c r="O546" i="6"/>
  <c r="M546" i="6"/>
  <c r="L546" i="6"/>
  <c r="J546" i="6" s="1"/>
  <c r="K546" i="6"/>
  <c r="I546" i="6"/>
  <c r="O545" i="6"/>
  <c r="M545" i="6"/>
  <c r="L545" i="6"/>
  <c r="J545" i="6" s="1"/>
  <c r="K545" i="6"/>
  <c r="I545" i="6"/>
  <c r="O544" i="6"/>
  <c r="M544" i="6"/>
  <c r="L544" i="6"/>
  <c r="J544" i="6" s="1"/>
  <c r="K544" i="6"/>
  <c r="I544" i="6"/>
  <c r="O543" i="6"/>
  <c r="M543" i="6"/>
  <c r="L543" i="6"/>
  <c r="J543" i="6" s="1"/>
  <c r="K543" i="6"/>
  <c r="I543" i="6"/>
  <c r="O542" i="6"/>
  <c r="M542" i="6"/>
  <c r="L542" i="6"/>
  <c r="J542" i="6" s="1"/>
  <c r="K542" i="6"/>
  <c r="I542" i="6"/>
  <c r="O541" i="6"/>
  <c r="M541" i="6"/>
  <c r="L541" i="6"/>
  <c r="J541" i="6" s="1"/>
  <c r="K541" i="6"/>
  <c r="I541" i="6"/>
  <c r="O540" i="6"/>
  <c r="M540" i="6"/>
  <c r="L540" i="6"/>
  <c r="J540" i="6" s="1"/>
  <c r="K540" i="6"/>
  <c r="I540" i="6"/>
  <c r="O539" i="6"/>
  <c r="M539" i="6"/>
  <c r="L539" i="6"/>
  <c r="J539" i="6" s="1"/>
  <c r="K539" i="6"/>
  <c r="I539" i="6"/>
  <c r="O538" i="6"/>
  <c r="M538" i="6"/>
  <c r="L538" i="6"/>
  <c r="J538" i="6" s="1"/>
  <c r="K538" i="6"/>
  <c r="I538" i="6"/>
  <c r="O537" i="6"/>
  <c r="M537" i="6"/>
  <c r="L537" i="6"/>
  <c r="J537" i="6" s="1"/>
  <c r="K537" i="6"/>
  <c r="I537" i="6"/>
  <c r="O536" i="6"/>
  <c r="M536" i="6"/>
  <c r="L536" i="6"/>
  <c r="J536" i="6" s="1"/>
  <c r="K536" i="6"/>
  <c r="I536" i="6"/>
  <c r="O535" i="6"/>
  <c r="M535" i="6"/>
  <c r="L535" i="6"/>
  <c r="J535" i="6" s="1"/>
  <c r="K535" i="6"/>
  <c r="I535" i="6"/>
  <c r="O534" i="6"/>
  <c r="M534" i="6"/>
  <c r="L534" i="6"/>
  <c r="J534" i="6" s="1"/>
  <c r="K534" i="6"/>
  <c r="I534" i="6"/>
  <c r="O533" i="6"/>
  <c r="M533" i="6"/>
  <c r="L533" i="6"/>
  <c r="J533" i="6" s="1"/>
  <c r="K533" i="6"/>
  <c r="I533" i="6"/>
  <c r="O532" i="6"/>
  <c r="M532" i="6"/>
  <c r="L532" i="6"/>
  <c r="J532" i="6" s="1"/>
  <c r="K532" i="6"/>
  <c r="I532" i="6"/>
  <c r="O531" i="6"/>
  <c r="M531" i="6"/>
  <c r="L531" i="6"/>
  <c r="J531" i="6" s="1"/>
  <c r="K531" i="6"/>
  <c r="I531" i="6"/>
  <c r="O530" i="6"/>
  <c r="M530" i="6"/>
  <c r="L530" i="6"/>
  <c r="J530" i="6" s="1"/>
  <c r="K530" i="6"/>
  <c r="I530" i="6"/>
  <c r="O529" i="6"/>
  <c r="M529" i="6"/>
  <c r="L529" i="6"/>
  <c r="J529" i="6" s="1"/>
  <c r="K529" i="6"/>
  <c r="I529" i="6"/>
  <c r="O528" i="6"/>
  <c r="M528" i="6"/>
  <c r="L528" i="6"/>
  <c r="J528" i="6" s="1"/>
  <c r="K528" i="6"/>
  <c r="I528" i="6"/>
  <c r="O527" i="6"/>
  <c r="M527" i="6"/>
  <c r="L527" i="6"/>
  <c r="J527" i="6" s="1"/>
  <c r="K527" i="6"/>
  <c r="I527" i="6"/>
  <c r="O526" i="6"/>
  <c r="M526" i="6"/>
  <c r="L526" i="6"/>
  <c r="J526" i="6" s="1"/>
  <c r="K526" i="6"/>
  <c r="I526" i="6"/>
  <c r="O525" i="6"/>
  <c r="M525" i="6"/>
  <c r="L525" i="6"/>
  <c r="J525" i="6" s="1"/>
  <c r="K525" i="6"/>
  <c r="I525" i="6"/>
  <c r="O524" i="6"/>
  <c r="M524" i="6"/>
  <c r="L524" i="6"/>
  <c r="J524" i="6" s="1"/>
  <c r="K524" i="6"/>
  <c r="I524" i="6"/>
  <c r="O523" i="6"/>
  <c r="M523" i="6"/>
  <c r="L523" i="6"/>
  <c r="J523" i="6" s="1"/>
  <c r="K523" i="6"/>
  <c r="I523" i="6"/>
  <c r="O522" i="6"/>
  <c r="M522" i="6"/>
  <c r="L522" i="6"/>
  <c r="J522" i="6" s="1"/>
  <c r="K522" i="6"/>
  <c r="I522" i="6"/>
  <c r="O521" i="6"/>
  <c r="M521" i="6"/>
  <c r="L521" i="6"/>
  <c r="J521" i="6" s="1"/>
  <c r="K521" i="6"/>
  <c r="I521" i="6"/>
  <c r="O520" i="6"/>
  <c r="M520" i="6"/>
  <c r="L520" i="6"/>
  <c r="J520" i="6" s="1"/>
  <c r="K520" i="6"/>
  <c r="I520" i="6"/>
  <c r="O519" i="6"/>
  <c r="M519" i="6"/>
  <c r="L519" i="6"/>
  <c r="J519" i="6" s="1"/>
  <c r="K519" i="6"/>
  <c r="I519" i="6"/>
  <c r="O518" i="6"/>
  <c r="M518" i="6"/>
  <c r="L518" i="6"/>
  <c r="J518" i="6" s="1"/>
  <c r="K518" i="6"/>
  <c r="I518" i="6"/>
  <c r="O517" i="6"/>
  <c r="M517" i="6"/>
  <c r="L517" i="6"/>
  <c r="J517" i="6" s="1"/>
  <c r="K517" i="6"/>
  <c r="I517" i="6"/>
  <c r="O516" i="6"/>
  <c r="M516" i="6"/>
  <c r="L516" i="6"/>
  <c r="J516" i="6" s="1"/>
  <c r="K516" i="6"/>
  <c r="I516" i="6"/>
  <c r="O515" i="6"/>
  <c r="M515" i="6"/>
  <c r="L515" i="6"/>
  <c r="J515" i="6" s="1"/>
  <c r="K515" i="6"/>
  <c r="I515" i="6"/>
  <c r="O514" i="6"/>
  <c r="M514" i="6"/>
  <c r="L514" i="6"/>
  <c r="J514" i="6" s="1"/>
  <c r="K514" i="6"/>
  <c r="I514" i="6"/>
  <c r="O513" i="6"/>
  <c r="M513" i="6"/>
  <c r="L513" i="6"/>
  <c r="J513" i="6" s="1"/>
  <c r="K513" i="6"/>
  <c r="I513" i="6"/>
  <c r="O512" i="6"/>
  <c r="M512" i="6"/>
  <c r="L512" i="6"/>
  <c r="J512" i="6" s="1"/>
  <c r="K512" i="6"/>
  <c r="I512" i="6"/>
  <c r="O511" i="6"/>
  <c r="M511" i="6"/>
  <c r="L511" i="6"/>
  <c r="J511" i="6" s="1"/>
  <c r="K511" i="6"/>
  <c r="I511" i="6"/>
  <c r="O510" i="6"/>
  <c r="M510" i="6"/>
  <c r="L510" i="6"/>
  <c r="J510" i="6" s="1"/>
  <c r="K510" i="6"/>
  <c r="I510" i="6"/>
  <c r="O509" i="6"/>
  <c r="M509" i="6"/>
  <c r="L509" i="6"/>
  <c r="J509" i="6" s="1"/>
  <c r="K509" i="6"/>
  <c r="I509" i="6"/>
  <c r="O508" i="6"/>
  <c r="M508" i="6"/>
  <c r="L508" i="6"/>
  <c r="J508" i="6" s="1"/>
  <c r="K508" i="6"/>
  <c r="I508" i="6"/>
  <c r="O507" i="6"/>
  <c r="M507" i="6"/>
  <c r="L507" i="6"/>
  <c r="J507" i="6" s="1"/>
  <c r="K507" i="6"/>
  <c r="I507" i="6"/>
  <c r="O506" i="6"/>
  <c r="M506" i="6"/>
  <c r="L506" i="6"/>
  <c r="J506" i="6" s="1"/>
  <c r="K506" i="6"/>
  <c r="I506" i="6"/>
  <c r="O505" i="6"/>
  <c r="M505" i="6"/>
  <c r="L505" i="6"/>
  <c r="J505" i="6" s="1"/>
  <c r="K505" i="6"/>
  <c r="I505" i="6"/>
  <c r="O504" i="6"/>
  <c r="M504" i="6"/>
  <c r="L504" i="6"/>
  <c r="J504" i="6" s="1"/>
  <c r="K504" i="6"/>
  <c r="I504" i="6"/>
  <c r="O503" i="6"/>
  <c r="M503" i="6"/>
  <c r="L503" i="6"/>
  <c r="J503" i="6" s="1"/>
  <c r="K503" i="6"/>
  <c r="I503" i="6"/>
  <c r="O502" i="6"/>
  <c r="M502" i="6"/>
  <c r="L502" i="6"/>
  <c r="J502" i="6" s="1"/>
  <c r="K502" i="6"/>
  <c r="I502" i="6"/>
  <c r="O501" i="6"/>
  <c r="M501" i="6"/>
  <c r="L501" i="6"/>
  <c r="J501" i="6" s="1"/>
  <c r="K501" i="6"/>
  <c r="I501" i="6"/>
  <c r="O500" i="6"/>
  <c r="M500" i="6"/>
  <c r="L500" i="6"/>
  <c r="J500" i="6" s="1"/>
  <c r="K500" i="6"/>
  <c r="I500" i="6"/>
  <c r="O499" i="6"/>
  <c r="M499" i="6"/>
  <c r="L499" i="6"/>
  <c r="J499" i="6" s="1"/>
  <c r="K499" i="6"/>
  <c r="I499" i="6"/>
  <c r="O498" i="6"/>
  <c r="M498" i="6"/>
  <c r="L498" i="6"/>
  <c r="J498" i="6" s="1"/>
  <c r="K498" i="6"/>
  <c r="I498" i="6"/>
  <c r="O497" i="6"/>
  <c r="M497" i="6"/>
  <c r="L497" i="6"/>
  <c r="J497" i="6" s="1"/>
  <c r="K497" i="6"/>
  <c r="I497" i="6"/>
  <c r="O496" i="6"/>
  <c r="M496" i="6"/>
  <c r="L496" i="6"/>
  <c r="J496" i="6" s="1"/>
  <c r="K496" i="6"/>
  <c r="I496" i="6"/>
  <c r="O495" i="6"/>
  <c r="M495" i="6"/>
  <c r="L495" i="6"/>
  <c r="J495" i="6" s="1"/>
  <c r="K495" i="6"/>
  <c r="I495" i="6"/>
  <c r="O494" i="6"/>
  <c r="M494" i="6"/>
  <c r="L494" i="6"/>
  <c r="J494" i="6" s="1"/>
  <c r="K494" i="6"/>
  <c r="I494" i="6"/>
  <c r="O493" i="6"/>
  <c r="M493" i="6"/>
  <c r="L493" i="6"/>
  <c r="J493" i="6" s="1"/>
  <c r="K493" i="6"/>
  <c r="I493" i="6"/>
  <c r="O492" i="6"/>
  <c r="M492" i="6"/>
  <c r="L492" i="6"/>
  <c r="J492" i="6" s="1"/>
  <c r="K492" i="6"/>
  <c r="I492" i="6"/>
  <c r="O491" i="6"/>
  <c r="M491" i="6"/>
  <c r="L491" i="6"/>
  <c r="J491" i="6" s="1"/>
  <c r="K491" i="6"/>
  <c r="I491" i="6"/>
  <c r="O490" i="6"/>
  <c r="M490" i="6"/>
  <c r="L490" i="6"/>
  <c r="J490" i="6" s="1"/>
  <c r="K490" i="6"/>
  <c r="I490" i="6"/>
  <c r="O489" i="6"/>
  <c r="M489" i="6"/>
  <c r="L489" i="6"/>
  <c r="J489" i="6" s="1"/>
  <c r="K489" i="6"/>
  <c r="I489" i="6"/>
  <c r="O488" i="6"/>
  <c r="M488" i="6"/>
  <c r="L488" i="6"/>
  <c r="J488" i="6" s="1"/>
  <c r="K488" i="6"/>
  <c r="I488" i="6"/>
  <c r="O487" i="6"/>
  <c r="M487" i="6"/>
  <c r="L487" i="6"/>
  <c r="J487" i="6" s="1"/>
  <c r="K487" i="6"/>
  <c r="I487" i="6"/>
  <c r="O486" i="6"/>
  <c r="M486" i="6"/>
  <c r="L486" i="6"/>
  <c r="J486" i="6" s="1"/>
  <c r="K486" i="6"/>
  <c r="I486" i="6"/>
  <c r="O485" i="6"/>
  <c r="M485" i="6"/>
  <c r="L485" i="6"/>
  <c r="J485" i="6" s="1"/>
  <c r="K485" i="6"/>
  <c r="I485" i="6"/>
  <c r="O484" i="6"/>
  <c r="M484" i="6"/>
  <c r="L484" i="6"/>
  <c r="J484" i="6" s="1"/>
  <c r="K484" i="6"/>
  <c r="I484" i="6"/>
  <c r="O483" i="6"/>
  <c r="M483" i="6"/>
  <c r="L483" i="6"/>
  <c r="J483" i="6" s="1"/>
  <c r="K483" i="6"/>
  <c r="I483" i="6"/>
  <c r="O482" i="6"/>
  <c r="M482" i="6"/>
  <c r="L482" i="6"/>
  <c r="J482" i="6" s="1"/>
  <c r="K482" i="6"/>
  <c r="I482" i="6"/>
  <c r="O481" i="6"/>
  <c r="M481" i="6"/>
  <c r="L481" i="6"/>
  <c r="J481" i="6" s="1"/>
  <c r="K481" i="6"/>
  <c r="I481" i="6"/>
  <c r="O480" i="6"/>
  <c r="M480" i="6"/>
  <c r="L480" i="6"/>
  <c r="J480" i="6" s="1"/>
  <c r="K480" i="6"/>
  <c r="I480" i="6"/>
  <c r="O479" i="6"/>
  <c r="M479" i="6"/>
  <c r="L479" i="6"/>
  <c r="J479" i="6" s="1"/>
  <c r="K479" i="6"/>
  <c r="I479" i="6"/>
  <c r="O478" i="6"/>
  <c r="M478" i="6"/>
  <c r="L478" i="6"/>
  <c r="J478" i="6" s="1"/>
  <c r="K478" i="6"/>
  <c r="I478" i="6"/>
  <c r="O477" i="6"/>
  <c r="M477" i="6"/>
  <c r="L477" i="6"/>
  <c r="J477" i="6" s="1"/>
  <c r="K477" i="6"/>
  <c r="I477" i="6"/>
  <c r="O476" i="6"/>
  <c r="M476" i="6"/>
  <c r="L476" i="6"/>
  <c r="J476" i="6" s="1"/>
  <c r="K476" i="6"/>
  <c r="I476" i="6"/>
  <c r="O475" i="6"/>
  <c r="M475" i="6"/>
  <c r="L475" i="6"/>
  <c r="J475" i="6" s="1"/>
  <c r="K475" i="6"/>
  <c r="I475" i="6"/>
  <c r="O474" i="6"/>
  <c r="M474" i="6"/>
  <c r="L474" i="6"/>
  <c r="J474" i="6" s="1"/>
  <c r="K474" i="6"/>
  <c r="I474" i="6"/>
  <c r="O473" i="6"/>
  <c r="M473" i="6"/>
  <c r="L473" i="6"/>
  <c r="J473" i="6" s="1"/>
  <c r="K473" i="6"/>
  <c r="I473" i="6"/>
  <c r="O472" i="6"/>
  <c r="M472" i="6"/>
  <c r="L472" i="6"/>
  <c r="J472" i="6" s="1"/>
  <c r="K472" i="6"/>
  <c r="I472" i="6"/>
  <c r="O471" i="6"/>
  <c r="M471" i="6"/>
  <c r="L471" i="6"/>
  <c r="J471" i="6" s="1"/>
  <c r="K471" i="6"/>
  <c r="I471" i="6"/>
  <c r="O470" i="6"/>
  <c r="M470" i="6"/>
  <c r="L470" i="6"/>
  <c r="J470" i="6" s="1"/>
  <c r="K470" i="6"/>
  <c r="I470" i="6"/>
  <c r="O469" i="6"/>
  <c r="M469" i="6"/>
  <c r="L469" i="6"/>
  <c r="J469" i="6" s="1"/>
  <c r="K469" i="6"/>
  <c r="I469" i="6"/>
  <c r="O468" i="6"/>
  <c r="M468" i="6"/>
  <c r="L468" i="6"/>
  <c r="J468" i="6" s="1"/>
  <c r="K468" i="6"/>
  <c r="I468" i="6"/>
  <c r="O467" i="6"/>
  <c r="M467" i="6"/>
  <c r="L467" i="6"/>
  <c r="J467" i="6" s="1"/>
  <c r="K467" i="6"/>
  <c r="I467" i="6"/>
  <c r="O466" i="6"/>
  <c r="M466" i="6"/>
  <c r="L466" i="6"/>
  <c r="J466" i="6" s="1"/>
  <c r="K466" i="6"/>
  <c r="I466" i="6"/>
  <c r="O465" i="6"/>
  <c r="M465" i="6"/>
  <c r="L465" i="6"/>
  <c r="J465" i="6" s="1"/>
  <c r="K465" i="6"/>
  <c r="I465" i="6"/>
  <c r="O464" i="6"/>
  <c r="M464" i="6"/>
  <c r="L464" i="6"/>
  <c r="J464" i="6" s="1"/>
  <c r="K464" i="6"/>
  <c r="I464" i="6"/>
  <c r="O463" i="6"/>
  <c r="M463" i="6"/>
  <c r="L463" i="6"/>
  <c r="J463" i="6" s="1"/>
  <c r="K463" i="6"/>
  <c r="I463" i="6"/>
  <c r="O462" i="6"/>
  <c r="M462" i="6"/>
  <c r="L462" i="6"/>
  <c r="J462" i="6" s="1"/>
  <c r="K462" i="6"/>
  <c r="I462" i="6"/>
  <c r="O461" i="6"/>
  <c r="M461" i="6"/>
  <c r="L461" i="6"/>
  <c r="J461" i="6" s="1"/>
  <c r="K461" i="6"/>
  <c r="I461" i="6"/>
  <c r="O460" i="6"/>
  <c r="M460" i="6"/>
  <c r="L460" i="6"/>
  <c r="J460" i="6" s="1"/>
  <c r="K460" i="6"/>
  <c r="I460" i="6"/>
  <c r="O459" i="6"/>
  <c r="M459" i="6"/>
  <c r="L459" i="6"/>
  <c r="J459" i="6" s="1"/>
  <c r="K459" i="6"/>
  <c r="I459" i="6"/>
  <c r="O458" i="6"/>
  <c r="M458" i="6"/>
  <c r="L458" i="6"/>
  <c r="J458" i="6" s="1"/>
  <c r="K458" i="6"/>
  <c r="I458" i="6"/>
  <c r="O457" i="6"/>
  <c r="M457" i="6"/>
  <c r="L457" i="6"/>
  <c r="J457" i="6" s="1"/>
  <c r="K457" i="6"/>
  <c r="I457" i="6"/>
  <c r="O456" i="6"/>
  <c r="M456" i="6"/>
  <c r="L456" i="6"/>
  <c r="J456" i="6" s="1"/>
  <c r="K456" i="6"/>
  <c r="I456" i="6"/>
  <c r="O455" i="6"/>
  <c r="M455" i="6"/>
  <c r="L455" i="6"/>
  <c r="J455" i="6" s="1"/>
  <c r="K455" i="6"/>
  <c r="I455" i="6"/>
  <c r="O454" i="6"/>
  <c r="M454" i="6"/>
  <c r="L454" i="6"/>
  <c r="J454" i="6" s="1"/>
  <c r="K454" i="6"/>
  <c r="I454" i="6"/>
  <c r="O453" i="6"/>
  <c r="M453" i="6"/>
  <c r="L453" i="6"/>
  <c r="J453" i="6" s="1"/>
  <c r="K453" i="6"/>
  <c r="I453" i="6"/>
  <c r="O452" i="6"/>
  <c r="M452" i="6"/>
  <c r="L452" i="6"/>
  <c r="J452" i="6" s="1"/>
  <c r="K452" i="6"/>
  <c r="I452" i="6"/>
  <c r="O451" i="6"/>
  <c r="M451" i="6"/>
  <c r="L451" i="6"/>
  <c r="J451" i="6" s="1"/>
  <c r="K451" i="6"/>
  <c r="I451" i="6"/>
  <c r="O450" i="6"/>
  <c r="M450" i="6"/>
  <c r="L450" i="6"/>
  <c r="J450" i="6" s="1"/>
  <c r="K450" i="6"/>
  <c r="I450" i="6"/>
  <c r="O449" i="6"/>
  <c r="M449" i="6"/>
  <c r="L449" i="6"/>
  <c r="J449" i="6" s="1"/>
  <c r="K449" i="6"/>
  <c r="I449" i="6"/>
  <c r="O448" i="6"/>
  <c r="M448" i="6"/>
  <c r="L448" i="6"/>
  <c r="J448" i="6" s="1"/>
  <c r="K448" i="6"/>
  <c r="I448" i="6"/>
  <c r="O447" i="6"/>
  <c r="M447" i="6"/>
  <c r="L447" i="6"/>
  <c r="J447" i="6" s="1"/>
  <c r="K447" i="6"/>
  <c r="I447" i="6"/>
  <c r="O446" i="6"/>
  <c r="M446" i="6"/>
  <c r="L446" i="6"/>
  <c r="J446" i="6" s="1"/>
  <c r="K446" i="6"/>
  <c r="I446" i="6"/>
  <c r="O445" i="6"/>
  <c r="M445" i="6"/>
  <c r="L445" i="6"/>
  <c r="J445" i="6" s="1"/>
  <c r="K445" i="6"/>
  <c r="I445" i="6"/>
  <c r="O444" i="6"/>
  <c r="M444" i="6"/>
  <c r="L444" i="6"/>
  <c r="J444" i="6" s="1"/>
  <c r="K444" i="6"/>
  <c r="I444" i="6"/>
  <c r="O443" i="6"/>
  <c r="M443" i="6"/>
  <c r="L443" i="6"/>
  <c r="J443" i="6" s="1"/>
  <c r="K443" i="6"/>
  <c r="I443" i="6"/>
  <c r="O442" i="6"/>
  <c r="M442" i="6"/>
  <c r="L442" i="6"/>
  <c r="J442" i="6" s="1"/>
  <c r="K442" i="6"/>
  <c r="I442" i="6"/>
  <c r="O441" i="6"/>
  <c r="M441" i="6"/>
  <c r="L441" i="6"/>
  <c r="J441" i="6" s="1"/>
  <c r="K441" i="6"/>
  <c r="I441" i="6"/>
  <c r="O440" i="6"/>
  <c r="M440" i="6"/>
  <c r="L440" i="6"/>
  <c r="J440" i="6" s="1"/>
  <c r="K440" i="6"/>
  <c r="I440" i="6"/>
  <c r="O439" i="6"/>
  <c r="M439" i="6"/>
  <c r="L439" i="6"/>
  <c r="J439" i="6" s="1"/>
  <c r="K439" i="6"/>
  <c r="I439" i="6"/>
  <c r="O438" i="6"/>
  <c r="M438" i="6"/>
  <c r="L438" i="6"/>
  <c r="J438" i="6" s="1"/>
  <c r="K438" i="6"/>
  <c r="I438" i="6"/>
  <c r="O437" i="6"/>
  <c r="M437" i="6"/>
  <c r="L437" i="6"/>
  <c r="J437" i="6" s="1"/>
  <c r="K437" i="6"/>
  <c r="I437" i="6"/>
  <c r="O436" i="6"/>
  <c r="M436" i="6"/>
  <c r="L436" i="6"/>
  <c r="J436" i="6" s="1"/>
  <c r="K436" i="6"/>
  <c r="I436" i="6"/>
  <c r="O435" i="6"/>
  <c r="M435" i="6"/>
  <c r="L435" i="6"/>
  <c r="J435" i="6" s="1"/>
  <c r="K435" i="6"/>
  <c r="I435" i="6"/>
  <c r="O434" i="6"/>
  <c r="M434" i="6"/>
  <c r="L434" i="6"/>
  <c r="J434" i="6" s="1"/>
  <c r="K434" i="6"/>
  <c r="I434" i="6"/>
  <c r="O433" i="6"/>
  <c r="M433" i="6"/>
  <c r="L433" i="6"/>
  <c r="J433" i="6" s="1"/>
  <c r="K433" i="6"/>
  <c r="I433" i="6"/>
  <c r="O432" i="6"/>
  <c r="M432" i="6"/>
  <c r="L432" i="6"/>
  <c r="J432" i="6" s="1"/>
  <c r="K432" i="6"/>
  <c r="I432" i="6"/>
  <c r="O431" i="6"/>
  <c r="M431" i="6"/>
  <c r="L431" i="6"/>
  <c r="J431" i="6" s="1"/>
  <c r="K431" i="6"/>
  <c r="I431" i="6"/>
  <c r="O430" i="6"/>
  <c r="M430" i="6"/>
  <c r="L430" i="6"/>
  <c r="J430" i="6" s="1"/>
  <c r="K430" i="6"/>
  <c r="I430" i="6"/>
  <c r="O429" i="6"/>
  <c r="M429" i="6"/>
  <c r="L429" i="6"/>
  <c r="J429" i="6" s="1"/>
  <c r="K429" i="6"/>
  <c r="I429" i="6"/>
  <c r="O428" i="6"/>
  <c r="M428" i="6"/>
  <c r="L428" i="6"/>
  <c r="J428" i="6" s="1"/>
  <c r="K428" i="6"/>
  <c r="I428" i="6"/>
  <c r="O427" i="6"/>
  <c r="M427" i="6"/>
  <c r="L427" i="6"/>
  <c r="J427" i="6" s="1"/>
  <c r="K427" i="6"/>
  <c r="I427" i="6"/>
  <c r="O426" i="6"/>
  <c r="M426" i="6"/>
  <c r="L426" i="6"/>
  <c r="J426" i="6" s="1"/>
  <c r="K426" i="6"/>
  <c r="I426" i="6"/>
  <c r="O425" i="6"/>
  <c r="M425" i="6"/>
  <c r="L425" i="6"/>
  <c r="J425" i="6" s="1"/>
  <c r="K425" i="6"/>
  <c r="I425" i="6"/>
  <c r="O424" i="6"/>
  <c r="M424" i="6"/>
  <c r="L424" i="6"/>
  <c r="J424" i="6" s="1"/>
  <c r="K424" i="6"/>
  <c r="I424" i="6"/>
  <c r="O423" i="6"/>
  <c r="M423" i="6"/>
  <c r="L423" i="6"/>
  <c r="J423" i="6" s="1"/>
  <c r="K423" i="6"/>
  <c r="I423" i="6"/>
  <c r="O422" i="6"/>
  <c r="M422" i="6"/>
  <c r="L422" i="6"/>
  <c r="J422" i="6" s="1"/>
  <c r="K422" i="6"/>
  <c r="I422" i="6"/>
  <c r="O421" i="6"/>
  <c r="M421" i="6"/>
  <c r="L421" i="6"/>
  <c r="J421" i="6" s="1"/>
  <c r="K421" i="6"/>
  <c r="I421" i="6"/>
  <c r="O420" i="6"/>
  <c r="M420" i="6"/>
  <c r="L420" i="6"/>
  <c r="J420" i="6" s="1"/>
  <c r="K420" i="6"/>
  <c r="I420" i="6"/>
  <c r="O419" i="6"/>
  <c r="M419" i="6"/>
  <c r="L419" i="6"/>
  <c r="J419" i="6" s="1"/>
  <c r="K419" i="6"/>
  <c r="I419" i="6"/>
  <c r="O418" i="6"/>
  <c r="M418" i="6"/>
  <c r="L418" i="6"/>
  <c r="J418" i="6" s="1"/>
  <c r="K418" i="6"/>
  <c r="I418" i="6"/>
  <c r="O417" i="6"/>
  <c r="M417" i="6"/>
  <c r="L417" i="6"/>
  <c r="J417" i="6" s="1"/>
  <c r="K417" i="6"/>
  <c r="I417" i="6"/>
  <c r="O416" i="6"/>
  <c r="M416" i="6"/>
  <c r="L416" i="6"/>
  <c r="J416" i="6" s="1"/>
  <c r="K416" i="6"/>
  <c r="I416" i="6"/>
  <c r="O415" i="6"/>
  <c r="M415" i="6"/>
  <c r="L415" i="6"/>
  <c r="J415" i="6" s="1"/>
  <c r="K415" i="6"/>
  <c r="I415" i="6"/>
  <c r="O414" i="6"/>
  <c r="M414" i="6"/>
  <c r="L414" i="6"/>
  <c r="J414" i="6" s="1"/>
  <c r="K414" i="6"/>
  <c r="I414" i="6"/>
  <c r="O413" i="6"/>
  <c r="M413" i="6"/>
  <c r="L413" i="6"/>
  <c r="J413" i="6" s="1"/>
  <c r="K413" i="6"/>
  <c r="I413" i="6"/>
  <c r="O412" i="6"/>
  <c r="M412" i="6"/>
  <c r="L412" i="6"/>
  <c r="J412" i="6" s="1"/>
  <c r="K412" i="6"/>
  <c r="I412" i="6"/>
  <c r="O411" i="6"/>
  <c r="M411" i="6"/>
  <c r="L411" i="6"/>
  <c r="J411" i="6" s="1"/>
  <c r="K411" i="6"/>
  <c r="I411" i="6"/>
  <c r="O410" i="6"/>
  <c r="M410" i="6"/>
  <c r="L410" i="6"/>
  <c r="J410" i="6" s="1"/>
  <c r="K410" i="6"/>
  <c r="I410" i="6"/>
  <c r="O409" i="6"/>
  <c r="M409" i="6"/>
  <c r="L409" i="6"/>
  <c r="J409" i="6" s="1"/>
  <c r="K409" i="6"/>
  <c r="I409" i="6"/>
  <c r="O408" i="6"/>
  <c r="M408" i="6"/>
  <c r="L408" i="6"/>
  <c r="J408" i="6" s="1"/>
  <c r="K408" i="6"/>
  <c r="I408" i="6"/>
  <c r="O407" i="6"/>
  <c r="M407" i="6"/>
  <c r="L407" i="6"/>
  <c r="J407" i="6" s="1"/>
  <c r="K407" i="6"/>
  <c r="I407" i="6"/>
  <c r="O406" i="6"/>
  <c r="M406" i="6"/>
  <c r="L406" i="6"/>
  <c r="J406" i="6" s="1"/>
  <c r="K406" i="6"/>
  <c r="I406" i="6"/>
  <c r="O405" i="6"/>
  <c r="M405" i="6"/>
  <c r="L405" i="6"/>
  <c r="J405" i="6" s="1"/>
  <c r="K405" i="6"/>
  <c r="I405" i="6"/>
  <c r="O404" i="6"/>
  <c r="M404" i="6"/>
  <c r="L404" i="6"/>
  <c r="J404" i="6" s="1"/>
  <c r="K404" i="6"/>
  <c r="I404" i="6"/>
  <c r="O403" i="6"/>
  <c r="M403" i="6"/>
  <c r="L403" i="6"/>
  <c r="J403" i="6" s="1"/>
  <c r="K403" i="6"/>
  <c r="I403" i="6"/>
  <c r="O402" i="6"/>
  <c r="M402" i="6"/>
  <c r="L402" i="6"/>
  <c r="J402" i="6" s="1"/>
  <c r="K402" i="6"/>
  <c r="I402" i="6"/>
  <c r="O401" i="6"/>
  <c r="M401" i="6"/>
  <c r="L401" i="6"/>
  <c r="J401" i="6" s="1"/>
  <c r="K401" i="6"/>
  <c r="I401" i="6"/>
  <c r="O400" i="6"/>
  <c r="M400" i="6"/>
  <c r="L400" i="6"/>
  <c r="J400" i="6" s="1"/>
  <c r="K400" i="6"/>
  <c r="I400" i="6"/>
  <c r="O399" i="6"/>
  <c r="M399" i="6"/>
  <c r="L399" i="6"/>
  <c r="J399" i="6" s="1"/>
  <c r="K399" i="6"/>
  <c r="I399" i="6"/>
  <c r="O398" i="6"/>
  <c r="M398" i="6"/>
  <c r="L398" i="6"/>
  <c r="J398" i="6" s="1"/>
  <c r="K398" i="6"/>
  <c r="I398" i="6"/>
  <c r="O397" i="6"/>
  <c r="M397" i="6"/>
  <c r="L397" i="6"/>
  <c r="J397" i="6" s="1"/>
  <c r="K397" i="6"/>
  <c r="I397" i="6"/>
  <c r="O396" i="6"/>
  <c r="M396" i="6"/>
  <c r="L396" i="6"/>
  <c r="J396" i="6" s="1"/>
  <c r="K396" i="6"/>
  <c r="I396" i="6"/>
  <c r="O395" i="6"/>
  <c r="M395" i="6"/>
  <c r="L395" i="6"/>
  <c r="J395" i="6" s="1"/>
  <c r="K395" i="6"/>
  <c r="I395" i="6"/>
  <c r="O394" i="6"/>
  <c r="M394" i="6"/>
  <c r="L394" i="6"/>
  <c r="J394" i="6" s="1"/>
  <c r="K394" i="6"/>
  <c r="I394" i="6"/>
  <c r="O393" i="6"/>
  <c r="M393" i="6"/>
  <c r="L393" i="6"/>
  <c r="J393" i="6" s="1"/>
  <c r="K393" i="6"/>
  <c r="I393" i="6"/>
  <c r="O392" i="6"/>
  <c r="M392" i="6"/>
  <c r="L392" i="6"/>
  <c r="J392" i="6" s="1"/>
  <c r="K392" i="6"/>
  <c r="I392" i="6"/>
  <c r="O391" i="6"/>
  <c r="M391" i="6"/>
  <c r="L391" i="6"/>
  <c r="J391" i="6" s="1"/>
  <c r="K391" i="6"/>
  <c r="I391" i="6"/>
  <c r="O390" i="6"/>
  <c r="M390" i="6"/>
  <c r="L390" i="6"/>
  <c r="J390" i="6" s="1"/>
  <c r="K390" i="6"/>
  <c r="I390" i="6"/>
  <c r="O389" i="6"/>
  <c r="M389" i="6"/>
  <c r="L389" i="6"/>
  <c r="J389" i="6" s="1"/>
  <c r="K389" i="6"/>
  <c r="I389" i="6"/>
  <c r="O388" i="6"/>
  <c r="M388" i="6"/>
  <c r="L388" i="6"/>
  <c r="J388" i="6" s="1"/>
  <c r="K388" i="6"/>
  <c r="I388" i="6"/>
  <c r="O387" i="6"/>
  <c r="M387" i="6"/>
  <c r="L387" i="6"/>
  <c r="J387" i="6" s="1"/>
  <c r="K387" i="6"/>
  <c r="I387" i="6"/>
  <c r="O386" i="6"/>
  <c r="M386" i="6"/>
  <c r="L386" i="6"/>
  <c r="J386" i="6" s="1"/>
  <c r="K386" i="6"/>
  <c r="I386" i="6"/>
  <c r="O385" i="6"/>
  <c r="M385" i="6"/>
  <c r="L385" i="6"/>
  <c r="J385" i="6" s="1"/>
  <c r="K385" i="6"/>
  <c r="I385" i="6"/>
  <c r="O384" i="6"/>
  <c r="M384" i="6"/>
  <c r="L384" i="6"/>
  <c r="J384" i="6" s="1"/>
  <c r="K384" i="6"/>
  <c r="I384" i="6"/>
  <c r="O383" i="6"/>
  <c r="M383" i="6"/>
  <c r="L383" i="6"/>
  <c r="J383" i="6" s="1"/>
  <c r="K383" i="6"/>
  <c r="I383" i="6"/>
  <c r="O382" i="6"/>
  <c r="M382" i="6"/>
  <c r="L382" i="6"/>
  <c r="J382" i="6" s="1"/>
  <c r="K382" i="6"/>
  <c r="I382" i="6"/>
  <c r="O381" i="6"/>
  <c r="M381" i="6"/>
  <c r="L381" i="6"/>
  <c r="J381" i="6" s="1"/>
  <c r="K381" i="6"/>
  <c r="I381" i="6"/>
  <c r="O380" i="6"/>
  <c r="M380" i="6"/>
  <c r="L380" i="6"/>
  <c r="J380" i="6" s="1"/>
  <c r="K380" i="6"/>
  <c r="I380" i="6"/>
  <c r="O379" i="6"/>
  <c r="M379" i="6"/>
  <c r="L379" i="6"/>
  <c r="J379" i="6" s="1"/>
  <c r="K379" i="6"/>
  <c r="I379" i="6"/>
  <c r="O378" i="6"/>
  <c r="M378" i="6"/>
  <c r="L378" i="6"/>
  <c r="J378" i="6" s="1"/>
  <c r="K378" i="6"/>
  <c r="I378" i="6"/>
  <c r="O377" i="6"/>
  <c r="M377" i="6"/>
  <c r="L377" i="6"/>
  <c r="J377" i="6" s="1"/>
  <c r="K377" i="6"/>
  <c r="I377" i="6"/>
  <c r="O376" i="6"/>
  <c r="M376" i="6"/>
  <c r="L376" i="6"/>
  <c r="J376" i="6" s="1"/>
  <c r="K376" i="6"/>
  <c r="I376" i="6"/>
  <c r="O375" i="6"/>
  <c r="M375" i="6"/>
  <c r="L375" i="6"/>
  <c r="J375" i="6" s="1"/>
  <c r="K375" i="6"/>
  <c r="I375" i="6"/>
  <c r="O374" i="6"/>
  <c r="M374" i="6"/>
  <c r="L374" i="6"/>
  <c r="J374" i="6" s="1"/>
  <c r="K374" i="6"/>
  <c r="I374" i="6"/>
  <c r="O373" i="6"/>
  <c r="M373" i="6"/>
  <c r="L373" i="6"/>
  <c r="J373" i="6" s="1"/>
  <c r="K373" i="6"/>
  <c r="I373" i="6"/>
  <c r="O372" i="6"/>
  <c r="M372" i="6"/>
  <c r="L372" i="6"/>
  <c r="J372" i="6" s="1"/>
  <c r="K372" i="6"/>
  <c r="I372" i="6"/>
  <c r="O371" i="6"/>
  <c r="M371" i="6"/>
  <c r="L371" i="6"/>
  <c r="J371" i="6" s="1"/>
  <c r="K371" i="6"/>
  <c r="I371" i="6"/>
  <c r="O370" i="6"/>
  <c r="M370" i="6"/>
  <c r="L370" i="6"/>
  <c r="J370" i="6" s="1"/>
  <c r="K370" i="6"/>
  <c r="I370" i="6"/>
  <c r="O369" i="6"/>
  <c r="M369" i="6"/>
  <c r="L369" i="6"/>
  <c r="J369" i="6" s="1"/>
  <c r="K369" i="6"/>
  <c r="I369" i="6"/>
  <c r="O368" i="6"/>
  <c r="M368" i="6"/>
  <c r="L368" i="6"/>
  <c r="J368" i="6" s="1"/>
  <c r="K368" i="6"/>
  <c r="I368" i="6"/>
  <c r="O367" i="6"/>
  <c r="M367" i="6"/>
  <c r="L367" i="6"/>
  <c r="J367" i="6" s="1"/>
  <c r="K367" i="6"/>
  <c r="I367" i="6"/>
  <c r="O366" i="6"/>
  <c r="M366" i="6"/>
  <c r="L366" i="6"/>
  <c r="J366" i="6" s="1"/>
  <c r="K366" i="6"/>
  <c r="I366" i="6"/>
  <c r="O365" i="6"/>
  <c r="M365" i="6"/>
  <c r="L365" i="6"/>
  <c r="J365" i="6" s="1"/>
  <c r="K365" i="6"/>
  <c r="I365" i="6"/>
  <c r="O364" i="6"/>
  <c r="M364" i="6"/>
  <c r="L364" i="6"/>
  <c r="J364" i="6" s="1"/>
  <c r="K364" i="6"/>
  <c r="I364" i="6"/>
  <c r="O363" i="6"/>
  <c r="M363" i="6"/>
  <c r="L363" i="6"/>
  <c r="J363" i="6" s="1"/>
  <c r="K363" i="6"/>
  <c r="I363" i="6"/>
  <c r="O362" i="6"/>
  <c r="M362" i="6"/>
  <c r="L362" i="6"/>
  <c r="J362" i="6" s="1"/>
  <c r="K362" i="6"/>
  <c r="I362" i="6"/>
  <c r="O361" i="6"/>
  <c r="M361" i="6"/>
  <c r="L361" i="6"/>
  <c r="J361" i="6" s="1"/>
  <c r="K361" i="6"/>
  <c r="I361" i="6"/>
  <c r="O360" i="6"/>
  <c r="M360" i="6"/>
  <c r="L360" i="6"/>
  <c r="J360" i="6" s="1"/>
  <c r="K360" i="6"/>
  <c r="I360" i="6"/>
  <c r="O359" i="6"/>
  <c r="M359" i="6"/>
  <c r="L359" i="6"/>
  <c r="J359" i="6" s="1"/>
  <c r="K359" i="6"/>
  <c r="I359" i="6"/>
  <c r="O358" i="6"/>
  <c r="M358" i="6"/>
  <c r="L358" i="6"/>
  <c r="J358" i="6" s="1"/>
  <c r="K358" i="6"/>
  <c r="I358" i="6"/>
  <c r="O357" i="6"/>
  <c r="M357" i="6"/>
  <c r="L357" i="6"/>
  <c r="J357" i="6" s="1"/>
  <c r="K357" i="6"/>
  <c r="I357" i="6"/>
  <c r="O356" i="6"/>
  <c r="M356" i="6"/>
  <c r="L356" i="6"/>
  <c r="J356" i="6" s="1"/>
  <c r="K356" i="6"/>
  <c r="I356" i="6"/>
  <c r="O355" i="6"/>
  <c r="M355" i="6"/>
  <c r="L355" i="6"/>
  <c r="J355" i="6" s="1"/>
  <c r="K355" i="6"/>
  <c r="I355" i="6"/>
  <c r="O354" i="6"/>
  <c r="M354" i="6"/>
  <c r="L354" i="6"/>
  <c r="J354" i="6" s="1"/>
  <c r="K354" i="6"/>
  <c r="I354" i="6"/>
  <c r="O353" i="6"/>
  <c r="M353" i="6"/>
  <c r="L353" i="6"/>
  <c r="J353" i="6" s="1"/>
  <c r="K353" i="6"/>
  <c r="I353" i="6"/>
  <c r="O352" i="6"/>
  <c r="M352" i="6"/>
  <c r="L352" i="6"/>
  <c r="J352" i="6" s="1"/>
  <c r="K352" i="6"/>
  <c r="I352" i="6"/>
  <c r="O351" i="6"/>
  <c r="M351" i="6"/>
  <c r="L351" i="6"/>
  <c r="J351" i="6" s="1"/>
  <c r="K351" i="6"/>
  <c r="I351" i="6"/>
  <c r="O350" i="6"/>
  <c r="M350" i="6"/>
  <c r="L350" i="6"/>
  <c r="J350" i="6" s="1"/>
  <c r="K350" i="6"/>
  <c r="I350" i="6"/>
  <c r="O349" i="6"/>
  <c r="M349" i="6"/>
  <c r="L349" i="6"/>
  <c r="J349" i="6" s="1"/>
  <c r="K349" i="6"/>
  <c r="I349" i="6"/>
  <c r="O348" i="6"/>
  <c r="M348" i="6"/>
  <c r="L348" i="6"/>
  <c r="J348" i="6" s="1"/>
  <c r="K348" i="6"/>
  <c r="I348" i="6"/>
  <c r="O347" i="6"/>
  <c r="M347" i="6"/>
  <c r="L347" i="6"/>
  <c r="J347" i="6" s="1"/>
  <c r="K347" i="6"/>
  <c r="I347" i="6"/>
  <c r="O346" i="6"/>
  <c r="M346" i="6"/>
  <c r="L346" i="6"/>
  <c r="J346" i="6" s="1"/>
  <c r="K346" i="6"/>
  <c r="I346" i="6"/>
  <c r="O345" i="6"/>
  <c r="M345" i="6"/>
  <c r="L345" i="6"/>
  <c r="J345" i="6" s="1"/>
  <c r="K345" i="6"/>
  <c r="I345" i="6"/>
  <c r="O344" i="6"/>
  <c r="M344" i="6"/>
  <c r="L344" i="6"/>
  <c r="J344" i="6" s="1"/>
  <c r="K344" i="6"/>
  <c r="I344" i="6"/>
  <c r="O343" i="6"/>
  <c r="M343" i="6"/>
  <c r="L343" i="6"/>
  <c r="J343" i="6" s="1"/>
  <c r="K343" i="6"/>
  <c r="I343" i="6"/>
  <c r="O342" i="6"/>
  <c r="M342" i="6"/>
  <c r="L342" i="6"/>
  <c r="J342" i="6" s="1"/>
  <c r="K342" i="6"/>
  <c r="I342" i="6"/>
  <c r="O341" i="6"/>
  <c r="M341" i="6"/>
  <c r="L341" i="6"/>
  <c r="J341" i="6" s="1"/>
  <c r="K341" i="6"/>
  <c r="I341" i="6"/>
  <c r="O340" i="6"/>
  <c r="M340" i="6"/>
  <c r="L340" i="6"/>
  <c r="J340" i="6" s="1"/>
  <c r="K340" i="6"/>
  <c r="I340" i="6"/>
  <c r="O339" i="6"/>
  <c r="M339" i="6"/>
  <c r="L339" i="6"/>
  <c r="J339" i="6" s="1"/>
  <c r="K339" i="6"/>
  <c r="I339" i="6"/>
  <c r="O338" i="6"/>
  <c r="M338" i="6"/>
  <c r="L338" i="6"/>
  <c r="J338" i="6" s="1"/>
  <c r="K338" i="6"/>
  <c r="I338" i="6"/>
  <c r="O337" i="6"/>
  <c r="M337" i="6"/>
  <c r="L337" i="6"/>
  <c r="J337" i="6" s="1"/>
  <c r="K337" i="6"/>
  <c r="I337" i="6"/>
  <c r="O336" i="6"/>
  <c r="M336" i="6"/>
  <c r="L336" i="6"/>
  <c r="J336" i="6" s="1"/>
  <c r="K336" i="6"/>
  <c r="I336" i="6"/>
  <c r="O335" i="6"/>
  <c r="M335" i="6"/>
  <c r="L335" i="6"/>
  <c r="J335" i="6" s="1"/>
  <c r="K335" i="6"/>
  <c r="I335" i="6"/>
  <c r="O334" i="6"/>
  <c r="M334" i="6"/>
  <c r="L334" i="6"/>
  <c r="J334" i="6" s="1"/>
  <c r="K334" i="6"/>
  <c r="I334" i="6"/>
  <c r="O333" i="6"/>
  <c r="M333" i="6"/>
  <c r="L333" i="6"/>
  <c r="J333" i="6" s="1"/>
  <c r="K333" i="6"/>
  <c r="I333" i="6"/>
  <c r="O332" i="6"/>
  <c r="M332" i="6"/>
  <c r="L332" i="6"/>
  <c r="J332" i="6" s="1"/>
  <c r="K332" i="6"/>
  <c r="I332" i="6"/>
  <c r="O331" i="6"/>
  <c r="M331" i="6"/>
  <c r="L331" i="6"/>
  <c r="J331" i="6" s="1"/>
  <c r="K331" i="6"/>
  <c r="I331" i="6"/>
  <c r="O330" i="6"/>
  <c r="M330" i="6"/>
  <c r="L330" i="6"/>
  <c r="J330" i="6" s="1"/>
  <c r="K330" i="6"/>
  <c r="I330" i="6"/>
  <c r="O329" i="6"/>
  <c r="M329" i="6"/>
  <c r="L329" i="6"/>
  <c r="J329" i="6" s="1"/>
  <c r="K329" i="6"/>
  <c r="I329" i="6"/>
  <c r="O328" i="6"/>
  <c r="M328" i="6"/>
  <c r="L328" i="6"/>
  <c r="J328" i="6" s="1"/>
  <c r="K328" i="6"/>
  <c r="I328" i="6"/>
  <c r="O327" i="6"/>
  <c r="M327" i="6"/>
  <c r="L327" i="6"/>
  <c r="J327" i="6" s="1"/>
  <c r="K327" i="6"/>
  <c r="I327" i="6"/>
  <c r="O326" i="6"/>
  <c r="M326" i="6"/>
  <c r="L326" i="6"/>
  <c r="J326" i="6" s="1"/>
  <c r="K326" i="6"/>
  <c r="I326" i="6"/>
  <c r="O325" i="6"/>
  <c r="M325" i="6"/>
  <c r="L325" i="6"/>
  <c r="J325" i="6" s="1"/>
  <c r="K325" i="6"/>
  <c r="I325" i="6"/>
  <c r="O324" i="6"/>
  <c r="M324" i="6"/>
  <c r="L324" i="6"/>
  <c r="J324" i="6" s="1"/>
  <c r="K324" i="6"/>
  <c r="I324" i="6"/>
  <c r="O323" i="6"/>
  <c r="M323" i="6"/>
  <c r="L323" i="6"/>
  <c r="J323" i="6" s="1"/>
  <c r="K323" i="6"/>
  <c r="I323" i="6"/>
  <c r="O322" i="6"/>
  <c r="M322" i="6"/>
  <c r="L322" i="6"/>
  <c r="J322" i="6" s="1"/>
  <c r="K322" i="6"/>
  <c r="I322" i="6"/>
  <c r="O321" i="6"/>
  <c r="M321" i="6"/>
  <c r="L321" i="6"/>
  <c r="J321" i="6" s="1"/>
  <c r="K321" i="6"/>
  <c r="I321" i="6"/>
  <c r="O320" i="6"/>
  <c r="M320" i="6"/>
  <c r="L320" i="6"/>
  <c r="J320" i="6" s="1"/>
  <c r="K320" i="6"/>
  <c r="I320" i="6"/>
  <c r="O319" i="6"/>
  <c r="M319" i="6"/>
  <c r="L319" i="6"/>
  <c r="J319" i="6" s="1"/>
  <c r="K319" i="6"/>
  <c r="I319" i="6"/>
  <c r="O318" i="6"/>
  <c r="M318" i="6"/>
  <c r="L318" i="6"/>
  <c r="J318" i="6" s="1"/>
  <c r="K318" i="6"/>
  <c r="I318" i="6"/>
  <c r="O317" i="6"/>
  <c r="M317" i="6"/>
  <c r="L317" i="6"/>
  <c r="J317" i="6" s="1"/>
  <c r="K317" i="6"/>
  <c r="I317" i="6"/>
  <c r="O316" i="6"/>
  <c r="M316" i="6"/>
  <c r="L316" i="6"/>
  <c r="J316" i="6" s="1"/>
  <c r="K316" i="6"/>
  <c r="I316" i="6"/>
  <c r="O315" i="6"/>
  <c r="M315" i="6"/>
  <c r="L315" i="6"/>
  <c r="J315" i="6" s="1"/>
  <c r="K315" i="6"/>
  <c r="I315" i="6"/>
  <c r="O314" i="6"/>
  <c r="M314" i="6"/>
  <c r="L314" i="6"/>
  <c r="J314" i="6" s="1"/>
  <c r="K314" i="6"/>
  <c r="I314" i="6"/>
  <c r="O313" i="6"/>
  <c r="M313" i="6"/>
  <c r="L313" i="6"/>
  <c r="J313" i="6" s="1"/>
  <c r="K313" i="6"/>
  <c r="I313" i="6"/>
  <c r="O312" i="6"/>
  <c r="M312" i="6"/>
  <c r="L312" i="6"/>
  <c r="J312" i="6" s="1"/>
  <c r="K312" i="6"/>
  <c r="I312" i="6"/>
  <c r="O311" i="6"/>
  <c r="M311" i="6"/>
  <c r="L311" i="6"/>
  <c r="J311" i="6" s="1"/>
  <c r="K311" i="6"/>
  <c r="I311" i="6"/>
  <c r="O310" i="6"/>
  <c r="M310" i="6"/>
  <c r="L310" i="6"/>
  <c r="J310" i="6" s="1"/>
  <c r="K310" i="6"/>
  <c r="I310" i="6"/>
  <c r="O309" i="6"/>
  <c r="M309" i="6"/>
  <c r="L309" i="6"/>
  <c r="J309" i="6" s="1"/>
  <c r="K309" i="6"/>
  <c r="I309" i="6"/>
  <c r="O308" i="6"/>
  <c r="M308" i="6"/>
  <c r="L308" i="6"/>
  <c r="J308" i="6" s="1"/>
  <c r="K308" i="6"/>
  <c r="I308" i="6"/>
  <c r="O307" i="6"/>
  <c r="M307" i="6"/>
  <c r="L307" i="6"/>
  <c r="J307" i="6" s="1"/>
  <c r="K307" i="6"/>
  <c r="I307" i="6"/>
  <c r="O306" i="6"/>
  <c r="M306" i="6"/>
  <c r="L306" i="6"/>
  <c r="J306" i="6" s="1"/>
  <c r="K306" i="6"/>
  <c r="I306" i="6"/>
  <c r="O305" i="6"/>
  <c r="M305" i="6"/>
  <c r="L305" i="6"/>
  <c r="J305" i="6" s="1"/>
  <c r="K305" i="6"/>
  <c r="I305" i="6"/>
  <c r="O304" i="6"/>
  <c r="M304" i="6"/>
  <c r="L304" i="6"/>
  <c r="J304" i="6" s="1"/>
  <c r="K304" i="6"/>
  <c r="I304" i="6"/>
  <c r="O303" i="6"/>
  <c r="M303" i="6"/>
  <c r="L303" i="6"/>
  <c r="J303" i="6" s="1"/>
  <c r="K303" i="6"/>
  <c r="I303" i="6"/>
  <c r="O302" i="6"/>
  <c r="M302" i="6"/>
  <c r="L302" i="6"/>
  <c r="J302" i="6" s="1"/>
  <c r="K302" i="6"/>
  <c r="I302" i="6"/>
  <c r="O301" i="6"/>
  <c r="M301" i="6"/>
  <c r="L301" i="6"/>
  <c r="J301" i="6" s="1"/>
  <c r="K301" i="6"/>
  <c r="I301" i="6"/>
  <c r="O300" i="6"/>
  <c r="M300" i="6"/>
  <c r="L300" i="6"/>
  <c r="J300" i="6" s="1"/>
  <c r="K300" i="6"/>
  <c r="I300" i="6"/>
  <c r="O299" i="6"/>
  <c r="M299" i="6"/>
  <c r="L299" i="6"/>
  <c r="J299" i="6" s="1"/>
  <c r="K299" i="6"/>
  <c r="I299" i="6"/>
  <c r="O298" i="6"/>
  <c r="M298" i="6"/>
  <c r="L298" i="6"/>
  <c r="J298" i="6" s="1"/>
  <c r="K298" i="6"/>
  <c r="I298" i="6"/>
  <c r="O297" i="6"/>
  <c r="M297" i="6"/>
  <c r="L297" i="6"/>
  <c r="J297" i="6" s="1"/>
  <c r="K297" i="6"/>
  <c r="I297" i="6"/>
  <c r="O296" i="6"/>
  <c r="M296" i="6"/>
  <c r="L296" i="6"/>
  <c r="J296" i="6" s="1"/>
  <c r="K296" i="6"/>
  <c r="I296" i="6"/>
  <c r="O295" i="6"/>
  <c r="M295" i="6"/>
  <c r="L295" i="6"/>
  <c r="J295" i="6" s="1"/>
  <c r="K295" i="6"/>
  <c r="I295" i="6"/>
  <c r="O294" i="6"/>
  <c r="M294" i="6"/>
  <c r="L294" i="6"/>
  <c r="J294" i="6" s="1"/>
  <c r="K294" i="6"/>
  <c r="I294" i="6"/>
  <c r="O293" i="6"/>
  <c r="M293" i="6"/>
  <c r="L293" i="6"/>
  <c r="J293" i="6" s="1"/>
  <c r="K293" i="6"/>
  <c r="I293" i="6"/>
  <c r="O292" i="6"/>
  <c r="M292" i="6"/>
  <c r="L292" i="6"/>
  <c r="J292" i="6" s="1"/>
  <c r="K292" i="6"/>
  <c r="I292" i="6"/>
  <c r="O291" i="6"/>
  <c r="M291" i="6"/>
  <c r="L291" i="6"/>
  <c r="J291" i="6" s="1"/>
  <c r="K291" i="6"/>
  <c r="I291" i="6"/>
  <c r="O290" i="6"/>
  <c r="M290" i="6"/>
  <c r="L290" i="6"/>
  <c r="J290" i="6" s="1"/>
  <c r="K290" i="6"/>
  <c r="I290" i="6"/>
  <c r="O289" i="6"/>
  <c r="M289" i="6"/>
  <c r="L289" i="6"/>
  <c r="J289" i="6" s="1"/>
  <c r="K289" i="6"/>
  <c r="I289" i="6"/>
  <c r="O288" i="6"/>
  <c r="M288" i="6"/>
  <c r="L288" i="6"/>
  <c r="J288" i="6" s="1"/>
  <c r="K288" i="6"/>
  <c r="I288" i="6"/>
  <c r="O287" i="6"/>
  <c r="M287" i="6"/>
  <c r="L287" i="6"/>
  <c r="J287" i="6" s="1"/>
  <c r="K287" i="6"/>
  <c r="I287" i="6"/>
  <c r="O286" i="6"/>
  <c r="M286" i="6"/>
  <c r="L286" i="6"/>
  <c r="J286" i="6" s="1"/>
  <c r="K286" i="6"/>
  <c r="I286" i="6"/>
  <c r="O285" i="6"/>
  <c r="M285" i="6"/>
  <c r="L285" i="6"/>
  <c r="J285" i="6" s="1"/>
  <c r="K285" i="6"/>
  <c r="I285" i="6"/>
  <c r="O284" i="6"/>
  <c r="M284" i="6"/>
  <c r="L284" i="6"/>
  <c r="J284" i="6" s="1"/>
  <c r="K284" i="6"/>
  <c r="I284" i="6"/>
  <c r="O283" i="6"/>
  <c r="M283" i="6"/>
  <c r="L283" i="6"/>
  <c r="J283" i="6" s="1"/>
  <c r="K283" i="6"/>
  <c r="I283" i="6"/>
  <c r="O282" i="6"/>
  <c r="M282" i="6"/>
  <c r="L282" i="6"/>
  <c r="J282" i="6" s="1"/>
  <c r="K282" i="6"/>
  <c r="I282" i="6"/>
  <c r="O281" i="6"/>
  <c r="M281" i="6"/>
  <c r="L281" i="6"/>
  <c r="J281" i="6" s="1"/>
  <c r="K281" i="6"/>
  <c r="I281" i="6"/>
  <c r="O280" i="6"/>
  <c r="M280" i="6"/>
  <c r="L280" i="6"/>
  <c r="J280" i="6" s="1"/>
  <c r="K280" i="6"/>
  <c r="I280" i="6"/>
  <c r="O279" i="6"/>
  <c r="M279" i="6"/>
  <c r="L279" i="6"/>
  <c r="J279" i="6" s="1"/>
  <c r="K279" i="6"/>
  <c r="I279" i="6"/>
  <c r="O278" i="6"/>
  <c r="M278" i="6"/>
  <c r="L278" i="6"/>
  <c r="J278" i="6" s="1"/>
  <c r="K278" i="6"/>
  <c r="I278" i="6"/>
  <c r="O277" i="6"/>
  <c r="M277" i="6"/>
  <c r="L277" i="6"/>
  <c r="J277" i="6" s="1"/>
  <c r="K277" i="6"/>
  <c r="I277" i="6"/>
  <c r="O276" i="6"/>
  <c r="M276" i="6"/>
  <c r="L276" i="6"/>
  <c r="J276" i="6" s="1"/>
  <c r="K276" i="6"/>
  <c r="I276" i="6"/>
  <c r="O275" i="6"/>
  <c r="M275" i="6"/>
  <c r="L275" i="6"/>
  <c r="J275" i="6" s="1"/>
  <c r="K275" i="6"/>
  <c r="I275" i="6"/>
  <c r="O274" i="6"/>
  <c r="M274" i="6"/>
  <c r="L274" i="6"/>
  <c r="J274" i="6" s="1"/>
  <c r="K274" i="6"/>
  <c r="I274" i="6"/>
  <c r="O273" i="6"/>
  <c r="M273" i="6"/>
  <c r="L273" i="6"/>
  <c r="J273" i="6" s="1"/>
  <c r="K273" i="6"/>
  <c r="I273" i="6"/>
  <c r="O272" i="6"/>
  <c r="M272" i="6"/>
  <c r="L272" i="6"/>
  <c r="J272" i="6" s="1"/>
  <c r="K272" i="6"/>
  <c r="I272" i="6"/>
  <c r="O271" i="6"/>
  <c r="M271" i="6"/>
  <c r="L271" i="6"/>
  <c r="J271" i="6" s="1"/>
  <c r="K271" i="6"/>
  <c r="I271" i="6"/>
  <c r="O270" i="6"/>
  <c r="M270" i="6"/>
  <c r="L270" i="6"/>
  <c r="J270" i="6" s="1"/>
  <c r="K270" i="6"/>
  <c r="I270" i="6"/>
  <c r="O269" i="6"/>
  <c r="M269" i="6"/>
  <c r="L269" i="6"/>
  <c r="J269" i="6" s="1"/>
  <c r="K269" i="6"/>
  <c r="I269" i="6"/>
  <c r="O268" i="6"/>
  <c r="M268" i="6"/>
  <c r="L268" i="6"/>
  <c r="J268" i="6" s="1"/>
  <c r="K268" i="6"/>
  <c r="I268" i="6"/>
  <c r="O267" i="6"/>
  <c r="M267" i="6"/>
  <c r="L267" i="6"/>
  <c r="J267" i="6" s="1"/>
  <c r="K267" i="6"/>
  <c r="I267" i="6"/>
  <c r="O266" i="6"/>
  <c r="M266" i="6"/>
  <c r="L266" i="6"/>
  <c r="J266" i="6" s="1"/>
  <c r="K266" i="6"/>
  <c r="I266" i="6"/>
  <c r="O265" i="6"/>
  <c r="M265" i="6"/>
  <c r="L265" i="6"/>
  <c r="J265" i="6" s="1"/>
  <c r="K265" i="6"/>
  <c r="I265" i="6"/>
  <c r="O264" i="6"/>
  <c r="M264" i="6"/>
  <c r="L264" i="6"/>
  <c r="J264" i="6" s="1"/>
  <c r="K264" i="6"/>
  <c r="I264" i="6"/>
  <c r="O263" i="6"/>
  <c r="M263" i="6"/>
  <c r="L263" i="6"/>
  <c r="J263" i="6" s="1"/>
  <c r="K263" i="6"/>
  <c r="I263" i="6"/>
  <c r="O262" i="6"/>
  <c r="M262" i="6"/>
  <c r="L262" i="6"/>
  <c r="J262" i="6" s="1"/>
  <c r="K262" i="6"/>
  <c r="I262" i="6"/>
  <c r="O261" i="6"/>
  <c r="M261" i="6"/>
  <c r="L261" i="6"/>
  <c r="J261" i="6" s="1"/>
  <c r="K261" i="6"/>
  <c r="I261" i="6"/>
  <c r="O260" i="6"/>
  <c r="M260" i="6"/>
  <c r="L260" i="6"/>
  <c r="J260" i="6" s="1"/>
  <c r="K260" i="6"/>
  <c r="I260" i="6"/>
  <c r="O259" i="6"/>
  <c r="M259" i="6"/>
  <c r="L259" i="6"/>
  <c r="J259" i="6" s="1"/>
  <c r="K259" i="6"/>
  <c r="I259" i="6"/>
  <c r="O258" i="6"/>
  <c r="M258" i="6"/>
  <c r="L258" i="6"/>
  <c r="J258" i="6" s="1"/>
  <c r="K258" i="6"/>
  <c r="I258" i="6"/>
  <c r="O257" i="6"/>
  <c r="M257" i="6"/>
  <c r="L257" i="6"/>
  <c r="J257" i="6" s="1"/>
  <c r="K257" i="6"/>
  <c r="I257" i="6"/>
  <c r="O256" i="6"/>
  <c r="M256" i="6"/>
  <c r="L256" i="6"/>
  <c r="J256" i="6" s="1"/>
  <c r="K256" i="6"/>
  <c r="I256" i="6"/>
  <c r="O255" i="6"/>
  <c r="M255" i="6"/>
  <c r="L255" i="6"/>
  <c r="J255" i="6" s="1"/>
  <c r="K255" i="6"/>
  <c r="I255" i="6"/>
  <c r="O254" i="6"/>
  <c r="M254" i="6"/>
  <c r="L254" i="6"/>
  <c r="J254" i="6" s="1"/>
  <c r="K254" i="6"/>
  <c r="I254" i="6"/>
  <c r="O253" i="6"/>
  <c r="M253" i="6"/>
  <c r="L253" i="6"/>
  <c r="J253" i="6" s="1"/>
  <c r="K253" i="6"/>
  <c r="I253" i="6"/>
  <c r="O252" i="6"/>
  <c r="M252" i="6"/>
  <c r="L252" i="6"/>
  <c r="J252" i="6" s="1"/>
  <c r="K252" i="6"/>
  <c r="I252" i="6"/>
  <c r="O251" i="6"/>
  <c r="M251" i="6"/>
  <c r="L251" i="6"/>
  <c r="J251" i="6" s="1"/>
  <c r="K251" i="6"/>
  <c r="I251" i="6"/>
  <c r="O250" i="6"/>
  <c r="M250" i="6"/>
  <c r="L250" i="6"/>
  <c r="J250" i="6" s="1"/>
  <c r="K250" i="6"/>
  <c r="I250" i="6"/>
  <c r="O249" i="6"/>
  <c r="M249" i="6"/>
  <c r="L249" i="6"/>
  <c r="J249" i="6" s="1"/>
  <c r="K249" i="6"/>
  <c r="I249" i="6"/>
  <c r="O248" i="6"/>
  <c r="M248" i="6"/>
  <c r="L248" i="6"/>
  <c r="J248" i="6" s="1"/>
  <c r="K248" i="6"/>
  <c r="I248" i="6"/>
  <c r="O247" i="6"/>
  <c r="M247" i="6"/>
  <c r="L247" i="6"/>
  <c r="J247" i="6" s="1"/>
  <c r="K247" i="6"/>
  <c r="I247" i="6"/>
  <c r="O246" i="6"/>
  <c r="M246" i="6"/>
  <c r="L246" i="6"/>
  <c r="J246" i="6" s="1"/>
  <c r="K246" i="6"/>
  <c r="I246" i="6"/>
  <c r="O245" i="6"/>
  <c r="M245" i="6"/>
  <c r="L245" i="6"/>
  <c r="J245" i="6" s="1"/>
  <c r="K245" i="6"/>
  <c r="I245" i="6"/>
  <c r="O244" i="6"/>
  <c r="M244" i="6"/>
  <c r="L244" i="6"/>
  <c r="J244" i="6" s="1"/>
  <c r="K244" i="6"/>
  <c r="I244" i="6"/>
  <c r="O243" i="6"/>
  <c r="M243" i="6"/>
  <c r="L243" i="6"/>
  <c r="J243" i="6" s="1"/>
  <c r="K243" i="6"/>
  <c r="I243" i="6"/>
  <c r="O242" i="6"/>
  <c r="M242" i="6"/>
  <c r="L242" i="6"/>
  <c r="J242" i="6" s="1"/>
  <c r="K242" i="6"/>
  <c r="I242" i="6"/>
  <c r="O241" i="6"/>
  <c r="M241" i="6"/>
  <c r="L241" i="6"/>
  <c r="J241" i="6" s="1"/>
  <c r="K241" i="6"/>
  <c r="I241" i="6"/>
  <c r="O240" i="6"/>
  <c r="M240" i="6"/>
  <c r="L240" i="6"/>
  <c r="J240" i="6" s="1"/>
  <c r="K240" i="6"/>
  <c r="I240" i="6"/>
  <c r="O239" i="6"/>
  <c r="M239" i="6"/>
  <c r="L239" i="6"/>
  <c r="J239" i="6" s="1"/>
  <c r="K239" i="6"/>
  <c r="I239" i="6"/>
  <c r="O238" i="6"/>
  <c r="M238" i="6"/>
  <c r="L238" i="6"/>
  <c r="J238" i="6" s="1"/>
  <c r="K238" i="6"/>
  <c r="I238" i="6"/>
  <c r="O237" i="6"/>
  <c r="M237" i="6"/>
  <c r="L237" i="6"/>
  <c r="J237" i="6" s="1"/>
  <c r="K237" i="6"/>
  <c r="I237" i="6"/>
  <c r="O236" i="6"/>
  <c r="M236" i="6"/>
  <c r="L236" i="6"/>
  <c r="J236" i="6" s="1"/>
  <c r="K236" i="6"/>
  <c r="I236" i="6"/>
  <c r="O235" i="6"/>
  <c r="M235" i="6"/>
  <c r="L235" i="6"/>
  <c r="J235" i="6" s="1"/>
  <c r="K235" i="6"/>
  <c r="I235" i="6"/>
  <c r="O234" i="6"/>
  <c r="M234" i="6"/>
  <c r="L234" i="6"/>
  <c r="J234" i="6" s="1"/>
  <c r="K234" i="6"/>
  <c r="I234" i="6"/>
  <c r="O233" i="6"/>
  <c r="M233" i="6"/>
  <c r="L233" i="6"/>
  <c r="J233" i="6" s="1"/>
  <c r="K233" i="6"/>
  <c r="I233" i="6"/>
  <c r="O232" i="6"/>
  <c r="M232" i="6"/>
  <c r="L232" i="6"/>
  <c r="J232" i="6" s="1"/>
  <c r="K232" i="6"/>
  <c r="I232" i="6"/>
  <c r="O231" i="6"/>
  <c r="M231" i="6"/>
  <c r="L231" i="6"/>
  <c r="J231" i="6" s="1"/>
  <c r="K231" i="6"/>
  <c r="I231" i="6"/>
  <c r="O230" i="6"/>
  <c r="M230" i="6"/>
  <c r="L230" i="6"/>
  <c r="J230" i="6" s="1"/>
  <c r="K230" i="6"/>
  <c r="I230" i="6"/>
  <c r="O229" i="6"/>
  <c r="M229" i="6"/>
  <c r="L229" i="6"/>
  <c r="J229" i="6" s="1"/>
  <c r="K229" i="6"/>
  <c r="I229" i="6"/>
  <c r="O228" i="6"/>
  <c r="M228" i="6"/>
  <c r="L228" i="6"/>
  <c r="J228" i="6" s="1"/>
  <c r="K228" i="6"/>
  <c r="I228" i="6"/>
  <c r="O227" i="6"/>
  <c r="M227" i="6"/>
  <c r="L227" i="6"/>
  <c r="J227" i="6" s="1"/>
  <c r="K227" i="6"/>
  <c r="I227" i="6"/>
  <c r="O226" i="6"/>
  <c r="M226" i="6"/>
  <c r="L226" i="6"/>
  <c r="J226" i="6" s="1"/>
  <c r="K226" i="6"/>
  <c r="I226" i="6"/>
  <c r="O225" i="6"/>
  <c r="M225" i="6"/>
  <c r="L225" i="6"/>
  <c r="J225" i="6" s="1"/>
  <c r="K225" i="6"/>
  <c r="I225" i="6"/>
  <c r="O224" i="6"/>
  <c r="M224" i="6"/>
  <c r="L224" i="6"/>
  <c r="J224" i="6" s="1"/>
  <c r="K224" i="6"/>
  <c r="I224" i="6"/>
  <c r="O223" i="6"/>
  <c r="M223" i="6"/>
  <c r="L223" i="6"/>
  <c r="J223" i="6" s="1"/>
  <c r="K223" i="6"/>
  <c r="I223" i="6"/>
  <c r="O222" i="6"/>
  <c r="M222" i="6"/>
  <c r="L222" i="6"/>
  <c r="J222" i="6" s="1"/>
  <c r="K222" i="6"/>
  <c r="I222" i="6"/>
  <c r="O221" i="6"/>
  <c r="M221" i="6"/>
  <c r="L221" i="6"/>
  <c r="J221" i="6" s="1"/>
  <c r="K221" i="6"/>
  <c r="I221" i="6"/>
  <c r="O220" i="6"/>
  <c r="M220" i="6"/>
  <c r="L220" i="6"/>
  <c r="J220" i="6" s="1"/>
  <c r="K220" i="6"/>
  <c r="I220" i="6"/>
  <c r="O219" i="6"/>
  <c r="M219" i="6"/>
  <c r="L219" i="6"/>
  <c r="J219" i="6" s="1"/>
  <c r="K219" i="6"/>
  <c r="I219" i="6"/>
  <c r="O218" i="6"/>
  <c r="M218" i="6"/>
  <c r="L218" i="6"/>
  <c r="J218" i="6" s="1"/>
  <c r="K218" i="6"/>
  <c r="I218" i="6"/>
  <c r="O217" i="6"/>
  <c r="M217" i="6"/>
  <c r="L217" i="6"/>
  <c r="J217" i="6" s="1"/>
  <c r="K217" i="6"/>
  <c r="I217" i="6"/>
  <c r="O216" i="6"/>
  <c r="M216" i="6"/>
  <c r="L216" i="6"/>
  <c r="J216" i="6" s="1"/>
  <c r="K216" i="6"/>
  <c r="I216" i="6"/>
  <c r="O215" i="6"/>
  <c r="M215" i="6"/>
  <c r="L215" i="6"/>
  <c r="J215" i="6" s="1"/>
  <c r="K215" i="6"/>
  <c r="I215" i="6"/>
  <c r="O214" i="6"/>
  <c r="M214" i="6"/>
  <c r="L214" i="6"/>
  <c r="J214" i="6" s="1"/>
  <c r="K214" i="6"/>
  <c r="I214" i="6"/>
  <c r="O213" i="6"/>
  <c r="M213" i="6"/>
  <c r="L213" i="6"/>
  <c r="J213" i="6" s="1"/>
  <c r="K213" i="6"/>
  <c r="I213" i="6"/>
  <c r="O212" i="6"/>
  <c r="M212" i="6"/>
  <c r="L212" i="6"/>
  <c r="J212" i="6" s="1"/>
  <c r="K212" i="6"/>
  <c r="I212" i="6"/>
  <c r="O211" i="6"/>
  <c r="M211" i="6"/>
  <c r="L211" i="6"/>
  <c r="J211" i="6" s="1"/>
  <c r="K211" i="6"/>
  <c r="I211" i="6"/>
  <c r="O210" i="6"/>
  <c r="M210" i="6"/>
  <c r="L210" i="6"/>
  <c r="J210" i="6" s="1"/>
  <c r="K210" i="6"/>
  <c r="I210" i="6"/>
  <c r="O209" i="6"/>
  <c r="M209" i="6"/>
  <c r="L209" i="6"/>
  <c r="J209" i="6" s="1"/>
  <c r="K209" i="6"/>
  <c r="I209" i="6"/>
  <c r="O208" i="6"/>
  <c r="M208" i="6"/>
  <c r="L208" i="6"/>
  <c r="J208" i="6" s="1"/>
  <c r="K208" i="6"/>
  <c r="I208" i="6"/>
  <c r="O207" i="6"/>
  <c r="M207" i="6"/>
  <c r="L207" i="6"/>
  <c r="J207" i="6" s="1"/>
  <c r="K207" i="6"/>
  <c r="I207" i="6"/>
  <c r="O206" i="6"/>
  <c r="M206" i="6"/>
  <c r="L206" i="6"/>
  <c r="J206" i="6" s="1"/>
  <c r="K206" i="6"/>
  <c r="I206" i="6"/>
  <c r="O205" i="6"/>
  <c r="M205" i="6"/>
  <c r="L205" i="6"/>
  <c r="J205" i="6" s="1"/>
  <c r="K205" i="6"/>
  <c r="I205" i="6"/>
  <c r="O204" i="6"/>
  <c r="M204" i="6"/>
  <c r="L204" i="6"/>
  <c r="J204" i="6" s="1"/>
  <c r="K204" i="6"/>
  <c r="I204" i="6"/>
  <c r="O203" i="6"/>
  <c r="M203" i="6"/>
  <c r="L203" i="6"/>
  <c r="J203" i="6" s="1"/>
  <c r="K203" i="6"/>
  <c r="I203" i="6"/>
  <c r="O202" i="6"/>
  <c r="M202" i="6"/>
  <c r="L202" i="6"/>
  <c r="J202" i="6" s="1"/>
  <c r="K202" i="6"/>
  <c r="I202" i="6"/>
  <c r="O201" i="6"/>
  <c r="M201" i="6"/>
  <c r="L201" i="6"/>
  <c r="J201" i="6" s="1"/>
  <c r="K201" i="6"/>
  <c r="I201" i="6"/>
  <c r="O200" i="6"/>
  <c r="M200" i="6"/>
  <c r="L200" i="6"/>
  <c r="J200" i="6" s="1"/>
  <c r="K200" i="6"/>
  <c r="I200" i="6"/>
  <c r="O199" i="6"/>
  <c r="M199" i="6"/>
  <c r="L199" i="6"/>
  <c r="J199" i="6" s="1"/>
  <c r="K199" i="6"/>
  <c r="I199" i="6"/>
  <c r="O198" i="6"/>
  <c r="M198" i="6"/>
  <c r="L198" i="6"/>
  <c r="J198" i="6" s="1"/>
  <c r="K198" i="6"/>
  <c r="I198" i="6"/>
  <c r="O197" i="6"/>
  <c r="M197" i="6"/>
  <c r="L197" i="6"/>
  <c r="J197" i="6" s="1"/>
  <c r="K197" i="6"/>
  <c r="I197" i="6"/>
  <c r="O196" i="6"/>
  <c r="M196" i="6"/>
  <c r="L196" i="6"/>
  <c r="J196" i="6" s="1"/>
  <c r="K196" i="6"/>
  <c r="I196" i="6"/>
  <c r="O195" i="6"/>
  <c r="M195" i="6"/>
  <c r="L195" i="6"/>
  <c r="J195" i="6" s="1"/>
  <c r="K195" i="6"/>
  <c r="I195" i="6"/>
  <c r="O194" i="6"/>
  <c r="M194" i="6"/>
  <c r="L194" i="6"/>
  <c r="J194" i="6" s="1"/>
  <c r="K194" i="6"/>
  <c r="I194" i="6"/>
  <c r="O193" i="6"/>
  <c r="M193" i="6"/>
  <c r="L193" i="6"/>
  <c r="J193" i="6" s="1"/>
  <c r="K193" i="6"/>
  <c r="I193" i="6"/>
  <c r="O192" i="6"/>
  <c r="M192" i="6"/>
  <c r="L192" i="6"/>
  <c r="J192" i="6" s="1"/>
  <c r="K192" i="6"/>
  <c r="I192" i="6"/>
  <c r="O191" i="6"/>
  <c r="M191" i="6"/>
  <c r="L191" i="6"/>
  <c r="J191" i="6" s="1"/>
  <c r="K191" i="6"/>
  <c r="I191" i="6"/>
  <c r="O190" i="6"/>
  <c r="M190" i="6"/>
  <c r="L190" i="6"/>
  <c r="J190" i="6" s="1"/>
  <c r="K190" i="6"/>
  <c r="I190" i="6"/>
  <c r="O189" i="6"/>
  <c r="M189" i="6"/>
  <c r="L189" i="6"/>
  <c r="J189" i="6" s="1"/>
  <c r="K189" i="6"/>
  <c r="I189" i="6"/>
  <c r="O188" i="6"/>
  <c r="M188" i="6"/>
  <c r="L188" i="6"/>
  <c r="J188" i="6" s="1"/>
  <c r="K188" i="6"/>
  <c r="I188" i="6"/>
  <c r="O187" i="6"/>
  <c r="M187" i="6"/>
  <c r="L187" i="6"/>
  <c r="J187" i="6" s="1"/>
  <c r="K187" i="6"/>
  <c r="I187" i="6"/>
  <c r="O186" i="6"/>
  <c r="M186" i="6"/>
  <c r="L186" i="6"/>
  <c r="J186" i="6" s="1"/>
  <c r="K186" i="6"/>
  <c r="I186" i="6"/>
  <c r="O185" i="6"/>
  <c r="M185" i="6"/>
  <c r="L185" i="6"/>
  <c r="J185" i="6" s="1"/>
  <c r="K185" i="6"/>
  <c r="I185" i="6"/>
  <c r="O184" i="6"/>
  <c r="M184" i="6"/>
  <c r="L184" i="6"/>
  <c r="J184" i="6" s="1"/>
  <c r="K184" i="6"/>
  <c r="I184" i="6"/>
  <c r="O183" i="6"/>
  <c r="M183" i="6"/>
  <c r="L183" i="6"/>
  <c r="J183" i="6" s="1"/>
  <c r="K183" i="6"/>
  <c r="I183" i="6"/>
  <c r="O182" i="6"/>
  <c r="M182" i="6"/>
  <c r="L182" i="6"/>
  <c r="J182" i="6" s="1"/>
  <c r="K182" i="6"/>
  <c r="I182" i="6"/>
  <c r="O181" i="6"/>
  <c r="M181" i="6"/>
  <c r="L181" i="6"/>
  <c r="J181" i="6" s="1"/>
  <c r="K181" i="6"/>
  <c r="I181" i="6"/>
  <c r="O180" i="6"/>
  <c r="M180" i="6"/>
  <c r="L180" i="6"/>
  <c r="J180" i="6" s="1"/>
  <c r="K180" i="6"/>
  <c r="I180" i="6"/>
  <c r="O179" i="6"/>
  <c r="M179" i="6"/>
  <c r="L179" i="6"/>
  <c r="J179" i="6" s="1"/>
  <c r="K179" i="6"/>
  <c r="I179" i="6"/>
  <c r="O178" i="6"/>
  <c r="M178" i="6"/>
  <c r="L178" i="6"/>
  <c r="J178" i="6" s="1"/>
  <c r="K178" i="6"/>
  <c r="I178" i="6"/>
  <c r="O177" i="6"/>
  <c r="M177" i="6"/>
  <c r="L177" i="6"/>
  <c r="J177" i="6" s="1"/>
  <c r="K177" i="6"/>
  <c r="I177" i="6"/>
  <c r="O176" i="6"/>
  <c r="M176" i="6"/>
  <c r="L176" i="6"/>
  <c r="J176" i="6" s="1"/>
  <c r="K176" i="6"/>
  <c r="I176" i="6"/>
  <c r="O175" i="6"/>
  <c r="M175" i="6"/>
  <c r="L175" i="6"/>
  <c r="J175" i="6" s="1"/>
  <c r="K175" i="6"/>
  <c r="I175" i="6"/>
  <c r="O174" i="6"/>
  <c r="M174" i="6"/>
  <c r="L174" i="6"/>
  <c r="J174" i="6" s="1"/>
  <c r="K174" i="6"/>
  <c r="I174" i="6"/>
  <c r="O173" i="6"/>
  <c r="M173" i="6"/>
  <c r="L173" i="6"/>
  <c r="J173" i="6" s="1"/>
  <c r="K173" i="6"/>
  <c r="I173" i="6"/>
  <c r="O172" i="6"/>
  <c r="M172" i="6"/>
  <c r="L172" i="6"/>
  <c r="J172" i="6" s="1"/>
  <c r="K172" i="6"/>
  <c r="I172" i="6"/>
  <c r="O171" i="6"/>
  <c r="M171" i="6"/>
  <c r="L171" i="6"/>
  <c r="J171" i="6" s="1"/>
  <c r="K171" i="6"/>
  <c r="I171" i="6"/>
  <c r="O170" i="6"/>
  <c r="M170" i="6"/>
  <c r="L170" i="6"/>
  <c r="J170" i="6" s="1"/>
  <c r="K170" i="6"/>
  <c r="I170" i="6"/>
  <c r="O169" i="6"/>
  <c r="M169" i="6"/>
  <c r="L169" i="6"/>
  <c r="J169" i="6" s="1"/>
  <c r="K169" i="6"/>
  <c r="I169" i="6"/>
  <c r="O168" i="6"/>
  <c r="M168" i="6"/>
  <c r="L168" i="6"/>
  <c r="J168" i="6" s="1"/>
  <c r="K168" i="6"/>
  <c r="I168" i="6"/>
  <c r="O167" i="6"/>
  <c r="M167" i="6"/>
  <c r="L167" i="6"/>
  <c r="J167" i="6" s="1"/>
  <c r="K167" i="6"/>
  <c r="I167" i="6"/>
  <c r="O166" i="6"/>
  <c r="M166" i="6"/>
  <c r="L166" i="6"/>
  <c r="J166" i="6" s="1"/>
  <c r="K166" i="6"/>
  <c r="I166" i="6"/>
  <c r="O165" i="6"/>
  <c r="M165" i="6"/>
  <c r="L165" i="6"/>
  <c r="J165" i="6" s="1"/>
  <c r="K165" i="6"/>
  <c r="I165" i="6"/>
  <c r="O164" i="6"/>
  <c r="M164" i="6"/>
  <c r="L164" i="6"/>
  <c r="J164" i="6" s="1"/>
  <c r="K164" i="6"/>
  <c r="I164" i="6"/>
  <c r="O163" i="6"/>
  <c r="M163" i="6"/>
  <c r="L163" i="6"/>
  <c r="J163" i="6" s="1"/>
  <c r="K163" i="6"/>
  <c r="I163" i="6"/>
  <c r="O162" i="6"/>
  <c r="M162" i="6"/>
  <c r="L162" i="6"/>
  <c r="J162" i="6" s="1"/>
  <c r="K162" i="6"/>
  <c r="I162" i="6"/>
  <c r="O161" i="6"/>
  <c r="M161" i="6"/>
  <c r="L161" i="6"/>
  <c r="J161" i="6" s="1"/>
  <c r="K161" i="6"/>
  <c r="I161" i="6"/>
  <c r="O160" i="6"/>
  <c r="M160" i="6"/>
  <c r="L160" i="6"/>
  <c r="J160" i="6" s="1"/>
  <c r="K160" i="6"/>
  <c r="I160" i="6"/>
  <c r="O159" i="6"/>
  <c r="M159" i="6"/>
  <c r="L159" i="6"/>
  <c r="J159" i="6" s="1"/>
  <c r="K159" i="6"/>
  <c r="I159" i="6"/>
  <c r="O158" i="6"/>
  <c r="M158" i="6"/>
  <c r="L158" i="6"/>
  <c r="J158" i="6" s="1"/>
  <c r="K158" i="6"/>
  <c r="I158" i="6"/>
  <c r="O157" i="6"/>
  <c r="M157" i="6"/>
  <c r="L157" i="6"/>
  <c r="J157" i="6" s="1"/>
  <c r="K157" i="6"/>
  <c r="I157" i="6"/>
  <c r="O156" i="6"/>
  <c r="M156" i="6"/>
  <c r="L156" i="6"/>
  <c r="J156" i="6" s="1"/>
  <c r="K156" i="6"/>
  <c r="I156" i="6"/>
  <c r="O155" i="6"/>
  <c r="M155" i="6"/>
  <c r="L155" i="6"/>
  <c r="J155" i="6" s="1"/>
  <c r="K155" i="6"/>
  <c r="I155" i="6"/>
  <c r="O154" i="6"/>
  <c r="M154" i="6"/>
  <c r="L154" i="6"/>
  <c r="J154" i="6" s="1"/>
  <c r="K154" i="6"/>
  <c r="I154" i="6"/>
  <c r="O153" i="6"/>
  <c r="M153" i="6"/>
  <c r="L153" i="6"/>
  <c r="J153" i="6" s="1"/>
  <c r="K153" i="6"/>
  <c r="I153" i="6"/>
  <c r="O152" i="6"/>
  <c r="M152" i="6"/>
  <c r="L152" i="6"/>
  <c r="J152" i="6" s="1"/>
  <c r="K152" i="6"/>
  <c r="I152" i="6"/>
  <c r="O151" i="6"/>
  <c r="M151" i="6"/>
  <c r="L151" i="6"/>
  <c r="J151" i="6" s="1"/>
  <c r="K151" i="6"/>
  <c r="I151" i="6"/>
  <c r="O150" i="6"/>
  <c r="M150" i="6"/>
  <c r="L150" i="6"/>
  <c r="J150" i="6" s="1"/>
  <c r="K150" i="6"/>
  <c r="I150" i="6"/>
  <c r="O149" i="6"/>
  <c r="M149" i="6"/>
  <c r="L149" i="6"/>
  <c r="J149" i="6" s="1"/>
  <c r="K149" i="6"/>
  <c r="I149" i="6"/>
  <c r="O148" i="6"/>
  <c r="M148" i="6"/>
  <c r="L148" i="6"/>
  <c r="J148" i="6" s="1"/>
  <c r="K148" i="6"/>
  <c r="I148" i="6"/>
  <c r="O147" i="6"/>
  <c r="M147" i="6"/>
  <c r="L147" i="6"/>
  <c r="J147" i="6" s="1"/>
  <c r="K147" i="6"/>
  <c r="I147" i="6"/>
  <c r="O146" i="6"/>
  <c r="M146" i="6"/>
  <c r="L146" i="6"/>
  <c r="J146" i="6" s="1"/>
  <c r="K146" i="6"/>
  <c r="I146" i="6"/>
  <c r="O145" i="6"/>
  <c r="M145" i="6"/>
  <c r="L145" i="6"/>
  <c r="J145" i="6" s="1"/>
  <c r="K145" i="6"/>
  <c r="I145" i="6"/>
  <c r="O144" i="6"/>
  <c r="M144" i="6"/>
  <c r="L144" i="6"/>
  <c r="J144" i="6" s="1"/>
  <c r="K144" i="6"/>
  <c r="I144" i="6"/>
  <c r="O143" i="6"/>
  <c r="M143" i="6"/>
  <c r="L143" i="6"/>
  <c r="J143" i="6" s="1"/>
  <c r="K143" i="6"/>
  <c r="I143" i="6"/>
  <c r="O142" i="6"/>
  <c r="M142" i="6"/>
  <c r="L142" i="6"/>
  <c r="J142" i="6" s="1"/>
  <c r="K142" i="6"/>
  <c r="I142" i="6"/>
  <c r="O141" i="6"/>
  <c r="M141" i="6"/>
  <c r="L141" i="6"/>
  <c r="J141" i="6" s="1"/>
  <c r="K141" i="6"/>
  <c r="I141" i="6"/>
  <c r="O140" i="6"/>
  <c r="M140" i="6"/>
  <c r="L140" i="6"/>
  <c r="J140" i="6" s="1"/>
  <c r="K140" i="6"/>
  <c r="I140" i="6"/>
  <c r="O139" i="6"/>
  <c r="M139" i="6"/>
  <c r="L139" i="6"/>
  <c r="J139" i="6" s="1"/>
  <c r="K139" i="6"/>
  <c r="I139" i="6"/>
  <c r="O138" i="6"/>
  <c r="M138" i="6"/>
  <c r="L138" i="6"/>
  <c r="J138" i="6" s="1"/>
  <c r="K138" i="6"/>
  <c r="I138" i="6"/>
  <c r="O137" i="6"/>
  <c r="M137" i="6"/>
  <c r="L137" i="6"/>
  <c r="J137" i="6" s="1"/>
  <c r="K137" i="6"/>
  <c r="I137" i="6"/>
  <c r="O136" i="6"/>
  <c r="M136" i="6"/>
  <c r="L136" i="6"/>
  <c r="J136" i="6" s="1"/>
  <c r="K136" i="6"/>
  <c r="I136" i="6"/>
  <c r="O135" i="6"/>
  <c r="M135" i="6"/>
  <c r="L135" i="6"/>
  <c r="J135" i="6" s="1"/>
  <c r="K135" i="6"/>
  <c r="I135" i="6"/>
  <c r="O134" i="6"/>
  <c r="M134" i="6"/>
  <c r="L134" i="6"/>
  <c r="J134" i="6" s="1"/>
  <c r="K134" i="6"/>
  <c r="I134" i="6"/>
  <c r="O133" i="6"/>
  <c r="M133" i="6"/>
  <c r="L133" i="6"/>
  <c r="J133" i="6" s="1"/>
  <c r="K133" i="6"/>
  <c r="I133" i="6"/>
  <c r="O132" i="6"/>
  <c r="M132" i="6"/>
  <c r="L132" i="6"/>
  <c r="J132" i="6" s="1"/>
  <c r="K132" i="6"/>
  <c r="I132" i="6"/>
  <c r="O131" i="6"/>
  <c r="M131" i="6"/>
  <c r="L131" i="6"/>
  <c r="J131" i="6" s="1"/>
  <c r="K131" i="6"/>
  <c r="I131" i="6"/>
  <c r="O130" i="6"/>
  <c r="M130" i="6"/>
  <c r="L130" i="6"/>
  <c r="J130" i="6" s="1"/>
  <c r="K130" i="6"/>
  <c r="I130" i="6"/>
  <c r="O129" i="6"/>
  <c r="M129" i="6"/>
  <c r="L129" i="6"/>
  <c r="J129" i="6" s="1"/>
  <c r="K129" i="6"/>
  <c r="I129" i="6"/>
  <c r="O128" i="6"/>
  <c r="M128" i="6"/>
  <c r="L128" i="6"/>
  <c r="J128" i="6" s="1"/>
  <c r="K128" i="6"/>
  <c r="I128" i="6"/>
  <c r="O127" i="6"/>
  <c r="M127" i="6"/>
  <c r="L127" i="6"/>
  <c r="J127" i="6" s="1"/>
  <c r="K127" i="6"/>
  <c r="I127" i="6"/>
  <c r="O126" i="6"/>
  <c r="M126" i="6"/>
  <c r="L126" i="6"/>
  <c r="J126" i="6" s="1"/>
  <c r="K126" i="6"/>
  <c r="I126" i="6"/>
  <c r="O125" i="6"/>
  <c r="M125" i="6"/>
  <c r="L125" i="6"/>
  <c r="J125" i="6" s="1"/>
  <c r="K125" i="6"/>
  <c r="I125" i="6"/>
  <c r="O124" i="6"/>
  <c r="M124" i="6"/>
  <c r="L124" i="6"/>
  <c r="J124" i="6" s="1"/>
  <c r="K124" i="6"/>
  <c r="I124" i="6"/>
  <c r="O123" i="6"/>
  <c r="M123" i="6"/>
  <c r="L123" i="6"/>
  <c r="J123" i="6" s="1"/>
  <c r="K123" i="6"/>
  <c r="I123" i="6"/>
  <c r="O122" i="6"/>
  <c r="M122" i="6"/>
  <c r="L122" i="6"/>
  <c r="J122" i="6" s="1"/>
  <c r="K122" i="6"/>
  <c r="I122" i="6"/>
  <c r="O121" i="6"/>
  <c r="M121" i="6"/>
  <c r="L121" i="6"/>
  <c r="J121" i="6" s="1"/>
  <c r="K121" i="6"/>
  <c r="I121" i="6"/>
  <c r="O120" i="6"/>
  <c r="M120" i="6"/>
  <c r="L120" i="6"/>
  <c r="J120" i="6" s="1"/>
  <c r="K120" i="6"/>
  <c r="I120" i="6"/>
  <c r="O119" i="6"/>
  <c r="M119" i="6"/>
  <c r="L119" i="6"/>
  <c r="J119" i="6" s="1"/>
  <c r="K119" i="6"/>
  <c r="I119" i="6"/>
  <c r="O118" i="6"/>
  <c r="M118" i="6"/>
  <c r="L118" i="6"/>
  <c r="J118" i="6" s="1"/>
  <c r="K118" i="6"/>
  <c r="I118" i="6"/>
  <c r="O117" i="6"/>
  <c r="M117" i="6"/>
  <c r="L117" i="6"/>
  <c r="J117" i="6" s="1"/>
  <c r="K117" i="6"/>
  <c r="I117" i="6"/>
  <c r="O116" i="6"/>
  <c r="M116" i="6"/>
  <c r="L116" i="6"/>
  <c r="J116" i="6" s="1"/>
  <c r="K116" i="6"/>
  <c r="I116" i="6"/>
  <c r="O115" i="6"/>
  <c r="M115" i="6"/>
  <c r="L115" i="6"/>
  <c r="J115" i="6" s="1"/>
  <c r="K115" i="6"/>
  <c r="I115" i="6"/>
  <c r="O114" i="6"/>
  <c r="M114" i="6"/>
  <c r="L114" i="6"/>
  <c r="J114" i="6" s="1"/>
  <c r="K114" i="6"/>
  <c r="I114" i="6"/>
  <c r="O113" i="6"/>
  <c r="M113" i="6"/>
  <c r="L113" i="6"/>
  <c r="J113" i="6" s="1"/>
  <c r="K113" i="6"/>
  <c r="I113" i="6"/>
  <c r="O112" i="6"/>
  <c r="M112" i="6"/>
  <c r="L112" i="6"/>
  <c r="J112" i="6" s="1"/>
  <c r="K112" i="6"/>
  <c r="I112" i="6"/>
  <c r="O111" i="6"/>
  <c r="M111" i="6"/>
  <c r="L111" i="6"/>
  <c r="J111" i="6" s="1"/>
  <c r="K111" i="6"/>
  <c r="I111" i="6"/>
  <c r="O110" i="6"/>
  <c r="M110" i="6"/>
  <c r="L110" i="6"/>
  <c r="J110" i="6" s="1"/>
  <c r="K110" i="6"/>
  <c r="I110" i="6"/>
  <c r="O109" i="6"/>
  <c r="M109" i="6"/>
  <c r="L109" i="6"/>
  <c r="J109" i="6" s="1"/>
  <c r="K109" i="6"/>
  <c r="I109" i="6"/>
  <c r="O108" i="6"/>
  <c r="M108" i="6"/>
  <c r="L108" i="6"/>
  <c r="J108" i="6" s="1"/>
  <c r="K108" i="6"/>
  <c r="I108" i="6"/>
  <c r="O107" i="6"/>
  <c r="M107" i="6"/>
  <c r="L107" i="6"/>
  <c r="J107" i="6" s="1"/>
  <c r="K107" i="6"/>
  <c r="I107" i="6"/>
  <c r="O106" i="6"/>
  <c r="M106" i="6"/>
  <c r="L106" i="6"/>
  <c r="J106" i="6" s="1"/>
  <c r="K106" i="6"/>
  <c r="I106" i="6"/>
  <c r="O105" i="6"/>
  <c r="M105" i="6"/>
  <c r="L105" i="6"/>
  <c r="J105" i="6" s="1"/>
  <c r="K105" i="6"/>
  <c r="I105" i="6"/>
  <c r="O104" i="6"/>
  <c r="M104" i="6"/>
  <c r="L104" i="6"/>
  <c r="J104" i="6" s="1"/>
  <c r="K104" i="6"/>
  <c r="I104" i="6"/>
  <c r="O103" i="6"/>
  <c r="M103" i="6"/>
  <c r="L103" i="6"/>
  <c r="J103" i="6" s="1"/>
  <c r="K103" i="6"/>
  <c r="I103" i="6"/>
  <c r="O102" i="6"/>
  <c r="M102" i="6"/>
  <c r="L102" i="6"/>
  <c r="J102" i="6" s="1"/>
  <c r="K102" i="6"/>
  <c r="I102" i="6"/>
  <c r="O101" i="6"/>
  <c r="M101" i="6"/>
  <c r="L101" i="6"/>
  <c r="J101" i="6" s="1"/>
  <c r="K101" i="6"/>
  <c r="I101" i="6"/>
  <c r="O100" i="6"/>
  <c r="M100" i="6"/>
  <c r="L100" i="6"/>
  <c r="J100" i="6" s="1"/>
  <c r="K100" i="6"/>
  <c r="I100" i="6"/>
  <c r="O99" i="6"/>
  <c r="M99" i="6"/>
  <c r="L99" i="6"/>
  <c r="J99" i="6" s="1"/>
  <c r="K99" i="6"/>
  <c r="I99" i="6"/>
  <c r="O98" i="6"/>
  <c r="M98" i="6"/>
  <c r="L98" i="6"/>
  <c r="J98" i="6" s="1"/>
  <c r="K98" i="6"/>
  <c r="I98" i="6"/>
  <c r="O97" i="6"/>
  <c r="M97" i="6"/>
  <c r="L97" i="6"/>
  <c r="J97" i="6" s="1"/>
  <c r="K97" i="6"/>
  <c r="I97" i="6"/>
  <c r="O96" i="6"/>
  <c r="M96" i="6"/>
  <c r="L96" i="6"/>
  <c r="J96" i="6" s="1"/>
  <c r="K96" i="6"/>
  <c r="I96" i="6"/>
  <c r="O95" i="6"/>
  <c r="M95" i="6"/>
  <c r="L95" i="6"/>
  <c r="J95" i="6" s="1"/>
  <c r="K95" i="6"/>
  <c r="I95" i="6"/>
  <c r="O94" i="6"/>
  <c r="M94" i="6"/>
  <c r="L94" i="6"/>
  <c r="J94" i="6" s="1"/>
  <c r="K94" i="6"/>
  <c r="I94" i="6"/>
  <c r="O93" i="6"/>
  <c r="M93" i="6"/>
  <c r="L93" i="6"/>
  <c r="J93" i="6" s="1"/>
  <c r="K93" i="6"/>
  <c r="I93" i="6"/>
  <c r="O92" i="6"/>
  <c r="M92" i="6"/>
  <c r="L92" i="6"/>
  <c r="J92" i="6" s="1"/>
  <c r="K92" i="6"/>
  <c r="I92" i="6"/>
  <c r="O91" i="6"/>
  <c r="M91" i="6"/>
  <c r="L91" i="6"/>
  <c r="J91" i="6" s="1"/>
  <c r="K91" i="6"/>
  <c r="I91" i="6"/>
  <c r="O90" i="6"/>
  <c r="M90" i="6"/>
  <c r="L90" i="6"/>
  <c r="J90" i="6" s="1"/>
  <c r="K90" i="6"/>
  <c r="I90" i="6"/>
  <c r="O89" i="6"/>
  <c r="M89" i="6"/>
  <c r="L89" i="6"/>
  <c r="J89" i="6" s="1"/>
  <c r="K89" i="6"/>
  <c r="I89" i="6"/>
  <c r="O88" i="6"/>
  <c r="M88" i="6"/>
  <c r="L88" i="6"/>
  <c r="J88" i="6" s="1"/>
  <c r="K88" i="6"/>
  <c r="I88" i="6"/>
  <c r="O87" i="6"/>
  <c r="M87" i="6"/>
  <c r="L87" i="6"/>
  <c r="J87" i="6" s="1"/>
  <c r="K87" i="6"/>
  <c r="I87" i="6"/>
  <c r="O86" i="6"/>
  <c r="M86" i="6"/>
  <c r="L86" i="6"/>
  <c r="J86" i="6" s="1"/>
  <c r="K86" i="6"/>
  <c r="I86" i="6"/>
  <c r="O85" i="6"/>
  <c r="M85" i="6"/>
  <c r="L85" i="6"/>
  <c r="J85" i="6" s="1"/>
  <c r="K85" i="6"/>
  <c r="I85" i="6"/>
  <c r="O84" i="6"/>
  <c r="M84" i="6"/>
  <c r="L84" i="6"/>
  <c r="J84" i="6" s="1"/>
  <c r="K84" i="6"/>
  <c r="I84" i="6"/>
  <c r="O83" i="6"/>
  <c r="M83" i="6"/>
  <c r="L83" i="6"/>
  <c r="J83" i="6" s="1"/>
  <c r="K83" i="6"/>
  <c r="I83" i="6"/>
  <c r="O82" i="6"/>
  <c r="M82" i="6"/>
  <c r="L82" i="6"/>
  <c r="J82" i="6" s="1"/>
  <c r="K82" i="6"/>
  <c r="I82" i="6"/>
  <c r="O81" i="6"/>
  <c r="M81" i="6"/>
  <c r="L81" i="6"/>
  <c r="J81" i="6" s="1"/>
  <c r="K81" i="6"/>
  <c r="I81" i="6"/>
  <c r="O80" i="6"/>
  <c r="M80" i="6"/>
  <c r="L80" i="6"/>
  <c r="J80" i="6" s="1"/>
  <c r="K80" i="6"/>
  <c r="I80" i="6"/>
  <c r="O79" i="6"/>
  <c r="M79" i="6"/>
  <c r="L79" i="6"/>
  <c r="J79" i="6" s="1"/>
  <c r="K79" i="6"/>
  <c r="I79" i="6"/>
  <c r="O78" i="6"/>
  <c r="M78" i="6"/>
  <c r="L78" i="6"/>
  <c r="J78" i="6" s="1"/>
  <c r="K78" i="6"/>
  <c r="I78" i="6"/>
  <c r="O55" i="6"/>
  <c r="M55" i="6"/>
  <c r="L55" i="6"/>
  <c r="J55" i="6" s="1"/>
  <c r="O54" i="6"/>
  <c r="M54" i="6"/>
  <c r="L54" i="6"/>
  <c r="J54" i="6" s="1"/>
  <c r="K54" i="6"/>
  <c r="I54" i="6"/>
  <c r="O53" i="6"/>
  <c r="M53" i="6"/>
  <c r="L53" i="6"/>
  <c r="J53" i="6" s="1"/>
  <c r="K53" i="6"/>
  <c r="I53" i="6"/>
  <c r="O52" i="6"/>
  <c r="M52" i="6"/>
  <c r="L52" i="6"/>
  <c r="J52" i="6" s="1"/>
  <c r="K52" i="6"/>
  <c r="I52" i="6"/>
  <c r="O51" i="6"/>
  <c r="M51" i="6"/>
  <c r="L51" i="6"/>
  <c r="J51" i="6" s="1"/>
  <c r="K51" i="6"/>
  <c r="I51" i="6"/>
  <c r="O50" i="6"/>
  <c r="M50" i="6"/>
  <c r="L50" i="6"/>
  <c r="J50" i="6" s="1"/>
  <c r="K50" i="6"/>
  <c r="I50" i="6"/>
  <c r="O49" i="6"/>
  <c r="M49" i="6"/>
  <c r="L49" i="6"/>
  <c r="J49" i="6" s="1"/>
  <c r="K49" i="6"/>
  <c r="I49" i="6"/>
  <c r="O48" i="6"/>
  <c r="M48" i="6"/>
  <c r="L48" i="6"/>
  <c r="J48" i="6" s="1"/>
  <c r="O47" i="6"/>
  <c r="M47" i="6"/>
  <c r="L47" i="6"/>
  <c r="J47" i="6" s="1"/>
  <c r="K47" i="6"/>
  <c r="I47" i="6"/>
  <c r="O46" i="6"/>
  <c r="M46" i="6"/>
  <c r="L46" i="6"/>
  <c r="J46" i="6" s="1"/>
  <c r="K46" i="6"/>
  <c r="I46" i="6"/>
  <c r="O45" i="6"/>
  <c r="M45" i="6"/>
  <c r="L45" i="6"/>
  <c r="J45" i="6" s="1"/>
  <c r="I45" i="6"/>
  <c r="O44" i="6"/>
  <c r="M44" i="6"/>
  <c r="L44" i="6"/>
  <c r="J44" i="6" s="1"/>
  <c r="K44" i="6"/>
  <c r="I44" i="6"/>
  <c r="O43" i="6"/>
  <c r="M43" i="6"/>
  <c r="L43" i="6"/>
  <c r="J43" i="6" s="1"/>
  <c r="K43" i="6"/>
  <c r="I43" i="6"/>
  <c r="O42" i="6"/>
  <c r="M42" i="6"/>
  <c r="L42" i="6"/>
  <c r="J42" i="6" s="1"/>
  <c r="K42" i="6"/>
  <c r="I42" i="6"/>
  <c r="O41" i="6"/>
  <c r="M41" i="6"/>
  <c r="L41" i="6"/>
  <c r="J41" i="6" s="1"/>
  <c r="O40" i="6"/>
  <c r="M40" i="6"/>
  <c r="L40" i="6"/>
  <c r="J40" i="6" s="1"/>
  <c r="K40" i="6"/>
  <c r="I40" i="6"/>
  <c r="O39" i="6"/>
  <c r="M39" i="6"/>
  <c r="L39" i="6"/>
  <c r="J39" i="6" s="1"/>
  <c r="K39" i="6"/>
  <c r="I39" i="6"/>
  <c r="O38" i="6"/>
  <c r="M38" i="6"/>
  <c r="L38" i="6"/>
  <c r="J38" i="6" s="1"/>
  <c r="K38" i="6"/>
  <c r="I38" i="6"/>
  <c r="O37" i="6"/>
  <c r="M37" i="6"/>
  <c r="L37" i="6"/>
  <c r="J37" i="6" s="1"/>
  <c r="K37" i="6"/>
  <c r="I37" i="6"/>
  <c r="O36" i="6"/>
  <c r="M36" i="6"/>
  <c r="L36" i="6"/>
  <c r="J36" i="6" s="1"/>
  <c r="K36" i="6"/>
  <c r="I36" i="6"/>
  <c r="O35" i="6"/>
  <c r="M35" i="6"/>
  <c r="L35" i="6"/>
  <c r="J35" i="6" s="1"/>
  <c r="K35" i="6"/>
  <c r="I35" i="6"/>
  <c r="O34" i="6"/>
  <c r="M34" i="6"/>
  <c r="L34" i="6"/>
  <c r="J34" i="6" s="1"/>
  <c r="O33" i="6"/>
  <c r="M33" i="6"/>
  <c r="L33" i="6"/>
  <c r="J33" i="6" s="1"/>
  <c r="K33" i="6"/>
  <c r="I33" i="6"/>
  <c r="O32" i="6"/>
  <c r="M32" i="6"/>
  <c r="L32" i="6"/>
  <c r="J32" i="6" s="1"/>
  <c r="K32" i="6"/>
  <c r="I32" i="6"/>
  <c r="O31" i="6"/>
  <c r="M31" i="6"/>
  <c r="L31" i="6"/>
  <c r="J31" i="6" s="1"/>
  <c r="K31" i="6"/>
  <c r="I31" i="6"/>
  <c r="O30" i="6"/>
  <c r="M30" i="6"/>
  <c r="L30" i="6"/>
  <c r="J30" i="6" s="1"/>
  <c r="K30" i="6"/>
  <c r="I30" i="6"/>
  <c r="O29" i="6"/>
  <c r="M29" i="6"/>
  <c r="L29" i="6"/>
  <c r="J29" i="6" s="1"/>
  <c r="O28" i="6"/>
  <c r="M28" i="6"/>
  <c r="L28" i="6"/>
  <c r="J28" i="6" s="1"/>
  <c r="K28" i="6"/>
  <c r="I28" i="6"/>
  <c r="O27" i="6"/>
  <c r="M27" i="6"/>
  <c r="L27" i="6"/>
  <c r="J27" i="6" s="1"/>
  <c r="K27" i="6"/>
  <c r="O26" i="6"/>
  <c r="M26" i="6"/>
  <c r="L26" i="6"/>
  <c r="J26" i="6" s="1"/>
  <c r="K26" i="6"/>
  <c r="I26" i="6"/>
  <c r="O25" i="6"/>
  <c r="M25" i="6"/>
  <c r="L25" i="6"/>
  <c r="J25" i="6" s="1"/>
  <c r="K25" i="6"/>
  <c r="I25" i="6"/>
  <c r="O24" i="6"/>
  <c r="M24" i="6"/>
  <c r="L24" i="6"/>
  <c r="J24" i="6" s="1"/>
  <c r="K24" i="6"/>
  <c r="I24" i="6"/>
  <c r="O23" i="6"/>
  <c r="M23" i="6"/>
  <c r="L23" i="6"/>
  <c r="J23" i="6" s="1"/>
  <c r="K23" i="6"/>
  <c r="I23" i="6"/>
  <c r="O22" i="6"/>
  <c r="M22" i="6"/>
  <c r="L22" i="6"/>
  <c r="J22" i="6" s="1"/>
  <c r="O21" i="6"/>
  <c r="M21" i="6"/>
  <c r="L21" i="6"/>
  <c r="J21" i="6" s="1"/>
  <c r="K21" i="6"/>
  <c r="I21" i="6"/>
  <c r="O20" i="6"/>
  <c r="M20" i="6"/>
  <c r="L20" i="6"/>
  <c r="J20" i="6" s="1"/>
  <c r="K20" i="6"/>
  <c r="O19" i="6"/>
  <c r="M19" i="6"/>
  <c r="L19" i="6"/>
  <c r="J19" i="6" s="1"/>
  <c r="K19" i="6"/>
  <c r="I19" i="6"/>
  <c r="O18" i="6"/>
  <c r="M18" i="6"/>
  <c r="L18" i="6"/>
  <c r="J18" i="6" s="1"/>
  <c r="K18" i="6"/>
  <c r="I18" i="6"/>
  <c r="O17" i="6"/>
  <c r="M17" i="6"/>
  <c r="L17" i="6"/>
  <c r="J17" i="6" s="1"/>
  <c r="K17" i="6"/>
  <c r="I17" i="6"/>
  <c r="O16" i="6"/>
  <c r="M16" i="6"/>
  <c r="L16" i="6"/>
  <c r="J16" i="6" s="1"/>
  <c r="K16" i="6"/>
  <c r="I16" i="6"/>
  <c r="O15" i="6"/>
  <c r="M15" i="6"/>
  <c r="L15" i="6"/>
  <c r="K15" i="6" s="1"/>
  <c r="O14" i="6"/>
  <c r="M14" i="6"/>
  <c r="L14" i="6"/>
  <c r="J14" i="6" s="1"/>
  <c r="K14" i="6"/>
  <c r="I14" i="6"/>
  <c r="M13" i="6"/>
  <c r="L13" i="6"/>
  <c r="K13" i="6" s="1"/>
  <c r="O13" i="6" s="1"/>
  <c r="M12" i="6"/>
  <c r="L12" i="6"/>
  <c r="K12" i="6" s="1"/>
  <c r="C6" i="6"/>
  <c r="A6" i="6"/>
  <c r="C5" i="6"/>
  <c r="A5" i="6"/>
  <c r="C4" i="6"/>
  <c r="N11" i="6" l="1"/>
  <c r="K9" i="6"/>
  <c r="J9" i="6"/>
  <c r="K10" i="6"/>
  <c r="J10" i="6"/>
  <c r="K8" i="6"/>
  <c r="J8" i="6"/>
  <c r="N197" i="6"/>
  <c r="N302" i="6"/>
  <c r="N338" i="6"/>
  <c r="N451" i="6"/>
  <c r="N601" i="6"/>
  <c r="N594" i="6"/>
  <c r="N606" i="6"/>
  <c r="N430" i="6"/>
  <c r="N437" i="6"/>
  <c r="N204" i="6"/>
  <c r="N235" i="6"/>
  <c r="N309" i="6"/>
  <c r="N25" i="6"/>
  <c r="N455" i="6"/>
  <c r="N524" i="6"/>
  <c r="N439" i="6"/>
  <c r="N453" i="6"/>
  <c r="N183" i="6"/>
  <c r="N407" i="6"/>
  <c r="N176" i="6"/>
  <c r="N381" i="6"/>
  <c r="N100" i="6"/>
  <c r="N107" i="6"/>
  <c r="N398" i="6"/>
  <c r="N91" i="6"/>
  <c r="N162" i="6"/>
  <c r="N286" i="6"/>
  <c r="N400" i="6"/>
  <c r="N442" i="6"/>
  <c r="N428" i="6"/>
  <c r="N151" i="6"/>
  <c r="N165" i="6"/>
  <c r="N360" i="6"/>
  <c r="N372" i="6"/>
  <c r="N391" i="6"/>
  <c r="N156" i="6"/>
  <c r="N296" i="6"/>
  <c r="N170" i="6"/>
  <c r="N244" i="6"/>
  <c r="N256" i="6"/>
  <c r="N358" i="6"/>
  <c r="N18" i="6"/>
  <c r="N86" i="6"/>
  <c r="N93" i="6"/>
  <c r="N130" i="6"/>
  <c r="N211" i="6"/>
  <c r="N249" i="6"/>
  <c r="N181" i="6"/>
  <c r="N46" i="6"/>
  <c r="N167" i="6"/>
  <c r="N315" i="6"/>
  <c r="N31" i="6"/>
  <c r="N158" i="6"/>
  <c r="N257" i="6"/>
  <c r="N271" i="6"/>
  <c r="N320" i="6"/>
  <c r="N550" i="6"/>
  <c r="N562" i="6"/>
  <c r="N405" i="6"/>
  <c r="N435" i="6"/>
  <c r="N17" i="6"/>
  <c r="N40" i="6"/>
  <c r="N221" i="6"/>
  <c r="N228" i="6"/>
  <c r="N340" i="6"/>
  <c r="N396" i="6"/>
  <c r="N426" i="6"/>
  <c r="N523" i="6"/>
  <c r="N160" i="6"/>
  <c r="N310" i="6"/>
  <c r="N336" i="6"/>
  <c r="N354" i="6"/>
  <c r="N509" i="6"/>
  <c r="N576" i="6"/>
  <c r="N174" i="6"/>
  <c r="N294" i="6"/>
  <c r="N578" i="6"/>
  <c r="N592" i="6"/>
  <c r="N502" i="6"/>
  <c r="N514" i="6"/>
  <c r="N521" i="6"/>
  <c r="N585" i="6"/>
  <c r="N599" i="6"/>
  <c r="N493" i="6"/>
  <c r="N512" i="6"/>
  <c r="N531" i="6"/>
  <c r="N557" i="6"/>
  <c r="N583" i="6"/>
  <c r="N590" i="6"/>
  <c r="N597" i="6"/>
  <c r="N479" i="6"/>
  <c r="N491" i="6"/>
  <c r="N555" i="6"/>
  <c r="N574" i="6"/>
  <c r="N470" i="6"/>
  <c r="N26" i="6"/>
  <c r="N54" i="6"/>
  <c r="K45" i="6"/>
  <c r="N45" i="6" s="1"/>
  <c r="I15" i="6"/>
  <c r="I22" i="6"/>
  <c r="I29" i="6"/>
  <c r="J15" i="6"/>
  <c r="K22" i="6"/>
  <c r="N22" i="6" s="1"/>
  <c r="K29" i="6"/>
  <c r="I34" i="6"/>
  <c r="I41" i="6"/>
  <c r="I48" i="6"/>
  <c r="I55" i="6"/>
  <c r="I20" i="6"/>
  <c r="I27" i="6"/>
  <c r="K34" i="6"/>
  <c r="K41" i="6"/>
  <c r="N41" i="6" s="1"/>
  <c r="K48" i="6"/>
  <c r="N48" i="6" s="1"/>
  <c r="K55" i="6"/>
  <c r="N55" i="6" s="1"/>
  <c r="I12" i="6"/>
  <c r="J12" i="6"/>
  <c r="N80" i="6"/>
  <c r="N128" i="6"/>
  <c r="N147" i="6"/>
  <c r="N215" i="6"/>
  <c r="N229" i="6"/>
  <c r="N285" i="6"/>
  <c r="N292" i="6"/>
  <c r="N325" i="6"/>
  <c r="N332" i="6"/>
  <c r="N341" i="6"/>
  <c r="N436" i="6"/>
  <c r="N560" i="6"/>
  <c r="N602" i="6"/>
  <c r="N133" i="6"/>
  <c r="N194" i="6"/>
  <c r="N206" i="6"/>
  <c r="N255" i="6"/>
  <c r="N283" i="6"/>
  <c r="N427" i="6"/>
  <c r="N434" i="6"/>
  <c r="N457" i="6"/>
  <c r="N464" i="6"/>
  <c r="N485" i="6"/>
  <c r="N546" i="6"/>
  <c r="N19" i="6"/>
  <c r="N28" i="6"/>
  <c r="N78" i="6"/>
  <c r="N199" i="6"/>
  <c r="N213" i="6"/>
  <c r="N253" i="6"/>
  <c r="N274" i="6"/>
  <c r="N376" i="6"/>
  <c r="N478" i="6"/>
  <c r="N525" i="6"/>
  <c r="N558" i="6"/>
  <c r="N79" i="6"/>
  <c r="N495" i="6"/>
  <c r="N124" i="6"/>
  <c r="N152" i="6"/>
  <c r="N203" i="6"/>
  <c r="N240" i="6"/>
  <c r="N247" i="6"/>
  <c r="N277" i="6"/>
  <c r="N307" i="6"/>
  <c r="N323" i="6"/>
  <c r="N339" i="6"/>
  <c r="N380" i="6"/>
  <c r="N394" i="6"/>
  <c r="N468" i="6"/>
  <c r="N477" i="6"/>
  <c r="N551" i="6"/>
  <c r="N600" i="6"/>
  <c r="N104" i="6"/>
  <c r="N122" i="6"/>
  <c r="N138" i="6"/>
  <c r="N145" i="6"/>
  <c r="N157" i="6"/>
  <c r="N196" i="6"/>
  <c r="N208" i="6"/>
  <c r="N275" i="6"/>
  <c r="N316" i="6"/>
  <c r="N337" i="6"/>
  <c r="N454" i="6"/>
  <c r="N475" i="6"/>
  <c r="N540" i="6"/>
  <c r="N584" i="6"/>
  <c r="N490" i="6"/>
  <c r="N218" i="6"/>
  <c r="N488" i="6"/>
  <c r="N216" i="6"/>
  <c r="N106" i="6"/>
  <c r="N36" i="6"/>
  <c r="N164" i="6"/>
  <c r="N201" i="6"/>
  <c r="N217" i="6"/>
  <c r="N273" i="6"/>
  <c r="N305" i="6"/>
  <c r="N314" i="6"/>
  <c r="N321" i="6"/>
  <c r="N371" i="6"/>
  <c r="N392" i="6"/>
  <c r="N406" i="6"/>
  <c r="N459" i="6"/>
  <c r="N466" i="6"/>
  <c r="N487" i="6"/>
  <c r="N538" i="6"/>
  <c r="N561" i="6"/>
  <c r="N16" i="6"/>
  <c r="N20" i="6"/>
  <c r="N34" i="6"/>
  <c r="N52" i="6"/>
  <c r="N105" i="6"/>
  <c r="N136" i="6"/>
  <c r="N155" i="6"/>
  <c r="N168" i="6"/>
  <c r="N179" i="6"/>
  <c r="N209" i="6"/>
  <c r="N250" i="6"/>
  <c r="N263" i="6"/>
  <c r="N272" i="6"/>
  <c r="N281" i="6"/>
  <c r="N290" i="6"/>
  <c r="N333" i="6"/>
  <c r="N363" i="6"/>
  <c r="N370" i="6"/>
  <c r="N415" i="6"/>
  <c r="N469" i="6"/>
  <c r="N554" i="6"/>
  <c r="N568" i="6"/>
  <c r="N575" i="6"/>
  <c r="N579" i="6"/>
  <c r="N582" i="6"/>
  <c r="N598" i="6"/>
  <c r="N605" i="6"/>
  <c r="N214" i="6"/>
  <c r="N33" i="6"/>
  <c r="N49" i="6"/>
  <c r="N387" i="6"/>
  <c r="N423" i="6"/>
  <c r="N581" i="6"/>
  <c r="N32" i="6"/>
  <c r="N50" i="6"/>
  <c r="N123" i="6"/>
  <c r="N134" i="6"/>
  <c r="N166" i="6"/>
  <c r="N202" i="6"/>
  <c r="N261" i="6"/>
  <c r="N288" i="6"/>
  <c r="N304" i="6"/>
  <c r="N317" i="6"/>
  <c r="N331" i="6"/>
  <c r="N368" i="6"/>
  <c r="N386" i="6"/>
  <c r="N399" i="6"/>
  <c r="N404" i="6"/>
  <c r="N413" i="6"/>
  <c r="N431" i="6"/>
  <c r="N440" i="6"/>
  <c r="N467" i="6"/>
  <c r="N511" i="6"/>
  <c r="N529" i="6"/>
  <c r="N559" i="6"/>
  <c r="N566" i="6"/>
  <c r="N300" i="6"/>
  <c r="N35" i="6"/>
  <c r="N171" i="6"/>
  <c r="N51" i="6"/>
  <c r="N112" i="6"/>
  <c r="N21" i="6"/>
  <c r="N30" i="6"/>
  <c r="N121" i="6"/>
  <c r="N141" i="6"/>
  <c r="N153" i="6"/>
  <c r="N184" i="6"/>
  <c r="N259" i="6"/>
  <c r="N366" i="6"/>
  <c r="N375" i="6"/>
  <c r="N395" i="6"/>
  <c r="N402" i="6"/>
  <c r="N411" i="6"/>
  <c r="N429" i="6"/>
  <c r="N456" i="6"/>
  <c r="N552" i="6"/>
  <c r="N564" i="6"/>
  <c r="N573" i="6"/>
  <c r="N587" i="6"/>
  <c r="N596" i="6"/>
  <c r="N603" i="6"/>
  <c r="N47" i="6"/>
  <c r="N230" i="6"/>
  <c r="N419" i="6"/>
  <c r="N233" i="6"/>
  <c r="N351" i="6"/>
  <c r="N539" i="6"/>
  <c r="N103" i="6"/>
  <c r="N245" i="6"/>
  <c r="N295" i="6"/>
  <c r="N352" i="6"/>
  <c r="N367" i="6"/>
  <c r="N369" i="6"/>
  <c r="N373" i="6"/>
  <c r="N465" i="6"/>
  <c r="N483" i="6"/>
  <c r="N517" i="6"/>
  <c r="N588" i="6"/>
  <c r="N42" i="6"/>
  <c r="N113" i="6"/>
  <c r="N135" i="6"/>
  <c r="N142" i="6"/>
  <c r="N149" i="6"/>
  <c r="N169" i="6"/>
  <c r="N177" i="6"/>
  <c r="N191" i="6"/>
  <c r="N267" i="6"/>
  <c r="N269" i="6"/>
  <c r="N293" i="6"/>
  <c r="N328" i="6"/>
  <c r="N350" i="6"/>
  <c r="N443" i="6"/>
  <c r="N463" i="6"/>
  <c r="N472" i="6"/>
  <c r="N501" i="6"/>
  <c r="N513" i="6"/>
  <c r="N515" i="6"/>
  <c r="N526" i="6"/>
  <c r="N563" i="6"/>
  <c r="N572" i="6"/>
  <c r="N212" i="6"/>
  <c r="N237" i="6"/>
  <c r="N359" i="6"/>
  <c r="N543" i="6"/>
  <c r="N185" i="6"/>
  <c r="N248" i="6"/>
  <c r="N503" i="6"/>
  <c r="N301" i="6"/>
  <c r="N329" i="6"/>
  <c r="N98" i="6"/>
  <c r="N327" i="6"/>
  <c r="N81" i="6"/>
  <c r="N231" i="6"/>
  <c r="N44" i="6"/>
  <c r="N27" i="6"/>
  <c r="N223" i="6"/>
  <c r="N239" i="6"/>
  <c r="N241" i="6"/>
  <c r="N243" i="6"/>
  <c r="N265" i="6"/>
  <c r="N291" i="6"/>
  <c r="N322" i="6"/>
  <c r="N324" i="6"/>
  <c r="N326" i="6"/>
  <c r="N348" i="6"/>
  <c r="N403" i="6"/>
  <c r="N418" i="6"/>
  <c r="N441" i="6"/>
  <c r="N461" i="6"/>
  <c r="N570" i="6"/>
  <c r="N586" i="6"/>
  <c r="N383" i="6"/>
  <c r="N390" i="6"/>
  <c r="N416" i="6"/>
  <c r="N432" i="6"/>
  <c r="N449" i="6"/>
  <c r="N458" i="6"/>
  <c r="N507" i="6"/>
  <c r="N536" i="6"/>
  <c r="N547" i="6"/>
  <c r="N549" i="6"/>
  <c r="N593" i="6"/>
  <c r="N37" i="6"/>
  <c r="N119" i="6"/>
  <c r="N132" i="6"/>
  <c r="N143" i="6"/>
  <c r="N159" i="6"/>
  <c r="N163" i="6"/>
  <c r="N178" i="6"/>
  <c r="N200" i="6"/>
  <c r="N207" i="6"/>
  <c r="N251" i="6"/>
  <c r="N279" i="6"/>
  <c r="N303" i="6"/>
  <c r="N306" i="6"/>
  <c r="N308" i="6"/>
  <c r="N334" i="6"/>
  <c r="N344" i="6"/>
  <c r="N362" i="6"/>
  <c r="N364" i="6"/>
  <c r="N445" i="6"/>
  <c r="N489" i="6"/>
  <c r="N527" i="6"/>
  <c r="N534" i="6"/>
  <c r="N556" i="6"/>
  <c r="N565" i="6"/>
  <c r="N580" i="6"/>
  <c r="N589" i="6"/>
  <c r="N519" i="6"/>
  <c r="N24" i="6"/>
  <c r="N118" i="6"/>
  <c r="N120" i="6"/>
  <c r="N150" i="6"/>
  <c r="N190" i="6"/>
  <c r="N192" i="6"/>
  <c r="N312" i="6"/>
  <c r="N384" i="6"/>
  <c r="N414" i="6"/>
  <c r="N420" i="6"/>
  <c r="N422" i="6"/>
  <c r="N424" i="6"/>
  <c r="N499" i="6"/>
  <c r="N140" i="6"/>
  <c r="N114" i="6"/>
  <c r="N148" i="6"/>
  <c r="N188" i="6"/>
  <c r="N227" i="6"/>
  <c r="N382" i="6"/>
  <c r="N535" i="6"/>
  <c r="N537" i="6"/>
  <c r="N541" i="6"/>
  <c r="N591" i="6"/>
  <c r="N172" i="6"/>
  <c r="N23" i="6"/>
  <c r="N116" i="6"/>
  <c r="N146" i="6"/>
  <c r="N182" i="6"/>
  <c r="N14" i="6"/>
  <c r="N43" i="6"/>
  <c r="N88" i="6"/>
  <c r="N90" i="6"/>
  <c r="N96" i="6"/>
  <c r="N108" i="6"/>
  <c r="N110" i="6"/>
  <c r="N289" i="6"/>
  <c r="N346" i="6"/>
  <c r="N410" i="6"/>
  <c r="N412" i="6"/>
  <c r="N444" i="6"/>
  <c r="N446" i="6"/>
  <c r="N448" i="6"/>
  <c r="N533" i="6"/>
  <c r="N567" i="6"/>
  <c r="I13" i="6"/>
  <c r="J13" i="6"/>
  <c r="N82" i="6"/>
  <c r="N84" i="6"/>
  <c r="N92" i="6"/>
  <c r="N94" i="6"/>
  <c r="N144" i="6"/>
  <c r="N180" i="6"/>
  <c r="N225" i="6"/>
  <c r="N287" i="6"/>
  <c r="N298" i="6"/>
  <c r="N408" i="6"/>
  <c r="N438" i="6"/>
  <c r="N15" i="6"/>
  <c r="N83" i="6"/>
  <c r="N85" i="6"/>
  <c r="N89" i="6"/>
  <c r="N95" i="6"/>
  <c r="N97" i="6"/>
  <c r="N99" i="6"/>
  <c r="N101" i="6"/>
  <c r="N109" i="6"/>
  <c r="N115" i="6"/>
  <c r="N125" i="6"/>
  <c r="N127" i="6"/>
  <c r="N137" i="6"/>
  <c r="N139" i="6"/>
  <c r="N173" i="6"/>
  <c r="N175" i="6"/>
  <c r="N187" i="6"/>
  <c r="N189" i="6"/>
  <c r="N219" i="6"/>
  <c r="N226" i="6"/>
  <c r="N232" i="6"/>
  <c r="N238" i="6"/>
  <c r="N254" i="6"/>
  <c r="N262" i="6"/>
  <c r="N264" i="6"/>
  <c r="N266" i="6"/>
  <c r="N268" i="6"/>
  <c r="N282" i="6"/>
  <c r="N353" i="6"/>
  <c r="N355" i="6"/>
  <c r="N357" i="6"/>
  <c r="N361" i="6"/>
  <c r="N379" i="6"/>
  <c r="N385" i="6"/>
  <c r="N389" i="6"/>
  <c r="N393" i="6"/>
  <c r="N417" i="6"/>
  <c r="N421" i="6"/>
  <c r="N498" i="6"/>
  <c r="N500" i="6"/>
  <c r="N522" i="6"/>
  <c r="N87" i="6"/>
  <c r="N129" i="6"/>
  <c r="N131" i="6"/>
  <c r="N195" i="6"/>
  <c r="N236" i="6"/>
  <c r="N252" i="6"/>
  <c r="N260" i="6"/>
  <c r="N276" i="6"/>
  <c r="N278" i="6"/>
  <c r="N280" i="6"/>
  <c r="N347" i="6"/>
  <c r="N349" i="6"/>
  <c r="N377" i="6"/>
  <c r="N397" i="6"/>
  <c r="N471" i="6"/>
  <c r="N482" i="6"/>
  <c r="N486" i="6"/>
  <c r="N504" i="6"/>
  <c r="N506" i="6"/>
  <c r="N510" i="6"/>
  <c r="N528" i="6"/>
  <c r="N530" i="6"/>
  <c r="N542" i="6"/>
  <c r="N544" i="6"/>
  <c r="N39" i="6"/>
  <c r="N53" i="6"/>
  <c r="N111" i="6"/>
  <c r="N161" i="6"/>
  <c r="N193" i="6"/>
  <c r="N205" i="6"/>
  <c r="N220" i="6"/>
  <c r="N222" i="6"/>
  <c r="N224" i="6"/>
  <c r="N242" i="6"/>
  <c r="N299" i="6"/>
  <c r="N311" i="6"/>
  <c r="N313" i="6"/>
  <c r="N343" i="6"/>
  <c r="N345" i="6"/>
  <c r="N365" i="6"/>
  <c r="N447" i="6"/>
  <c r="N474" i="6"/>
  <c r="N480" i="6"/>
  <c r="N484" i="6"/>
  <c r="N492" i="6"/>
  <c r="N494" i="6"/>
  <c r="N496" i="6"/>
  <c r="N508" i="6"/>
  <c r="N516" i="6"/>
  <c r="N518" i="6"/>
  <c r="N520" i="6"/>
  <c r="N210" i="6"/>
  <c r="N297" i="6"/>
  <c r="N319" i="6"/>
  <c r="N335" i="6"/>
  <c r="N450" i="6"/>
  <c r="N452" i="6"/>
  <c r="N462" i="6"/>
  <c r="N571" i="6"/>
  <c r="N595" i="6"/>
  <c r="N234" i="6"/>
  <c r="N378" i="6"/>
  <c r="N401" i="6"/>
  <c r="N409" i="6"/>
  <c r="N473" i="6"/>
  <c r="N481" i="6"/>
  <c r="N545" i="6"/>
  <c r="N553" i="6"/>
  <c r="N13" i="6"/>
  <c r="O12" i="6"/>
  <c r="N12" i="6" s="1"/>
  <c r="N154" i="6"/>
  <c r="N388" i="6"/>
  <c r="N460" i="6"/>
  <c r="N532" i="6"/>
  <c r="N604" i="6"/>
  <c r="N38" i="6"/>
  <c r="N102" i="6"/>
  <c r="N117" i="6"/>
  <c r="N246" i="6"/>
  <c r="N284" i="6"/>
  <c r="N425" i="6"/>
  <c r="N433" i="6"/>
  <c r="N497" i="6"/>
  <c r="N505" i="6"/>
  <c r="N569" i="6"/>
  <c r="N577" i="6"/>
  <c r="N318" i="6"/>
  <c r="N356" i="6"/>
  <c r="N476" i="6"/>
  <c r="N548" i="6"/>
  <c r="N126" i="6"/>
  <c r="N198" i="6"/>
  <c r="N270" i="6"/>
  <c r="N342" i="6"/>
  <c r="N186" i="6"/>
  <c r="N258" i="6"/>
  <c r="N330" i="6"/>
  <c r="N374" i="6"/>
  <c r="K8" i="2"/>
  <c r="I8" i="2" s="1"/>
  <c r="B6" i="2"/>
  <c r="B5" i="2"/>
  <c r="B4" i="2"/>
  <c r="H41" i="5"/>
  <c r="G41" i="5"/>
  <c r="D41" i="5"/>
  <c r="E41" i="5" s="1"/>
  <c r="B41" i="5"/>
  <c r="H40" i="5"/>
  <c r="G40" i="5"/>
  <c r="F40" i="5"/>
  <c r="D40" i="5"/>
  <c r="E40" i="5" s="1"/>
  <c r="B40" i="5"/>
  <c r="H39" i="5"/>
  <c r="G39" i="5"/>
  <c r="D39" i="5"/>
  <c r="E39" i="5" s="1"/>
  <c r="B39" i="5"/>
  <c r="H38" i="5"/>
  <c r="G38" i="5"/>
  <c r="F38" i="5"/>
  <c r="D38" i="5"/>
  <c r="E38" i="5" s="1"/>
  <c r="B38" i="5"/>
  <c r="J32" i="3"/>
  <c r="K32" i="3" s="1"/>
  <c r="I38" i="5" s="1"/>
  <c r="J34" i="3"/>
  <c r="K34" i="3" s="1"/>
  <c r="I40" i="5" s="1"/>
  <c r="H29" i="5"/>
  <c r="G29" i="5"/>
  <c r="F29" i="5"/>
  <c r="D29" i="5"/>
  <c r="E29" i="5" s="1"/>
  <c r="B29" i="5"/>
  <c r="J23" i="3"/>
  <c r="K23" i="3" s="1"/>
  <c r="I29" i="5" s="1"/>
  <c r="H20" i="5"/>
  <c r="G20" i="5"/>
  <c r="F20" i="5"/>
  <c r="D20" i="5"/>
  <c r="E20" i="5" s="1"/>
  <c r="B20" i="5"/>
  <c r="J14" i="3"/>
  <c r="K14" i="3" s="1"/>
  <c r="I20" i="5" s="1"/>
  <c r="H21" i="5"/>
  <c r="G21" i="5"/>
  <c r="F21" i="5"/>
  <c r="D21" i="5"/>
  <c r="E21" i="5" s="1"/>
  <c r="B21" i="5"/>
  <c r="H17" i="5"/>
  <c r="G17" i="5"/>
  <c r="F17" i="5"/>
  <c r="D17" i="5"/>
  <c r="E17" i="5" s="1"/>
  <c r="B17" i="5"/>
  <c r="J10" i="3"/>
  <c r="K10" i="3" s="1"/>
  <c r="I16" i="5" s="1"/>
  <c r="J11" i="3"/>
  <c r="K11" i="3" s="1"/>
  <c r="I17" i="5" s="1"/>
  <c r="J12" i="3"/>
  <c r="K12" i="3" s="1"/>
  <c r="I18" i="5" s="1"/>
  <c r="J13" i="3"/>
  <c r="K13" i="3" s="1"/>
  <c r="I19" i="5" s="1"/>
  <c r="J15" i="3"/>
  <c r="K15" i="3" s="1"/>
  <c r="I21" i="5" s="1"/>
  <c r="J16" i="3"/>
  <c r="K16" i="3" s="1"/>
  <c r="I22" i="5" s="1"/>
  <c r="J17" i="3"/>
  <c r="K17" i="3" s="1"/>
  <c r="I23" i="5" s="1"/>
  <c r="J18" i="3"/>
  <c r="K18" i="3" s="1"/>
  <c r="I24" i="5" s="1"/>
  <c r="J19" i="3"/>
  <c r="K19" i="3" s="1"/>
  <c r="I25" i="5" s="1"/>
  <c r="J20" i="3"/>
  <c r="K20" i="3" s="1"/>
  <c r="I26" i="5" s="1"/>
  <c r="J21" i="3"/>
  <c r="K21" i="3" s="1"/>
  <c r="I27" i="5" s="1"/>
  <c r="J22" i="3"/>
  <c r="K22" i="3"/>
  <c r="I28" i="5" s="1"/>
  <c r="J25" i="3"/>
  <c r="K25" i="3" s="1"/>
  <c r="I31" i="5" s="1"/>
  <c r="J27" i="3"/>
  <c r="K27" i="3" s="1"/>
  <c r="I33" i="5" s="1"/>
  <c r="J28" i="3"/>
  <c r="K28" i="3" s="1"/>
  <c r="I34" i="5" s="1"/>
  <c r="J29" i="3"/>
  <c r="K29" i="3" s="1"/>
  <c r="I35" i="5" s="1"/>
  <c r="J30" i="3"/>
  <c r="K30" i="3" s="1"/>
  <c r="I36" i="5" s="1"/>
  <c r="J31" i="3"/>
  <c r="K31" i="3" s="1"/>
  <c r="I37" i="5" s="1"/>
  <c r="J36" i="3"/>
  <c r="K36" i="3" s="1"/>
  <c r="I42" i="5" s="1"/>
  <c r="J37" i="3"/>
  <c r="K37" i="3"/>
  <c r="I43" i="5" s="1"/>
  <c r="J38" i="3"/>
  <c r="K38" i="3"/>
  <c r="I44" i="5" s="1"/>
  <c r="J42" i="3"/>
  <c r="E47" i="5" s="1"/>
  <c r="K42" i="3"/>
  <c r="L42" i="3"/>
  <c r="J43" i="3"/>
  <c r="E48" i="5" s="1"/>
  <c r="L43" i="3"/>
  <c r="J44" i="3"/>
  <c r="E49" i="5" s="1"/>
  <c r="L44" i="3"/>
  <c r="J45" i="3"/>
  <c r="E50" i="5" s="1"/>
  <c r="K45" i="3"/>
  <c r="L45" i="3"/>
  <c r="J46" i="3"/>
  <c r="E51" i="5" s="1"/>
  <c r="K46" i="3"/>
  <c r="L46" i="3"/>
  <c r="J47" i="3"/>
  <c r="E52" i="5" s="1"/>
  <c r="K47" i="3"/>
  <c r="L47" i="3"/>
  <c r="J48" i="3"/>
  <c r="E53" i="5" s="1"/>
  <c r="K48" i="3"/>
  <c r="L48" i="3"/>
  <c r="J49" i="3"/>
  <c r="E54" i="5" s="1"/>
  <c r="K49" i="3"/>
  <c r="L49" i="3"/>
  <c r="J50" i="3"/>
  <c r="E55" i="5" s="1"/>
  <c r="K50" i="3"/>
  <c r="L50" i="3"/>
  <c r="J51" i="3"/>
  <c r="E56" i="5" s="1"/>
  <c r="K51" i="3"/>
  <c r="L51" i="3"/>
  <c r="J52" i="3"/>
  <c r="E57" i="5" s="1"/>
  <c r="K52" i="3"/>
  <c r="L52" i="3"/>
  <c r="J53" i="3"/>
  <c r="E58" i="5" s="1"/>
  <c r="K53" i="3"/>
  <c r="L53" i="3"/>
  <c r="J54" i="3"/>
  <c r="E59" i="5" s="1"/>
  <c r="K54" i="3"/>
  <c r="L54" i="3"/>
  <c r="J55" i="3"/>
  <c r="E60" i="5" s="1"/>
  <c r="K55" i="3"/>
  <c r="L55" i="3"/>
  <c r="J56" i="3"/>
  <c r="E61" i="5" s="1"/>
  <c r="K56" i="3"/>
  <c r="L56" i="3"/>
  <c r="J57" i="3"/>
  <c r="E62" i="5" s="1"/>
  <c r="K57" i="3"/>
  <c r="L57" i="3"/>
  <c r="J58" i="3"/>
  <c r="E63" i="5" s="1"/>
  <c r="K58" i="3"/>
  <c r="L58" i="3"/>
  <c r="J59" i="3"/>
  <c r="E64" i="5" s="1"/>
  <c r="K59" i="3"/>
  <c r="L59" i="3"/>
  <c r="J60" i="3"/>
  <c r="E65" i="5" s="1"/>
  <c r="K60" i="3"/>
  <c r="L60" i="3"/>
  <c r="J61" i="3"/>
  <c r="E66" i="5" s="1"/>
  <c r="K61" i="3"/>
  <c r="L61" i="3"/>
  <c r="J62" i="3"/>
  <c r="E67" i="5" s="1"/>
  <c r="K62" i="3"/>
  <c r="L62" i="3"/>
  <c r="J63" i="3"/>
  <c r="E68" i="5" s="1"/>
  <c r="K63" i="3"/>
  <c r="L63" i="3"/>
  <c r="J64" i="3"/>
  <c r="E69" i="5" s="1"/>
  <c r="K64" i="3"/>
  <c r="L64" i="3"/>
  <c r="A4" i="2"/>
  <c r="L8" i="2"/>
  <c r="A4" i="4"/>
  <c r="F4" i="4"/>
  <c r="A5" i="4"/>
  <c r="F5" i="4"/>
  <c r="A6" i="4"/>
  <c r="F6" i="4"/>
  <c r="J10" i="4"/>
  <c r="J11" i="4"/>
  <c r="J12" i="4"/>
  <c r="J17" i="4"/>
  <c r="J18" i="4"/>
  <c r="J19" i="4"/>
  <c r="J24" i="4"/>
  <c r="J25" i="4"/>
  <c r="J26" i="4"/>
  <c r="J31" i="4"/>
  <c r="J32" i="4"/>
  <c r="J33" i="4"/>
  <c r="J38" i="4"/>
  <c r="J39" i="4"/>
  <c r="J40" i="4"/>
  <c r="A4" i="5"/>
  <c r="F4" i="5"/>
  <c r="A5" i="5"/>
  <c r="F5" i="5"/>
  <c r="A6" i="5"/>
  <c r="F6" i="5"/>
  <c r="B10" i="5"/>
  <c r="D10" i="5"/>
  <c r="E10" i="5" s="1"/>
  <c r="G10" i="5"/>
  <c r="H10" i="5"/>
  <c r="B11" i="5"/>
  <c r="D11" i="5"/>
  <c r="E11" i="5" s="1"/>
  <c r="G11" i="5"/>
  <c r="H11" i="5"/>
  <c r="B12" i="5"/>
  <c r="D12" i="5"/>
  <c r="E12" i="5" s="1"/>
  <c r="G12" i="5"/>
  <c r="H12" i="5"/>
  <c r="B13" i="5"/>
  <c r="D13" i="5"/>
  <c r="E13" i="5" s="1"/>
  <c r="G13" i="5"/>
  <c r="H13" i="5"/>
  <c r="B14" i="5"/>
  <c r="D14" i="5"/>
  <c r="E14" i="5" s="1"/>
  <c r="G14" i="5"/>
  <c r="H14" i="5"/>
  <c r="B15" i="5"/>
  <c r="D15" i="5"/>
  <c r="E15" i="5" s="1"/>
  <c r="G15" i="5"/>
  <c r="H15" i="5"/>
  <c r="B16" i="5"/>
  <c r="D16" i="5"/>
  <c r="E16" i="5" s="1"/>
  <c r="F16" i="5"/>
  <c r="G16" i="5"/>
  <c r="H16" i="5"/>
  <c r="B18" i="5"/>
  <c r="D18" i="5"/>
  <c r="E18" i="5" s="1"/>
  <c r="F18" i="5"/>
  <c r="G18" i="5"/>
  <c r="H18" i="5"/>
  <c r="B19" i="5"/>
  <c r="D19" i="5"/>
  <c r="E19" i="5" s="1"/>
  <c r="F19" i="5"/>
  <c r="G19" i="5"/>
  <c r="H19" i="5"/>
  <c r="B22" i="5"/>
  <c r="D22" i="5"/>
  <c r="E22" i="5" s="1"/>
  <c r="F22" i="5"/>
  <c r="G22" i="5"/>
  <c r="H22" i="5"/>
  <c r="B23" i="5"/>
  <c r="D23" i="5"/>
  <c r="E23" i="5" s="1"/>
  <c r="F23" i="5"/>
  <c r="G23" i="5"/>
  <c r="H23" i="5"/>
  <c r="B24" i="5"/>
  <c r="D24" i="5"/>
  <c r="E24" i="5" s="1"/>
  <c r="F24" i="5"/>
  <c r="G24" i="5"/>
  <c r="H24" i="5"/>
  <c r="B25" i="5"/>
  <c r="D25" i="5"/>
  <c r="E25" i="5" s="1"/>
  <c r="F25" i="5"/>
  <c r="G25" i="5"/>
  <c r="H25" i="5"/>
  <c r="B26" i="5"/>
  <c r="D26" i="5"/>
  <c r="E26" i="5" s="1"/>
  <c r="F26" i="5"/>
  <c r="G26" i="5"/>
  <c r="H26" i="5"/>
  <c r="B27" i="5"/>
  <c r="D27" i="5"/>
  <c r="E27" i="5" s="1"/>
  <c r="F27" i="5"/>
  <c r="G27" i="5"/>
  <c r="H27" i="5"/>
  <c r="B28" i="5"/>
  <c r="D28" i="5"/>
  <c r="E28" i="5" s="1"/>
  <c r="F28" i="5"/>
  <c r="G28" i="5"/>
  <c r="H28" i="5"/>
  <c r="B30" i="5"/>
  <c r="D30" i="5"/>
  <c r="E30" i="5" s="1"/>
  <c r="G30" i="5"/>
  <c r="H30" i="5"/>
  <c r="B31" i="5"/>
  <c r="D31" i="5"/>
  <c r="E31" i="5" s="1"/>
  <c r="F31" i="5"/>
  <c r="G31" i="5"/>
  <c r="H31" i="5"/>
  <c r="B32" i="5"/>
  <c r="D32" i="5"/>
  <c r="E32" i="5" s="1"/>
  <c r="G32" i="5"/>
  <c r="H32" i="5"/>
  <c r="B33" i="5"/>
  <c r="D33" i="5"/>
  <c r="E33" i="5" s="1"/>
  <c r="F33" i="5"/>
  <c r="G33" i="5"/>
  <c r="H33" i="5"/>
  <c r="B34" i="5"/>
  <c r="D34" i="5"/>
  <c r="E34" i="5" s="1"/>
  <c r="F34" i="5"/>
  <c r="G34" i="5"/>
  <c r="H34" i="5"/>
  <c r="B35" i="5"/>
  <c r="D35" i="5"/>
  <c r="E35" i="5" s="1"/>
  <c r="F35" i="5"/>
  <c r="G35" i="5"/>
  <c r="H35" i="5"/>
  <c r="B36" i="5"/>
  <c r="D36" i="5"/>
  <c r="E36" i="5" s="1"/>
  <c r="F36" i="5"/>
  <c r="G36" i="5"/>
  <c r="H36" i="5"/>
  <c r="B37" i="5"/>
  <c r="D37" i="5"/>
  <c r="E37" i="5" s="1"/>
  <c r="F37" i="5"/>
  <c r="G37" i="5"/>
  <c r="H37" i="5"/>
  <c r="B42" i="5"/>
  <c r="D42" i="5"/>
  <c r="E42" i="5" s="1"/>
  <c r="F42" i="5"/>
  <c r="G42" i="5"/>
  <c r="H42" i="5"/>
  <c r="B43" i="5"/>
  <c r="D43" i="5"/>
  <c r="E43" i="5" s="1"/>
  <c r="F43" i="5"/>
  <c r="G43" i="5"/>
  <c r="H43" i="5"/>
  <c r="B44" i="5"/>
  <c r="D44" i="5"/>
  <c r="E44" i="5" s="1"/>
  <c r="F44" i="5"/>
  <c r="G44" i="5"/>
  <c r="H44" i="5"/>
  <c r="B47" i="5"/>
  <c r="D47" i="5"/>
  <c r="H47" i="5"/>
  <c r="B48" i="5"/>
  <c r="D48" i="5"/>
  <c r="H48" i="5"/>
  <c r="B49" i="5"/>
  <c r="D49" i="5"/>
  <c r="H49" i="5"/>
  <c r="B50" i="5"/>
  <c r="D50" i="5"/>
  <c r="H50" i="5"/>
  <c r="I50" i="5" s="1"/>
  <c r="J50" i="5" s="1"/>
  <c r="B51" i="5"/>
  <c r="D51" i="5"/>
  <c r="H51" i="5"/>
  <c r="I51" i="5" s="1"/>
  <c r="J51" i="5" s="1"/>
  <c r="B52" i="5"/>
  <c r="D52" i="5"/>
  <c r="H52" i="5"/>
  <c r="I52" i="5" s="1"/>
  <c r="J52" i="5" s="1"/>
  <c r="B53" i="5"/>
  <c r="D53" i="5"/>
  <c r="H53" i="5"/>
  <c r="I53" i="5" s="1"/>
  <c r="J53" i="5" s="1"/>
  <c r="B54" i="5"/>
  <c r="D54" i="5"/>
  <c r="H54" i="5"/>
  <c r="I54" i="5" s="1"/>
  <c r="J54" i="5" s="1"/>
  <c r="B55" i="5"/>
  <c r="D55" i="5"/>
  <c r="H55" i="5"/>
  <c r="I55" i="5" s="1"/>
  <c r="J55" i="5" s="1"/>
  <c r="B56" i="5"/>
  <c r="D56" i="5"/>
  <c r="H56" i="5"/>
  <c r="I56" i="5" s="1"/>
  <c r="J56" i="5" s="1"/>
  <c r="B57" i="5"/>
  <c r="D57" i="5"/>
  <c r="H57" i="5"/>
  <c r="I57" i="5" s="1"/>
  <c r="J57" i="5" s="1"/>
  <c r="B58" i="5"/>
  <c r="D58" i="5"/>
  <c r="H58" i="5"/>
  <c r="I58" i="5" s="1"/>
  <c r="J58" i="5" s="1"/>
  <c r="B59" i="5"/>
  <c r="D59" i="5"/>
  <c r="H59" i="5"/>
  <c r="I59" i="5" s="1"/>
  <c r="J59" i="5" s="1"/>
  <c r="B60" i="5"/>
  <c r="D60" i="5"/>
  <c r="H60" i="5"/>
  <c r="I60" i="5" s="1"/>
  <c r="J60" i="5" s="1"/>
  <c r="B61" i="5"/>
  <c r="D61" i="5"/>
  <c r="H61" i="5"/>
  <c r="I61" i="5" s="1"/>
  <c r="J61" i="5" s="1"/>
  <c r="B62" i="5"/>
  <c r="D62" i="5"/>
  <c r="H62" i="5"/>
  <c r="I62" i="5" s="1"/>
  <c r="J62" i="5" s="1"/>
  <c r="B63" i="5"/>
  <c r="D63" i="5"/>
  <c r="H63" i="5"/>
  <c r="I63" i="5" s="1"/>
  <c r="J63" i="5" s="1"/>
  <c r="B64" i="5"/>
  <c r="D64" i="5"/>
  <c r="H64" i="5"/>
  <c r="I64" i="5" s="1"/>
  <c r="J64" i="5" s="1"/>
  <c r="B65" i="5"/>
  <c r="D65" i="5"/>
  <c r="H65" i="5"/>
  <c r="I65" i="5" s="1"/>
  <c r="J65" i="5" s="1"/>
  <c r="B66" i="5"/>
  <c r="D66" i="5"/>
  <c r="H66" i="5"/>
  <c r="I66" i="5" s="1"/>
  <c r="J66" i="5" s="1"/>
  <c r="B67" i="5"/>
  <c r="D67" i="5"/>
  <c r="H67" i="5"/>
  <c r="I67" i="5" s="1"/>
  <c r="J67" i="5" s="1"/>
  <c r="B68" i="5"/>
  <c r="D68" i="5"/>
  <c r="H68" i="5"/>
  <c r="I68" i="5" s="1"/>
  <c r="J68" i="5" s="1"/>
  <c r="B69" i="5"/>
  <c r="D69" i="5"/>
  <c r="H69" i="5"/>
  <c r="I69" i="5" s="1"/>
  <c r="J69" i="5" s="1"/>
  <c r="F11" i="5"/>
  <c r="J5" i="3"/>
  <c r="K5" i="3" s="1"/>
  <c r="O8" i="6" l="1"/>
  <c r="N8" i="6" s="1"/>
  <c r="O10" i="6"/>
  <c r="N10" i="6" s="1"/>
  <c r="O9" i="6"/>
  <c r="N9" i="6" s="1"/>
  <c r="O4" i="6"/>
  <c r="N29" i="6"/>
  <c r="O6" i="6"/>
  <c r="J8" i="2"/>
  <c r="N8" i="2" s="1"/>
  <c r="K25" i="4" s="1"/>
  <c r="C24" i="4"/>
  <c r="F15" i="5"/>
  <c r="J9" i="3"/>
  <c r="K9" i="3" s="1"/>
  <c r="I15" i="5" s="1"/>
  <c r="H8" i="2"/>
  <c r="I47" i="5"/>
  <c r="I49" i="5"/>
  <c r="I48" i="5"/>
  <c r="K11" i="4"/>
  <c r="K32" i="4"/>
  <c r="K19" i="4"/>
  <c r="I11" i="5"/>
  <c r="K18" i="4"/>
  <c r="K26" i="4"/>
  <c r="K33" i="4"/>
  <c r="K38" i="4"/>
  <c r="K40" i="4"/>
  <c r="K39" i="4"/>
  <c r="O5" i="6" l="1"/>
  <c r="J35" i="3"/>
  <c r="K35" i="3" s="1"/>
  <c r="I41" i="5" s="1"/>
  <c r="F41" i="5"/>
  <c r="F30" i="5"/>
  <c r="J24" i="3"/>
  <c r="K24" i="3" s="1"/>
  <c r="I30" i="5" s="1"/>
  <c r="K12" i="4"/>
  <c r="J6" i="3"/>
  <c r="K6" i="3" s="1"/>
  <c r="F12" i="5"/>
  <c r="K31" i="4"/>
  <c r="K35" i="4" s="1"/>
  <c r="K10" i="4"/>
  <c r="K44" i="3"/>
  <c r="K17" i="4"/>
  <c r="K21" i="4" s="1"/>
  <c r="M8" i="2"/>
  <c r="K43" i="3" s="1"/>
  <c r="C12" i="4"/>
  <c r="G12" i="4" s="1"/>
  <c r="J8" i="3"/>
  <c r="K8" i="3" s="1"/>
  <c r="I14" i="5" s="1"/>
  <c r="J33" i="3"/>
  <c r="K33" i="3" s="1"/>
  <c r="I39" i="5" s="1"/>
  <c r="F14" i="5"/>
  <c r="F39" i="5"/>
  <c r="J26" i="3"/>
  <c r="K26" i="3" s="1"/>
  <c r="I32" i="5" s="1"/>
  <c r="C39" i="4"/>
  <c r="G39" i="4" s="1"/>
  <c r="C10" i="4"/>
  <c r="G10" i="4" s="1"/>
  <c r="C26" i="4"/>
  <c r="G26" i="4" s="1"/>
  <c r="C38" i="4"/>
  <c r="G38" i="4" s="1"/>
  <c r="C33" i="4"/>
  <c r="G33" i="4" s="1"/>
  <c r="C19" i="4"/>
  <c r="G19" i="4" s="1"/>
  <c r="C25" i="4"/>
  <c r="G25" i="4" s="1"/>
  <c r="C17" i="4"/>
  <c r="G17" i="4" s="1"/>
  <c r="C40" i="4"/>
  <c r="G40" i="4" s="1"/>
  <c r="C32" i="4"/>
  <c r="G32" i="4" s="1"/>
  <c r="C18" i="4"/>
  <c r="G18" i="4" s="1"/>
  <c r="C11" i="4"/>
  <c r="G11" i="4" s="1"/>
  <c r="C31" i="4"/>
  <c r="F32" i="5"/>
  <c r="F13" i="5"/>
  <c r="J7" i="3"/>
  <c r="K7" i="3" s="1"/>
  <c r="I13" i="5" s="1"/>
  <c r="K24" i="4"/>
  <c r="K28" i="4" s="1"/>
  <c r="N4" i="2"/>
  <c r="Q4" i="1" s="1"/>
  <c r="L14" i="5" s="1"/>
  <c r="J4" i="3"/>
  <c r="K4" i="3" s="1"/>
  <c r="F10" i="5"/>
  <c r="K42" i="4"/>
  <c r="G24" i="4"/>
  <c r="I12" i="5" l="1"/>
  <c r="N6" i="2"/>
  <c r="Q6" i="1" s="1"/>
  <c r="L11" i="5" s="1"/>
  <c r="J26" i="5" s="1"/>
  <c r="K14" i="4"/>
  <c r="I10" i="5"/>
  <c r="C35" i="4"/>
  <c r="G14" i="4"/>
  <c r="G42" i="4"/>
  <c r="G21" i="4"/>
  <c r="C28" i="4"/>
  <c r="C21" i="4"/>
  <c r="G46" i="4"/>
  <c r="G28" i="4"/>
  <c r="G47" i="4"/>
  <c r="G31" i="4"/>
  <c r="G35" i="4" s="1"/>
  <c r="C14" i="4"/>
  <c r="C42" i="4"/>
  <c r="N5" i="2"/>
  <c r="Q5" i="1" s="1"/>
  <c r="J37" i="5" l="1"/>
  <c r="J36" i="5"/>
  <c r="J43" i="5"/>
  <c r="J35" i="5"/>
  <c r="J38" i="5"/>
  <c r="J40" i="5"/>
  <c r="J15" i="5"/>
  <c r="L28" i="4"/>
  <c r="J31" i="5"/>
  <c r="L35" i="4"/>
  <c r="J23" i="5"/>
  <c r="J29" i="5"/>
  <c r="J44" i="5"/>
  <c r="J20" i="5"/>
  <c r="J49" i="5"/>
  <c r="J16" i="5"/>
  <c r="J11" i="5"/>
  <c r="J13" i="5"/>
  <c r="J48" i="5"/>
  <c r="J33" i="5"/>
  <c r="J34" i="5"/>
  <c r="J17" i="5"/>
  <c r="J30" i="5"/>
  <c r="J18" i="5"/>
  <c r="J47" i="5"/>
  <c r="J24" i="5"/>
  <c r="J14" i="5"/>
  <c r="J42" i="5"/>
  <c r="J21" i="5"/>
  <c r="J28" i="5"/>
  <c r="J10" i="5"/>
  <c r="L42" i="4"/>
  <c r="L21" i="4"/>
  <c r="L14" i="4"/>
  <c r="J27" i="5"/>
  <c r="J25" i="5"/>
  <c r="J41" i="5"/>
  <c r="J32" i="5"/>
  <c r="J22" i="5"/>
  <c r="J19" i="5"/>
  <c r="J39" i="5"/>
  <c r="J12" i="5"/>
  <c r="G45" i="4"/>
  <c r="H14" i="4" s="1"/>
  <c r="H28" i="4" l="1"/>
  <c r="H42" i="4"/>
  <c r="H21" i="4"/>
  <c r="H3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4" authorId="0" shapeId="0" xr:uid="{2E67284C-ADBD-4039-8341-F6A62D0F8528}">
      <text>
        <r>
          <rPr>
            <b/>
            <sz val="8.5"/>
            <color indexed="63"/>
            <rFont val="Times New Roman"/>
            <family val="1"/>
          </rPr>
          <t xml:space="preserve">Ponto de Função IFPUG: </t>
        </r>
        <r>
          <rPr>
            <sz val="8.5"/>
            <color indexed="63"/>
            <rFont val="Times New Roman"/>
            <family val="1"/>
          </rPr>
          <t>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 xr:uid="{0EFB8BC6-4DC1-46A7-9A60-F3D3208DC88B}">
      <text>
        <r>
          <rPr>
            <b/>
            <sz val="8.5"/>
            <color indexed="63"/>
            <rFont val="Times New Roman"/>
            <family val="1"/>
          </rPr>
          <t xml:space="preserve">Ponto de Função Local do EM: </t>
        </r>
        <r>
          <rPr>
            <sz val="8.5"/>
            <color indexed="63"/>
            <rFont val="Times New Roman"/>
            <family val="1"/>
          </rPr>
          <t>medição para remuneração do Escritório de Métricas.Equivalente à medição IFPUG. Porém, considera os itens não mensuráveis previstos em contrato.</t>
        </r>
      </text>
    </comment>
    <comment ref="Q6" authorId="0" shapeId="0" xr:uid="{646CF0A2-7699-476D-A3AE-4750EB6BEE87}">
      <text>
        <r>
          <rPr>
            <b/>
            <sz val="8.5"/>
            <rFont val="Times New Roman"/>
            <family val="1"/>
          </rPr>
          <t xml:space="preserve">Ponto de Função Local da FS: </t>
        </r>
        <r>
          <rPr>
            <sz val="8.5"/>
            <color indexed="81"/>
            <rFont val="Times New Roman"/>
            <family val="1"/>
          </rPr>
          <t>medição para remuneração da Fábrica de Software. Equivalente à medição IFPUG. Porém, considera os deflatores e os itens não mensuráveis previstos em contrato.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Kleber Batista Soares de Oliveira</author>
  </authors>
  <commentList>
    <comment ref="M4" authorId="0" shapeId="0" xr:uid="{81ECD484-AC63-4CE8-ACED-6647331DAA55}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M5" authorId="0" shapeId="0" xr:uid="{C4BB29CD-F377-4BED-ADF2-216E53B53371}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M6" authorId="0" shapeId="0" xr:uid="{F965BA8F-C9A1-4AD9-8291-7E0E99410579}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 xr:uid="{FABEF9AF-0265-45E4-AA23-EC2E50657906}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B7" authorId="0" shapeId="0" xr:uid="{FFFA5759-341A-46E3-A3EC-261D1C3DEC07}">
      <text>
        <r>
          <rPr>
            <b/>
            <sz val="8"/>
            <color indexed="8"/>
            <rFont val="Tahoma"/>
            <family val="2"/>
          </rPr>
          <t xml:space="preserve">Tipo de Função: 
</t>
        </r>
        <r>
          <rPr>
            <sz val="8"/>
            <color indexed="8"/>
            <rFont val="Tahoma"/>
            <family val="2"/>
          </rPr>
          <t>ALI, AIE, EE, SE, CE
ou
Itens não mensuráveis</t>
        </r>
      </text>
    </comment>
    <comment ref="C7" authorId="0" shapeId="0" xr:uid="{15166985-61BC-48C8-89A1-8E667228EE11}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D7" authorId="0" shapeId="0" xr:uid="{A5B3E5C9-78E9-4563-AF8F-E229864D052D}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E7" authorId="0" shapeId="0" xr:uid="{E36A16B2-AFEC-4C2C-AE57-C4643DC5B6F4}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F7" authorId="0" shapeId="0" xr:uid="{8DFD0023-9766-4EC0-A406-5679670E031C}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G7" authorId="0" shapeId="0" xr:uid="{BEDDBB03-3FD0-404D-9CB7-1F41CA6B82E0}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H7" authorId="0" shapeId="0" xr:uid="{619DFE15-D8D8-437A-83C8-9040C115DBA3}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O7" authorId="0" shapeId="0" xr:uid="{0E2420D7-B9E4-4329-BBBC-E04F090A19E9}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  <comment ref="P7" authorId="0" shapeId="0" xr:uid="{FC77B629-722C-4A98-A03F-84B7757A9964}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  <comment ref="U7" authorId="1" shapeId="0" xr:uid="{427D3890-124E-4C74-ABC9-7FFD1E025FB2}">
      <text>
        <r>
          <rPr>
            <b/>
            <sz val="9"/>
            <color indexed="81"/>
            <rFont val="Segoe UI"/>
            <family val="2"/>
          </rPr>
          <t>Especialista de métricas de psoftware</t>
        </r>
        <r>
          <rPr>
            <sz val="9"/>
            <color indexed="81"/>
            <rFont val="Segoe UI"/>
            <family val="2"/>
          </rPr>
          <t xml:space="preserve"> e motivo em conformidade com a validação da contagem realizada.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4" authorId="0" shapeId="0" xr:uid="{C67DA4DA-4557-4ACB-BD84-47EB0CD4A42C}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N5" authorId="0" shapeId="0" xr:uid="{1EDDD545-21E5-4877-AAF7-4976680139E2}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N6" authorId="0" shapeId="0" xr:uid="{04D89A90-CD49-4876-914A-6C6EF6797F45}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 xr:uid="{E1345678-1682-45E4-9788-769749DAF117}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P7" authorId="0" shapeId="0" xr:uid="{6C247F14-93C3-4D93-A136-BE44BF99B0D3}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6" authorId="0" shapeId="0" xr:uid="{63216CAB-BBA4-4E71-A5C6-B56A8DADDEAE}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
</t>
        </r>
      </text>
    </comment>
    <comment ref="B47" authorId="0" shapeId="0" xr:uid="{C4D650B5-D26F-470B-B89B-5DDB40F3D555}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É baseada apenas nos arquivos lógicos. Assume que cada ALI tem um peso de 35 PF e cada AIE um peso de 15 PF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77C57F86-86C0-4186-A9E6-03007C767344}">
      <text>
        <r>
          <rPr>
            <b/>
            <sz val="8"/>
            <color indexed="8"/>
            <rFont val="Tahoma"/>
            <family val="2"/>
          </rPr>
          <t xml:space="preserve">Contribuição fixa em PF independentemente do tipo da funcionalidade
</t>
        </r>
      </text>
    </comment>
    <comment ref="H46" authorId="0" shapeId="0" xr:uid="{3400FD90-B26C-404B-9FD0-6EEF1F4F4FB2}">
      <text>
        <r>
          <rPr>
            <b/>
            <sz val="8"/>
            <color indexed="8"/>
            <rFont val="Tahoma"/>
            <family val="2"/>
          </rPr>
          <t xml:space="preserve">Contribuição fixa em PF para o item não funcional
</t>
        </r>
      </text>
    </comment>
  </commentList>
</comments>
</file>

<file path=xl/sharedStrings.xml><?xml version="1.0" encoding="utf-8"?>
<sst xmlns="http://schemas.openxmlformats.org/spreadsheetml/2006/main" count="302" uniqueCount="190">
  <si>
    <t>Identificação da Contagem</t>
  </si>
  <si>
    <t>Empresa</t>
  </si>
  <si>
    <t>BASIS</t>
  </si>
  <si>
    <t>PF IFPUG</t>
  </si>
  <si>
    <t>Aplicação</t>
  </si>
  <si>
    <t xml:space="preserve">PFBruto </t>
  </si>
  <si>
    <t>Tipo de Contagem</t>
  </si>
  <si>
    <t>PF Deflator FS</t>
  </si>
  <si>
    <t>Nível de Detalhe</t>
  </si>
  <si>
    <t>Tecnologia</t>
  </si>
  <si>
    <t>Projeto</t>
  </si>
  <si>
    <t>Versão do Guia</t>
  </si>
  <si>
    <t>Responsável</t>
  </si>
  <si>
    <t>Criação</t>
  </si>
  <si>
    <t>Revisor</t>
  </si>
  <si>
    <t>Revisão</t>
  </si>
  <si>
    <t>Propósito da Contagem</t>
  </si>
  <si>
    <t>Escopo da Contagem</t>
  </si>
  <si>
    <t>Documentação Utilizada na Análise</t>
  </si>
  <si>
    <t>RELATÓRIO DE DESENVOLVIMENTO</t>
  </si>
  <si>
    <t>Versão 2.0</t>
  </si>
  <si>
    <t>Data da Revisão (FM):</t>
  </si>
  <si>
    <t>PF Bruto</t>
  </si>
  <si>
    <t>Versão do parecer Técnico:</t>
  </si>
  <si>
    <t>2.0</t>
  </si>
  <si>
    <t>Item</t>
  </si>
  <si>
    <t>Manutenção</t>
  </si>
  <si>
    <t>DER</t>
  </si>
  <si>
    <t>Descrição DER</t>
  </si>
  <si>
    <t>RLR/ALR</t>
  </si>
  <si>
    <t>Descrição RLR/ ALR</t>
  </si>
  <si>
    <t>Complex.</t>
  </si>
  <si>
    <t>ctl</t>
  </si>
  <si>
    <t>C</t>
  </si>
  <si>
    <t>ctl2</t>
  </si>
  <si>
    <t>Iteração</t>
  </si>
  <si>
    <t>Referência do Produto</t>
  </si>
  <si>
    <t>Referência do Projeto</t>
  </si>
  <si>
    <t>Processo SEI</t>
  </si>
  <si>
    <t>Medição de Referência</t>
  </si>
  <si>
    <t>Validação da contagem</t>
  </si>
  <si>
    <t>Justificativa  FM</t>
  </si>
  <si>
    <t>3.0</t>
  </si>
  <si>
    <t>Processo Elementar</t>
  </si>
  <si>
    <t>Tipo da Contagem</t>
  </si>
  <si>
    <t>Parecer Técnico Fábrica de Métricas (FM)</t>
  </si>
  <si>
    <t>Defesa Fábrica de Software (FSW)</t>
  </si>
  <si>
    <t>Parecer Técnico (RESPOSTA) Fábrica de Métricas (FM)</t>
  </si>
  <si>
    <t>Parecer Técnico (FINAL) Fábrica de Métricas (FM)</t>
  </si>
  <si>
    <t>Parecer Final (FM)</t>
  </si>
  <si>
    <t>Itens Não Mensuráveis</t>
  </si>
  <si>
    <t>Tipo de Manutenção na Função</t>
  </si>
  <si>
    <t>Sigla</t>
  </si>
  <si>
    <t>Contribuição em PF Local</t>
  </si>
  <si>
    <t>Contrato</t>
  </si>
  <si>
    <t>Descrição</t>
  </si>
  <si>
    <t>Origem</t>
  </si>
  <si>
    <t>Percentual (%)</t>
  </si>
  <si>
    <t>Fixa (PF)</t>
  </si>
  <si>
    <t>Adicionada</t>
  </si>
  <si>
    <t>Inclusão</t>
  </si>
  <si>
    <t>I</t>
  </si>
  <si>
    <t>Alterada</t>
  </si>
  <si>
    <t>Alteração (sem conhecimento do Fator de Impacto)</t>
  </si>
  <si>
    <t>SISP – 4.2 Projeto de Melhoria</t>
  </si>
  <si>
    <t>A</t>
  </si>
  <si>
    <t>Excluída</t>
  </si>
  <si>
    <t>Exclusão</t>
  </si>
  <si>
    <t>E</t>
  </si>
  <si>
    <t>Alteração (50%) de função desenvolvida ou já alterada pela empresa atual</t>
  </si>
  <si>
    <t>A50</t>
  </si>
  <si>
    <t>Alteração (75%) de função não desenv. e ainda não alterada pela empresa atual</t>
  </si>
  <si>
    <t>A75</t>
  </si>
  <si>
    <t>Alteração (75%+15%): o mesmo acima + redocumentar a função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</si>
  <si>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</si>
  <si>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</si>
  <si>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</si>
  <si>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</si>
  <si>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</si>
  <si>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</si>
  <si>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</si>
  <si>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Corretiva (50%) - Fora da garantia (mesma empresa)</t>
  </si>
  <si>
    <t>COR50</t>
  </si>
  <si>
    <t>Corretiva (75%) - Fora da garantia (outra empresa)</t>
  </si>
  <si>
    <t>COR75</t>
  </si>
  <si>
    <t>Corretiva (75%+15%) - Fora da garantia (outra empresa) + Redocumentação</t>
  </si>
  <si>
    <t>COR90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</si>
  <si>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</si>
  <si>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</si>
  <si>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</si>
  <si>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</si>
  <si>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</si>
  <si>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Mudança de Plataforma - Banco de Dados (outro paradigma)</t>
  </si>
  <si>
    <t>SISP – 4.5.2 Mudança de Plataforma – Banco de Dados</t>
  </si>
  <si>
    <t>MBO</t>
  </si>
  <si>
    <t>Mudança de Plataforma - Banco de Dados (mesmo paradigma com alterações)</t>
  </si>
  <si>
    <t>MBM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</si>
  <si>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</si>
  <si>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</si>
  <si>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</si>
  <si>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</si>
  <si>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</si>
  <si>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</si>
  <si>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</si>
  <si>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</si>
  <si>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</si>
  <si>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</si>
  <si>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</si>
  <si>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</si>
  <si>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Adaptação em Funcionalidades sem Alteração de Requisitos Funcionais
(sem conhecimento do Fator de Impacto)</t>
  </si>
  <si>
    <t>SISP – 4.8 Adaptação em Funcionalidades sem Alteração de Requisitos Funcionais</t>
  </si>
  <si>
    <t>ARN</t>
  </si>
  <si>
    <t>Adaptação em Funcionalidades sem Alteração de Requisitos Funcionais (50%)
(em função desenvolvida ou já alterada pela empresa atual)</t>
  </si>
  <si>
    <t>ARN50</t>
  </si>
  <si>
    <t>Adaptação em Funcionalidades sem Alteração de Requisitos Funcionais (75%)
(em função não desenvolvida e ainda não alterada pela empresa atual)</t>
  </si>
  <si>
    <t>ARN75</t>
  </si>
  <si>
    <t>Atualização de Dados sem Consulta Prévia</t>
  </si>
  <si>
    <t>SISP – 4.9.1 Apuração Especial – Base de Dados</t>
  </si>
  <si>
    <t>ADS</t>
  </si>
  <si>
    <t>Consulta Prévia sem Atualização</t>
  </si>
  <si>
    <t>CPA</t>
  </si>
  <si>
    <t>Atualização de Dados com Consulta Prévia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</si>
  <si>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</si>
  <si>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</si>
  <si>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</si>
  <si>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</si>
  <si>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</si>
  <si>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</si>
  <si>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</si>
  <si>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</si>
  <si>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</si>
  <si>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</si>
  <si>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Manutenção de Documentação de Sistemas Legados</t>
  </si>
  <si>
    <t>SISP – 4.12 Manutenção de Documentação de Sistemas Legados</t>
  </si>
  <si>
    <t>MSL</t>
  </si>
  <si>
    <t>Verificação de Erros (Sem Documentação de Teste existente)</t>
  </si>
  <si>
    <t>SISP – 4.13 Verificação de Erros</t>
  </si>
  <si>
    <t>VES</t>
  </si>
  <si>
    <t>Verificação de Erros (Com Documentação de Teste existente)</t>
  </si>
  <si>
    <t>VEC</t>
  </si>
  <si>
    <t>Pontos de Função de Teste</t>
  </si>
  <si>
    <t>SISP – 4.14 Pontos de Função de Teste</t>
  </si>
  <si>
    <t>PFT</t>
  </si>
  <si>
    <t>Componente Interno Reusável</t>
  </si>
  <si>
    <t>SISP – 4.15 Componente Interno Reusável</t>
  </si>
  <si>
    <t>CIR</t>
  </si>
  <si>
    <t xml:space="preserve">           .</t>
  </si>
  <si>
    <t>ALI</t>
  </si>
  <si>
    <t>AIE</t>
  </si>
  <si>
    <t>EE</t>
  </si>
  <si>
    <t>Quantidade</t>
  </si>
  <si>
    <t>PF Local FS</t>
  </si>
  <si>
    <t>CE</t>
  </si>
  <si>
    <t>SE</t>
  </si>
  <si>
    <t>Páginas Estáticas</t>
  </si>
  <si>
    <t>SISP – 4.11 Desenvolvimento, Manutenção e Publicação de Paginas Estáticas de Intranet, Internet ou Portal</t>
  </si>
  <si>
    <t>PAG</t>
  </si>
  <si>
    <t>Manutenção Cosmética (atrelada a algo não funcional)</t>
  </si>
  <si>
    <t>COSNF</t>
  </si>
  <si>
    <t>Dados de Código</t>
  </si>
  <si>
    <t>DC</t>
  </si>
  <si>
    <t>Sumário da Contagem</t>
  </si>
  <si>
    <t>Tipo de Função</t>
  </si>
  <si>
    <t>Complexidade Funcional</t>
  </si>
  <si>
    <t>Total PF IFPUG por Complexidade</t>
  </si>
  <si>
    <t>%</t>
  </si>
  <si>
    <t>Total PF Deflator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</si>
  <si>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</si>
  <si>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</si>
  <si>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</si>
  <si>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</si>
  <si>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</si>
  <si>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</si>
  <si>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</si>
  <si>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</si>
  <si>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</si>
  <si>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</si>
  <si>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</si>
  <si>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</si>
  <si>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</si>
  <si>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</si>
  <si>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</si>
  <si>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</si>
  <si>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</si>
  <si>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</si>
  <si>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</si>
  <si>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</si>
  <si>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</si>
  <si>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</si>
  <si>
    <t>Mensurar produtividade do time no projeto [SISTEMA] no mês de MÊS/ANO para SQX - SPT0X (Processo SEI: XXXXX.XXXXX/XXXX-XX)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</si>
</sst>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27" x14ac:knownFonts="1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10"/>
      <name val="Franklin Gothic Medium"/>
      <family val="2"/>
    </font>
    <font>
      <b/>
      <sz val="8.5"/>
      <color indexed="63"/>
      <name val="Times New Roman"/>
      <family val="1"/>
    </font>
    <font>
      <sz val="8.5"/>
      <color indexed="63"/>
      <name val="Times New Roman"/>
      <family val="1"/>
    </font>
    <font>
      <b/>
      <sz val="8.5"/>
      <name val="Times New Roman"/>
      <family val="1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b/>
      <sz val="9"/>
      <name val="Franklin Gothic Medium"/>
      <family val="2"/>
    </font>
    <font>
      <sz val="10"/>
      <name val="Arial"/>
      <family val="2"/>
    </font>
    <font>
      <sz val="8.5"/>
      <color indexed="81"/>
      <name val="Times New Roman"/>
      <family val="1"/>
    </font>
    <font>
      <sz val="9"/>
      <color theme="0"/>
      <name val="Franklin Gothic Medium"/>
      <family val="2"/>
    </font>
    <font>
      <sz val="8"/>
      <color theme="0"/>
      <name val="Franklin Gothic Medium"/>
      <family val="2"/>
    </font>
    <font>
      <sz val="8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8"/>
      <color rgb="FFFF0000"/>
      <name val="Franklin Gothic Medium"/>
      <family val="2"/>
    </font>
    <font>
      <sz val="10"/>
      <name val="Arial"/>
      <family val="2"/>
      <charset val="1"/>
    </font>
    <font>
      <b/>
      <sz val="10"/>
      <color rgb="FFFF0000"/>
      <name val="Arial"/>
      <family val="2"/>
    </font>
    <font>
      <b/>
      <sz val="8"/>
      <name val="Franklin Gothic Medium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FFFF"/>
      </patternFill>
    </fill>
    <fill>
      <patternFill patternType="solid">
        <fgColor rgb="FFF2F2F2"/>
        <bgColor rgb="FFFFFFFF"/>
      </patternFill>
    </fill>
  </fills>
  <borders count="67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8"/>
      </left>
      <right/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9" fontId="15" fillId="0" borderId="0" applyBorder="0" applyAlignment="0" applyProtection="0"/>
    <xf numFmtId="0" fontId="1" fillId="0" borderId="1" applyAlignment="0" applyProtection="0"/>
    <xf numFmtId="164" fontId="15" fillId="0" borderId="0" applyBorder="0" applyAlignment="0" applyProtection="0"/>
  </cellStyleXfs>
  <cellXfs count="244">
    <xf numFmtId="0" fontId="0" fillId="0" borderId="0" xfId="0"/>
    <xf numFmtId="0" fontId="2" fillId="0" borderId="0" xfId="0" applyFont="1"/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4" fontId="10" fillId="2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4" fontId="10" fillId="2" borderId="8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/>
    </xf>
    <xf numFmtId="0" fontId="13" fillId="2" borderId="3" xfId="0" applyFont="1" applyFill="1" applyBorder="1" applyAlignment="1">
      <alignment horizontal="left" vertical="center"/>
    </xf>
    <xf numFmtId="3" fontId="5" fillId="2" borderId="2" xfId="3" applyNumberFormat="1" applyFont="1" applyFill="1" applyBorder="1" applyAlignment="1" applyProtection="1">
      <alignment horizontal="center"/>
    </xf>
    <xf numFmtId="0" fontId="13" fillId="2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3" fontId="5" fillId="2" borderId="12" xfId="3" applyNumberFormat="1" applyFont="1" applyFill="1" applyBorder="1" applyAlignment="1" applyProtection="1">
      <alignment horizontal="center"/>
    </xf>
    <xf numFmtId="4" fontId="5" fillId="2" borderId="13" xfId="3" applyNumberFormat="1" applyFont="1" applyFill="1" applyBorder="1" applyAlignment="1" applyProtection="1">
      <alignment horizontal="center"/>
    </xf>
    <xf numFmtId="167" fontId="5" fillId="0" borderId="0" xfId="1" applyNumberFormat="1" applyFont="1" applyBorder="1" applyAlignment="1" applyProtection="1"/>
    <xf numFmtId="167" fontId="5" fillId="0" borderId="14" xfId="1" applyNumberFormat="1" applyFont="1" applyBorder="1" applyAlignment="1" applyProtection="1"/>
    <xf numFmtId="0" fontId="5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 applyProtection="1">
      <alignment horizontal="center"/>
    </xf>
    <xf numFmtId="2" fontId="5" fillId="0" borderId="2" xfId="1" applyNumberFormat="1" applyFont="1" applyBorder="1" applyAlignment="1" applyProtection="1">
      <alignment horizontal="center"/>
    </xf>
    <xf numFmtId="2" fontId="14" fillId="3" borderId="2" xfId="1" applyNumberFormat="1" applyFont="1" applyFill="1" applyBorder="1" applyAlignment="1" applyProtection="1">
      <alignment horizontal="center"/>
    </xf>
    <xf numFmtId="0" fontId="0" fillId="0" borderId="16" xfId="0" applyBorder="1"/>
    <xf numFmtId="0" fontId="5" fillId="0" borderId="2" xfId="0" applyFont="1" applyBorder="1" applyAlignment="1">
      <alignment horizontal="center"/>
    </xf>
    <xf numFmtId="0" fontId="0" fillId="0" borderId="17" xfId="0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14" fillId="0" borderId="21" xfId="0" applyFont="1" applyBorder="1" applyAlignment="1">
      <alignment horizontal="center"/>
    </xf>
    <xf numFmtId="0" fontId="5" fillId="0" borderId="0" xfId="0" applyFont="1"/>
    <xf numFmtId="0" fontId="5" fillId="0" borderId="1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6" xfId="0" applyFont="1" applyBorder="1"/>
    <xf numFmtId="2" fontId="5" fillId="0" borderId="16" xfId="0" applyNumberFormat="1" applyFont="1" applyBorder="1" applyAlignment="1">
      <alignment vertical="center"/>
    </xf>
    <xf numFmtId="0" fontId="5" fillId="0" borderId="14" xfId="0" applyFont="1" applyBorder="1"/>
    <xf numFmtId="0" fontId="5" fillId="0" borderId="21" xfId="0" applyFont="1" applyBorder="1"/>
    <xf numFmtId="10" fontId="5" fillId="0" borderId="14" xfId="0" applyNumberFormat="1" applyFont="1" applyBorder="1"/>
    <xf numFmtId="2" fontId="5" fillId="0" borderId="0" xfId="0" applyNumberFormat="1" applyFont="1"/>
    <xf numFmtId="0" fontId="14" fillId="0" borderId="0" xfId="0" applyFont="1"/>
    <xf numFmtId="0" fontId="5" fillId="0" borderId="22" xfId="0" applyFont="1" applyBorder="1"/>
    <xf numFmtId="0" fontId="5" fillId="0" borderId="23" xfId="0" applyFont="1" applyBorder="1"/>
    <xf numFmtId="2" fontId="5" fillId="0" borderId="16" xfId="0" applyNumberFormat="1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17" fillId="4" borderId="19" xfId="0" applyFont="1" applyFill="1" applyBorder="1" applyAlignment="1">
      <alignment horizontal="left" vertical="center" wrapText="1"/>
    </xf>
    <xf numFmtId="0" fontId="17" fillId="4" borderId="16" xfId="0" applyFont="1" applyFill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164" fontId="5" fillId="0" borderId="0" xfId="3" applyFont="1" applyBorder="1" applyAlignment="1" applyProtection="1">
      <alignment horizontal="right"/>
    </xf>
    <xf numFmtId="2" fontId="5" fillId="0" borderId="0" xfId="0" applyNumberFormat="1" applyFont="1" applyAlignment="1">
      <alignment horizontal="center"/>
    </xf>
    <xf numFmtId="2" fontId="5" fillId="0" borderId="14" xfId="0" applyNumberFormat="1" applyFont="1" applyBorder="1"/>
    <xf numFmtId="0" fontId="0" fillId="0" borderId="21" xfId="0" applyBorder="1"/>
    <xf numFmtId="0" fontId="0" fillId="0" borderId="14" xfId="0" applyBorder="1"/>
    <xf numFmtId="0" fontId="0" fillId="0" borderId="24" xfId="0" applyBorder="1"/>
    <xf numFmtId="0" fontId="4" fillId="0" borderId="25" xfId="0" applyFont="1" applyBorder="1" applyAlignment="1">
      <alignment horizontal="center" vertical="center"/>
    </xf>
    <xf numFmtId="0" fontId="0" fillId="0" borderId="25" xfId="0" applyBorder="1"/>
    <xf numFmtId="0" fontId="4" fillId="0" borderId="25" xfId="0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2" fontId="5" fillId="0" borderId="25" xfId="0" applyNumberFormat="1" applyFont="1" applyBorder="1" applyAlignment="1">
      <alignment horizontal="center"/>
    </xf>
    <xf numFmtId="2" fontId="5" fillId="0" borderId="25" xfId="1" applyNumberFormat="1" applyFont="1" applyBorder="1" applyAlignment="1" applyProtection="1">
      <alignment horizontal="center"/>
    </xf>
    <xf numFmtId="10" fontId="5" fillId="0" borderId="25" xfId="1" applyNumberFormat="1" applyFont="1" applyBorder="1" applyAlignment="1" applyProtection="1"/>
    <xf numFmtId="0" fontId="0" fillId="0" borderId="26" xfId="0" applyBorder="1"/>
    <xf numFmtId="10" fontId="0" fillId="0" borderId="0" xfId="0" applyNumberFormat="1"/>
    <xf numFmtId="2" fontId="5" fillId="0" borderId="0" xfId="1" applyNumberFormat="1" applyFont="1" applyBorder="1" applyAlignment="1" applyProtection="1"/>
    <xf numFmtId="0" fontId="5" fillId="0" borderId="0" xfId="0" applyFont="1" applyAlignment="1">
      <alignment horizontal="center" vertical="center"/>
    </xf>
    <xf numFmtId="2" fontId="5" fillId="0" borderId="0" xfId="1" applyNumberFormat="1" applyFont="1" applyBorder="1" applyAlignment="1" applyProtection="1">
      <alignment horizontal="center"/>
    </xf>
    <xf numFmtId="10" fontId="5" fillId="0" borderId="0" xfId="1" applyNumberFormat="1" applyFont="1" applyBorder="1" applyAlignment="1" applyProtection="1"/>
    <xf numFmtId="167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3" applyNumberFormat="1" applyFont="1" applyFill="1" applyBorder="1" applyAlignment="1" applyProtection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 applyProtection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0" fontId="5" fillId="2" borderId="27" xfId="0" applyFont="1" applyFill="1" applyBorder="1" applyAlignment="1">
      <alignment vertical="center"/>
    </xf>
    <xf numFmtId="166" fontId="5" fillId="2" borderId="27" xfId="0" applyNumberFormat="1" applyFont="1" applyFill="1" applyBorder="1" applyAlignment="1">
      <alignment vertical="center"/>
    </xf>
    <xf numFmtId="2" fontId="5" fillId="2" borderId="27" xfId="0" applyNumberFormat="1" applyFont="1" applyFill="1" applyBorder="1" applyAlignment="1">
      <alignment vertical="center"/>
    </xf>
    <xf numFmtId="2" fontId="5" fillId="2" borderId="28" xfId="0" applyNumberFormat="1" applyFont="1" applyFill="1" applyBorder="1" applyAlignment="1">
      <alignment vertical="center"/>
    </xf>
    <xf numFmtId="0" fontId="4" fillId="0" borderId="27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17" fontId="10" fillId="0" borderId="5" xfId="0" applyNumberFormat="1" applyFont="1" applyBorder="1" applyAlignment="1">
      <alignment horizontal="left" vertical="center" wrapText="1"/>
    </xf>
    <xf numFmtId="0" fontId="10" fillId="0" borderId="42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center" vertical="center"/>
    </xf>
    <xf numFmtId="0" fontId="18" fillId="4" borderId="42" xfId="0" applyFont="1" applyFill="1" applyBorder="1" applyAlignment="1">
      <alignment horizontal="center" vertical="center" wrapText="1"/>
    </xf>
    <xf numFmtId="0" fontId="18" fillId="4" borderId="42" xfId="0" applyFont="1" applyFill="1" applyBorder="1" applyAlignment="1">
      <alignment horizontal="left" vertical="center"/>
    </xf>
    <xf numFmtId="0" fontId="18" fillId="4" borderId="42" xfId="0" applyFont="1" applyFill="1" applyBorder="1" applyAlignment="1">
      <alignment horizontal="center"/>
    </xf>
    <xf numFmtId="0" fontId="10" fillId="5" borderId="42" xfId="0" applyFont="1" applyFill="1" applyBorder="1" applyAlignment="1">
      <alignment horizontal="center" vertical="center" wrapText="1"/>
    </xf>
    <xf numFmtId="14" fontId="5" fillId="2" borderId="17" xfId="0" applyNumberFormat="1" applyFont="1" applyFill="1" applyBorder="1" applyAlignment="1">
      <alignment horizontal="right" vertical="center"/>
    </xf>
    <xf numFmtId="2" fontId="5" fillId="2" borderId="17" xfId="0" applyNumberFormat="1" applyFont="1" applyFill="1" applyBorder="1" applyAlignment="1">
      <alignment horizontal="right" vertical="center"/>
    </xf>
    <xf numFmtId="0" fontId="22" fillId="5" borderId="42" xfId="0" applyFont="1" applyFill="1" applyBorder="1" applyAlignment="1">
      <alignment horizontal="center" vertical="center" wrapText="1"/>
    </xf>
    <xf numFmtId="0" fontId="10" fillId="0" borderId="42" xfId="0" applyFont="1" applyBorder="1" applyAlignment="1">
      <alignment horizontal="left" vertical="center" wrapText="1"/>
    </xf>
    <xf numFmtId="0" fontId="23" fillId="6" borderId="42" xfId="0" applyFont="1" applyFill="1" applyBorder="1" applyAlignment="1" applyProtection="1">
      <alignment horizontal="center" vertical="center" wrapText="1"/>
      <protection locked="0"/>
    </xf>
    <xf numFmtId="0" fontId="14" fillId="2" borderId="17" xfId="0" applyFont="1" applyFill="1" applyBorder="1" applyAlignment="1">
      <alignment vertical="center"/>
    </xf>
    <xf numFmtId="2" fontId="14" fillId="2" borderId="44" xfId="0" applyNumberFormat="1" applyFont="1" applyFill="1" applyBorder="1" applyAlignment="1">
      <alignment vertical="center"/>
    </xf>
    <xf numFmtId="2" fontId="5" fillId="2" borderId="17" xfId="0" applyNumberFormat="1" applyFont="1" applyFill="1" applyBorder="1" applyAlignment="1">
      <alignment vertical="center"/>
    </xf>
    <xf numFmtId="0" fontId="5" fillId="2" borderId="46" xfId="0" applyFont="1" applyFill="1" applyBorder="1" applyAlignment="1">
      <alignment vertical="center"/>
    </xf>
    <xf numFmtId="0" fontId="23" fillId="6" borderId="42" xfId="0" applyFont="1" applyFill="1" applyBorder="1" applyAlignment="1" applyProtection="1">
      <alignment horizontal="center" vertical="center"/>
      <protection locked="0"/>
    </xf>
    <xf numFmtId="0" fontId="23" fillId="8" borderId="42" xfId="0" applyFont="1" applyFill="1" applyBorder="1" applyAlignment="1" applyProtection="1">
      <alignment horizontal="left" vertical="center" wrapText="1"/>
      <protection locked="0"/>
    </xf>
    <xf numFmtId="0" fontId="23" fillId="7" borderId="42" xfId="0" applyFont="1" applyFill="1" applyBorder="1" applyAlignment="1" applyProtection="1">
      <alignment horizontal="center" vertical="center"/>
      <protection locked="0"/>
    </xf>
    <xf numFmtId="0" fontId="5" fillId="2" borderId="48" xfId="0" applyFont="1" applyFill="1" applyBorder="1" applyAlignment="1">
      <alignment vertical="center"/>
    </xf>
    <xf numFmtId="0" fontId="5" fillId="2" borderId="51" xfId="0" applyFont="1" applyFill="1" applyBorder="1" applyAlignment="1">
      <alignment vertical="center"/>
    </xf>
    <xf numFmtId="2" fontId="5" fillId="2" borderId="50" xfId="0" applyNumberFormat="1" applyFont="1" applyFill="1" applyBorder="1" applyAlignment="1">
      <alignment vertical="center"/>
    </xf>
    <xf numFmtId="0" fontId="5" fillId="2" borderId="52" xfId="0" applyFont="1" applyFill="1" applyBorder="1" applyAlignment="1">
      <alignment vertical="center"/>
    </xf>
    <xf numFmtId="0" fontId="5" fillId="2" borderId="53" xfId="0" applyFont="1" applyFill="1" applyBorder="1" applyAlignment="1">
      <alignment vertical="center"/>
    </xf>
    <xf numFmtId="2" fontId="5" fillId="2" borderId="55" xfId="0" applyNumberFormat="1" applyFont="1" applyFill="1" applyBorder="1" applyAlignment="1">
      <alignment vertical="center"/>
    </xf>
    <xf numFmtId="0" fontId="18" fillId="4" borderId="56" xfId="0" applyFont="1" applyFill="1" applyBorder="1" applyAlignment="1">
      <alignment horizontal="center"/>
    </xf>
    <xf numFmtId="0" fontId="24" fillId="0" borderId="57" xfId="0" applyFont="1" applyBorder="1" applyAlignment="1">
      <alignment horizontal="center" vertical="center" wrapText="1"/>
    </xf>
    <xf numFmtId="17" fontId="10" fillId="0" borderId="58" xfId="0" applyNumberFormat="1" applyFont="1" applyBorder="1" applyAlignment="1">
      <alignment horizontal="left" vertical="center" wrapText="1"/>
    </xf>
    <xf numFmtId="0" fontId="10" fillId="0" borderId="58" xfId="0" applyFont="1" applyBorder="1" applyAlignment="1">
      <alignment horizontal="left" vertical="center" wrapText="1"/>
    </xf>
    <xf numFmtId="2" fontId="5" fillId="2" borderId="36" xfId="0" applyNumberFormat="1" applyFont="1" applyFill="1" applyBorder="1" applyAlignment="1">
      <alignment vertical="center"/>
    </xf>
    <xf numFmtId="0" fontId="5" fillId="2" borderId="35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5" fillId="2" borderId="60" xfId="0" applyFont="1" applyFill="1" applyBorder="1" applyAlignment="1">
      <alignment vertical="center"/>
    </xf>
    <xf numFmtId="0" fontId="10" fillId="0" borderId="61" xfId="0" applyFont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4" fontId="10" fillId="2" borderId="4" xfId="0" applyNumberFormat="1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/>
    </xf>
    <xf numFmtId="4" fontId="10" fillId="2" borderId="42" xfId="0" applyNumberFormat="1" applyFont="1" applyFill="1" applyBorder="1" applyAlignment="1">
      <alignment horizontal="center" vertical="center"/>
    </xf>
    <xf numFmtId="0" fontId="10" fillId="5" borderId="42" xfId="0" applyFont="1" applyFill="1" applyBorder="1" applyAlignment="1">
      <alignment horizontal="left" vertical="center" wrapText="1"/>
    </xf>
    <xf numFmtId="0" fontId="24" fillId="0" borderId="42" xfId="0" applyFont="1" applyBorder="1" applyAlignment="1">
      <alignment horizontal="center" vertical="center" wrapText="1"/>
    </xf>
    <xf numFmtId="0" fontId="0" fillId="6" borderId="42" xfId="0" applyFill="1" applyBorder="1" applyAlignment="1" applyProtection="1">
      <alignment vertical="top" wrapText="1"/>
      <protection locked="0"/>
    </xf>
    <xf numFmtId="0" fontId="23" fillId="6" borderId="41" xfId="0" applyFont="1" applyFill="1" applyBorder="1" applyAlignment="1" applyProtection="1">
      <alignment horizontal="center" vertical="center" wrapText="1"/>
      <protection locked="0"/>
    </xf>
    <xf numFmtId="0" fontId="18" fillId="4" borderId="62" xfId="0" applyFont="1" applyFill="1" applyBorder="1" applyAlignment="1">
      <alignment horizontal="left"/>
    </xf>
    <xf numFmtId="0" fontId="18" fillId="4" borderId="62" xfId="0" applyFont="1" applyFill="1" applyBorder="1" applyAlignment="1">
      <alignment horizontal="center" vertical="center" wrapText="1"/>
    </xf>
    <xf numFmtId="0" fontId="18" fillId="4" borderId="62" xfId="0" applyFont="1" applyFill="1" applyBorder="1" applyAlignment="1">
      <alignment horizontal="left" vertical="center"/>
    </xf>
    <xf numFmtId="0" fontId="18" fillId="4" borderId="62" xfId="0" applyFont="1" applyFill="1" applyBorder="1" applyAlignment="1">
      <alignment horizontal="center"/>
    </xf>
    <xf numFmtId="0" fontId="10" fillId="5" borderId="41" xfId="0" applyFont="1" applyFill="1" applyBorder="1" applyAlignment="1">
      <alignment horizontal="left" vertical="center" wrapText="1"/>
    </xf>
    <xf numFmtId="0" fontId="10" fillId="5" borderId="41" xfId="0" applyFont="1" applyFill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/>
    </xf>
    <xf numFmtId="4" fontId="10" fillId="2" borderId="41" xfId="0" applyNumberFormat="1" applyFont="1" applyFill="1" applyBorder="1" applyAlignment="1">
      <alignment horizontal="center" vertical="center"/>
    </xf>
    <xf numFmtId="0" fontId="10" fillId="0" borderId="41" xfId="0" applyFont="1" applyBorder="1" applyAlignment="1">
      <alignment horizontal="left" vertical="center" wrapText="1"/>
    </xf>
    <xf numFmtId="0" fontId="24" fillId="0" borderId="63" xfId="0" applyFont="1" applyBorder="1" applyAlignment="1">
      <alignment horizontal="center" vertical="center" wrapText="1"/>
    </xf>
    <xf numFmtId="0" fontId="10" fillId="5" borderId="41" xfId="0" applyFont="1" applyFill="1" applyBorder="1" applyAlignment="1">
      <alignment horizontal="center" vertical="center" wrapText="1"/>
    </xf>
    <xf numFmtId="0" fontId="23" fillId="6" borderId="42" xfId="0" applyFont="1" applyFill="1" applyBorder="1" applyAlignment="1" applyProtection="1">
      <alignment vertical="center" wrapText="1"/>
      <protection locked="0"/>
    </xf>
    <xf numFmtId="0" fontId="23" fillId="9" borderId="42" xfId="0" applyFont="1" applyFill="1" applyBorder="1" applyAlignment="1" applyProtection="1">
      <alignment horizontal="left" vertical="center" wrapText="1"/>
      <protection locked="0"/>
    </xf>
    <xf numFmtId="2" fontId="14" fillId="2" borderId="19" xfId="0" applyNumberFormat="1" applyFont="1" applyFill="1" applyBorder="1" applyAlignment="1">
      <alignment vertical="center"/>
    </xf>
    <xf numFmtId="0" fontId="10" fillId="0" borderId="63" xfId="0" applyFont="1" applyBorder="1" applyAlignment="1">
      <alignment horizontal="left" vertical="center" wrapText="1"/>
    </xf>
    <xf numFmtId="0" fontId="10" fillId="0" borderId="57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5" fillId="5" borderId="42" xfId="0" applyFont="1" applyFill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164" fontId="5" fillId="2" borderId="10" xfId="3" applyFont="1" applyFill="1" applyBorder="1" applyAlignment="1" applyProtection="1">
      <alignment horizontal="right" indent="1"/>
    </xf>
    <xf numFmtId="0" fontId="3" fillId="0" borderId="34" xfId="0" applyFont="1" applyBorder="1" applyAlignment="1">
      <alignment horizontal="center" vertical="center"/>
    </xf>
    <xf numFmtId="0" fontId="4" fillId="0" borderId="27" xfId="0" applyFont="1" applyBorder="1" applyAlignment="1" applyProtection="1">
      <alignment horizontal="left" vertical="center"/>
      <protection locked="0"/>
    </xf>
    <xf numFmtId="0" fontId="5" fillId="2" borderId="45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39" xfId="0" applyFont="1" applyFill="1" applyBorder="1" applyAlignment="1">
      <alignment horizontal="left" vertical="center"/>
    </xf>
    <xf numFmtId="0" fontId="14" fillId="2" borderId="38" xfId="0" applyFont="1" applyFill="1" applyBorder="1" applyAlignment="1">
      <alignment horizontal="right" vertical="center"/>
    </xf>
    <xf numFmtId="0" fontId="14" fillId="2" borderId="17" xfId="0" applyFont="1" applyFill="1" applyBorder="1" applyAlignment="1">
      <alignment horizontal="right" vertical="center"/>
    </xf>
    <xf numFmtId="2" fontId="14" fillId="2" borderId="43" xfId="0" applyNumberFormat="1" applyFont="1" applyFill="1" applyBorder="1" applyAlignment="1">
      <alignment horizontal="right" vertical="center"/>
    </xf>
    <xf numFmtId="2" fontId="14" fillId="2" borderId="44" xfId="0" applyNumberFormat="1" applyFont="1" applyFill="1" applyBorder="1" applyAlignment="1">
      <alignment horizontal="right" vertical="center"/>
    </xf>
    <xf numFmtId="0" fontId="3" fillId="0" borderId="37" xfId="0" applyFont="1" applyBorder="1" applyAlignment="1">
      <alignment horizontal="center" vertical="center"/>
    </xf>
    <xf numFmtId="2" fontId="5" fillId="2" borderId="27" xfId="0" applyNumberFormat="1" applyFont="1" applyFill="1" applyBorder="1" applyAlignment="1">
      <alignment horizontal="left" vertical="center"/>
    </xf>
    <xf numFmtId="2" fontId="5" fillId="2" borderId="17" xfId="0" applyNumberFormat="1" applyFont="1" applyFill="1" applyBorder="1" applyAlignment="1">
      <alignment horizontal="left" vertical="center"/>
    </xf>
    <xf numFmtId="2" fontId="5" fillId="2" borderId="39" xfId="0" applyNumberFormat="1" applyFont="1" applyFill="1" applyBorder="1" applyAlignment="1">
      <alignment horizontal="left" vertical="center"/>
    </xf>
    <xf numFmtId="0" fontId="5" fillId="2" borderId="28" xfId="0" applyFont="1" applyFill="1" applyBorder="1" applyAlignment="1">
      <alignment horizontal="left" vertical="center"/>
    </xf>
    <xf numFmtId="0" fontId="23" fillId="6" borderId="42" xfId="0" applyFont="1" applyFill="1" applyBorder="1" applyAlignment="1" applyProtection="1">
      <alignment horizontal="left" vertical="center" wrapText="1"/>
      <protection locked="0"/>
    </xf>
    <xf numFmtId="0" fontId="0" fillId="6" borderId="42" xfId="0" applyFill="1" applyBorder="1" applyAlignment="1" applyProtection="1">
      <alignment horizontal="left" vertical="top" wrapText="1"/>
      <protection locked="0"/>
    </xf>
    <xf numFmtId="0" fontId="3" fillId="0" borderId="0" xfId="0" applyFont="1" applyAlignment="1">
      <alignment horizontal="center" vertical="center"/>
    </xf>
    <xf numFmtId="0" fontId="5" fillId="2" borderId="51" xfId="0" applyFont="1" applyFill="1" applyBorder="1" applyAlignment="1">
      <alignment horizontal="left" vertical="center"/>
    </xf>
    <xf numFmtId="0" fontId="5" fillId="2" borderId="52" xfId="0" applyFont="1" applyFill="1" applyBorder="1" applyAlignment="1">
      <alignment horizontal="left" vertical="center"/>
    </xf>
    <xf numFmtId="0" fontId="5" fillId="2" borderId="50" xfId="0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left" vertical="center"/>
    </xf>
    <xf numFmtId="0" fontId="5" fillId="2" borderId="54" xfId="0" applyFont="1" applyFill="1" applyBorder="1" applyAlignment="1">
      <alignment horizontal="left" vertical="center"/>
    </xf>
    <xf numFmtId="0" fontId="5" fillId="2" borderId="49" xfId="0" applyFont="1" applyFill="1" applyBorder="1" applyAlignment="1">
      <alignment horizontal="left" vertical="center"/>
    </xf>
    <xf numFmtId="2" fontId="13" fillId="0" borderId="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2" fontId="13" fillId="0" borderId="1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66" xfId="0" applyFont="1" applyFill="1" applyBorder="1" applyAlignment="1">
      <alignment horizontal="center" vertical="center" wrapText="1"/>
    </xf>
    <xf numFmtId="0" fontId="4" fillId="2" borderId="64" xfId="0" applyFont="1" applyFill="1" applyBorder="1" applyAlignment="1">
      <alignment horizontal="center" vertical="center" wrapText="1"/>
    </xf>
    <xf numFmtId="0" fontId="4" fillId="2" borderId="6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7" fillId="4" borderId="38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3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center"/>
    </xf>
    <xf numFmtId="0" fontId="5" fillId="2" borderId="38" xfId="0" applyFont="1" applyFill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8" fillId="4" borderId="42" xfId="0" applyFont="1" applyFill="1" applyBorder="1" applyAlignment="1">
      <alignment horizontal="center" vertical="center"/>
    </xf>
    <xf numFmtId="0" fontId="5" fillId="0" borderId="27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10" xfId="0" applyFont="1" applyBorder="1" applyAlignment="1" applyProtection="1">
      <alignment horizontal="left" vertical="center" wrapText="1"/>
      <protection locked="0"/>
    </xf>
    <xf numFmtId="165" fontId="5" fillId="0" borderId="10" xfId="0" applyNumberFormat="1" applyFont="1" applyBorder="1" applyAlignment="1" applyProtection="1">
      <alignment horizontal="left" vertical="center" wrapText="1"/>
      <protection locked="0"/>
    </xf>
    <xf numFmtId="0" fontId="2" fillId="0" borderId="32" xfId="0" applyFont="1" applyBorder="1" applyAlignment="1" applyProtection="1">
      <alignment horizontal="left" vertical="top" wrapText="1"/>
      <protection locked="0"/>
    </xf>
    <xf numFmtId="0" fontId="2" fillId="0" borderId="33" xfId="0" applyFont="1" applyBorder="1" applyAlignment="1" applyProtection="1">
      <alignment horizontal="left" vertical="top" wrapText="1"/>
      <protection locked="0"/>
    </xf>
  </cellXfs>
  <cellStyles count="4">
    <cellStyle name="Normal" xfId="0" builtinId="0"/>
    <cellStyle name="Porcentagem" xfId="1" builtinId="5"/>
    <cellStyle name="TableStyleLight1" xfId="2" xr:uid="{0A784A1B-21C9-41B5-9D55-BF2EC95AED50}"/>
    <cellStyle name="Vírgula" xfId="3" builtinId="3"/>
  </cellStyles>
  <dxfs count="7"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name val="Arial"/>
        <charset val="1"/>
        <scheme val="none"/>
      </font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083-4523-9606-B9416DADB31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083-4523-9606-B9416DADB31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083-4523-9606-B9416DADB31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083-4523-9606-B9416DADB31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F083-4523-9606-B9416DADB31B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083-4523-9606-B9416DADB31B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083-4523-9606-B9416DADB31B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083-4523-9606-B9416DADB31B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083-4523-9606-B9416DADB31B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083-4523-9606-B9416DADB31B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('Sumário 1'!$B$10,'Sumário 1'!$B$17,'Sumário 1'!$B$24,'Sumário 1'!$B$31,'Sumário 1'!$B$38)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('Sumário 1'!$H$14,'Sumário 1'!$H$21,'Sumário 1'!$H$28,'Sumário 1'!$H$35,'Sumário 1'!$H$42)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83-4523-9606-B9416DADB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399498139655623"/>
          <c:y val="6.25E-2"/>
          <c:w val="0.14652053108746022"/>
          <c:h val="0.9140625"/>
        </c:manualLayout>
      </c:layout>
      <c:overlay val="0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7" name="shapetype_202" hidden="1">
          <a:extLst>
            <a:ext uri="{FF2B5EF4-FFF2-40B4-BE49-F238E27FC236}">
              <a16:creationId xmlns:a16="http://schemas.microsoft.com/office/drawing/2014/main" id="{20088DF3-790E-A205-DA75-5BA9CEADB8CF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8" name="shapetype_202" hidden="1">
          <a:extLst>
            <a:ext uri="{FF2B5EF4-FFF2-40B4-BE49-F238E27FC236}">
              <a16:creationId xmlns:a16="http://schemas.microsoft.com/office/drawing/2014/main" id="{DDFBF0E1-E42B-EE76-FC91-28D1C8C0F41F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9" name="shapetype_202" hidden="1">
          <a:extLst>
            <a:ext uri="{FF2B5EF4-FFF2-40B4-BE49-F238E27FC236}">
              <a16:creationId xmlns:a16="http://schemas.microsoft.com/office/drawing/2014/main" id="{FF4E5E73-F5C7-3030-2DB1-42495B41E772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0</xdr:col>
      <xdr:colOff>78442</xdr:colOff>
      <xdr:row>0</xdr:row>
      <xdr:rowOff>22412</xdr:rowOff>
    </xdr:from>
    <xdr:to>
      <xdr:col>3</xdr:col>
      <xdr:colOff>292144</xdr:colOff>
      <xdr:row>2</xdr:row>
      <xdr:rowOff>204016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C8F072-9983-4F1B-9C3B-BE41B8FD8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42" y="22412"/>
          <a:ext cx="1648055" cy="495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81643</xdr:colOff>
      <xdr:row>0</xdr:row>
      <xdr:rowOff>81643</xdr:rowOff>
    </xdr:from>
    <xdr:to>
      <xdr:col>0</xdr:col>
      <xdr:colOff>1729698</xdr:colOff>
      <xdr:row>2</xdr:row>
      <xdr:rowOff>226401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71C8D7-5A47-4A46-A394-C5A45930F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3" y="81643"/>
          <a:ext cx="1648055" cy="495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68036</xdr:colOff>
      <xdr:row>0</xdr:row>
      <xdr:rowOff>40821</xdr:rowOff>
    </xdr:from>
    <xdr:to>
      <xdr:col>1</xdr:col>
      <xdr:colOff>423412</xdr:colOff>
      <xdr:row>2</xdr:row>
      <xdr:rowOff>141583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DBF762E-862E-EC2F-38A0-6604FAACB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6" y="40821"/>
          <a:ext cx="1648055" cy="4953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189206</xdr:colOff>
      <xdr:row>0</xdr:row>
      <xdr:rowOff>28575</xdr:rowOff>
    </xdr:from>
    <xdr:to>
      <xdr:col>1</xdr:col>
      <xdr:colOff>1293</xdr:colOff>
      <xdr:row>0</xdr:row>
      <xdr:rowOff>466725</xdr:rowOff>
    </xdr:to>
    <xdr:pic>
      <xdr:nvPicPr>
        <xdr:cNvPr id="3140" name="Figura 1">
          <a:extLst>
            <a:ext uri="{FF2B5EF4-FFF2-40B4-BE49-F238E27FC236}">
              <a16:creationId xmlns:a16="http://schemas.microsoft.com/office/drawing/2014/main" id="{54D22A84-50B4-B6BF-055B-94796590B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89206" y="28575"/>
          <a:ext cx="583612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66675</xdr:rowOff>
    </xdr:from>
    <xdr:to>
      <xdr:col>3</xdr:col>
      <xdr:colOff>143105</xdr:colOff>
      <xdr:row>0</xdr:row>
      <xdr:rowOff>562044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EC8489-88CC-4055-9B31-00D48F90A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25" y="66675"/>
          <a:ext cx="1648055" cy="4953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43</xdr:row>
      <xdr:rowOff>28575</xdr:rowOff>
    </xdr:from>
    <xdr:to>
      <xdr:col>11</xdr:col>
      <xdr:colOff>342900</xdr:colOff>
      <xdr:row>50</xdr:row>
      <xdr:rowOff>142875</xdr:rowOff>
    </xdr:to>
    <xdr:graphicFrame macro="">
      <xdr:nvGraphicFramePr>
        <xdr:cNvPr id="4233" name="Gráfico 3">
          <a:extLst>
            <a:ext uri="{FF2B5EF4-FFF2-40B4-BE49-F238E27FC236}">
              <a16:creationId xmlns:a16="http://schemas.microsoft.com/office/drawing/2014/main" id="{E182EB86-9C34-357A-7CCB-91E9E2B31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38100</xdr:rowOff>
    </xdr:from>
    <xdr:to>
      <xdr:col>4</xdr:col>
      <xdr:colOff>95480</xdr:colOff>
      <xdr:row>2</xdr:row>
      <xdr:rowOff>209619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AFD1CE-E9CF-46A1-B919-B5431BF89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38100"/>
          <a:ext cx="1648055" cy="4953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1</xdr:col>
      <xdr:colOff>1505180</xdr:colOff>
      <xdr:row>2</xdr:row>
      <xdr:rowOff>142944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2E98B47-3D21-425C-98B6-084CC9464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76200"/>
          <a:ext cx="1648055" cy="495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8B0F-58DC-424D-8633-56707D2E4AED}">
  <sheetPr codeName="Plan1"/>
  <dimension ref="A1:V45"/>
  <sheetViews>
    <sheetView showGridLines="0" tabSelected="1" zoomScaleNormal="100" zoomScaleSheetLayoutView="85" workbookViewId="0">
      <pane ySplit="3" topLeftCell="A4" activePane="bottomLeft" state="frozen"/>
      <selection activeCell="B11" sqref="B11"/>
      <selection pane="bottomLeft" activeCell="F4" sqref="F4:N4"/>
    </sheetView>
  </sheetViews>
  <sheetFormatPr defaultRowHeight="13.5" x14ac:dyDescent="0.25"/>
  <cols>
    <col min="1" max="1" width="10.42578125" style="1" customWidth="1"/>
    <col min="2" max="2" width="2.5703125" style="1" customWidth="1"/>
    <col min="3" max="3" width="8.5703125" style="1" customWidth="1"/>
    <col min="4" max="4" width="4.5703125" style="1" customWidth="1"/>
    <col min="5" max="5" width="4" style="1" customWidth="1"/>
    <col min="6" max="6" width="4.5703125" style="1" customWidth="1"/>
    <col min="7" max="12" width="6" style="1" customWidth="1"/>
    <col min="13" max="13" width="18.42578125" style="1" customWidth="1"/>
    <col min="14" max="14" width="8.42578125" style="1" customWidth="1"/>
    <col min="15" max="15" width="11.5703125" style="1" customWidth="1"/>
    <col min="16" max="16" width="5.85546875" style="1" customWidth="1"/>
    <col min="17" max="18" width="2.5703125" style="1" customWidth="1"/>
    <col min="19" max="19" width="8" style="1" customWidth="1"/>
    <col min="20" max="22" width="2.5703125" style="1" customWidth="1"/>
  </cols>
  <sheetData>
    <row r="1" spans="1:22" ht="12.75" x14ac:dyDescent="0.2">
      <c r="A1" s="183" t="s">
        <v>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</row>
    <row r="2" spans="1:22" ht="12.75" x14ac:dyDescent="0.2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</row>
    <row r="3" spans="1:22" ht="22.5" customHeight="1" x14ac:dyDescent="0.2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</row>
    <row r="4" spans="1:22" x14ac:dyDescent="0.25">
      <c r="A4" s="179" t="s">
        <v>1</v>
      </c>
      <c r="B4" s="179"/>
      <c r="C4" s="179"/>
      <c r="D4" s="179"/>
      <c r="E4" s="179"/>
      <c r="F4" s="238" t="s">
        <v>2</v>
      </c>
      <c r="G4" s="238"/>
      <c r="H4" s="238"/>
      <c r="I4" s="238"/>
      <c r="J4" s="238"/>
      <c r="K4" s="238"/>
      <c r="L4" s="238"/>
      <c r="M4" s="238"/>
      <c r="N4" s="238"/>
      <c r="O4" s="184" t="s">
        <v>3</v>
      </c>
      <c r="P4" s="184"/>
      <c r="Q4" s="182">
        <f>Contagem_PF!N4</f>
        <v>0</v>
      </c>
      <c r="R4" s="182"/>
      <c r="S4" s="182"/>
      <c r="T4" s="182"/>
      <c r="U4" s="182"/>
      <c r="V4" s="182"/>
    </row>
    <row r="5" spans="1:22" x14ac:dyDescent="0.25">
      <c r="A5" s="179" t="s">
        <v>4</v>
      </c>
      <c r="B5" s="179"/>
      <c r="C5" s="179"/>
      <c r="D5" s="179"/>
      <c r="E5" s="179"/>
      <c r="F5" s="238"/>
      <c r="G5" s="238"/>
      <c r="H5" s="238"/>
      <c r="I5" s="238"/>
      <c r="J5" s="238"/>
      <c r="K5" s="238"/>
      <c r="L5" s="238"/>
      <c r="M5" s="238"/>
      <c r="N5" s="238"/>
      <c r="O5" s="181" t="s">
        <v>5</v>
      </c>
      <c r="P5" s="181"/>
      <c r="Q5" s="182">
        <f>Contagem_PF!N5</f>
        <v>0</v>
      </c>
      <c r="R5" s="182"/>
      <c r="S5" s="182"/>
      <c r="T5" s="182"/>
      <c r="U5" s="182"/>
      <c r="V5" s="182"/>
    </row>
    <row r="6" spans="1:22" x14ac:dyDescent="0.25">
      <c r="A6" s="179" t="s">
        <v>6</v>
      </c>
      <c r="B6" s="179"/>
      <c r="C6" s="179"/>
      <c r="D6" s="179"/>
      <c r="E6" s="179"/>
      <c r="F6" s="239"/>
      <c r="G6" s="239"/>
      <c r="H6" s="239"/>
      <c r="I6" s="239"/>
      <c r="J6" s="239"/>
      <c r="K6" s="239"/>
      <c r="L6" s="239"/>
      <c r="M6" s="239"/>
      <c r="N6" s="239"/>
      <c r="O6" s="181" t="s">
        <v>7</v>
      </c>
      <c r="P6" s="181"/>
      <c r="Q6" s="182">
        <f>Contagem_PF!N6</f>
        <v>0</v>
      </c>
      <c r="R6" s="182"/>
      <c r="S6" s="182"/>
      <c r="T6" s="182"/>
      <c r="U6" s="182"/>
      <c r="V6" s="182"/>
    </row>
    <row r="7" spans="1:22" ht="12.75" x14ac:dyDescent="0.2">
      <c r="A7" s="179" t="s">
        <v>8</v>
      </c>
      <c r="B7" s="179"/>
      <c r="C7" s="179"/>
      <c r="D7" s="179"/>
      <c r="E7" s="179"/>
      <c r="F7" s="238"/>
      <c r="G7" s="238"/>
      <c r="H7" s="238"/>
      <c r="I7" s="238"/>
      <c r="J7" s="238"/>
      <c r="K7" s="238"/>
      <c r="L7" s="238"/>
      <c r="M7" s="238"/>
      <c r="N7" s="238"/>
      <c r="O7" s="181" t="s">
        <v>9</v>
      </c>
      <c r="P7" s="181"/>
      <c r="Q7" s="181"/>
      <c r="R7" s="240"/>
      <c r="S7" s="240"/>
      <c r="T7" s="240"/>
      <c r="U7" s="240"/>
      <c r="V7" s="240"/>
    </row>
    <row r="8" spans="1:22" ht="12.75" x14ac:dyDescent="0.2">
      <c r="A8" s="179" t="s">
        <v>10</v>
      </c>
      <c r="B8" s="179"/>
      <c r="C8" s="179"/>
      <c r="D8" s="179"/>
      <c r="E8" s="179"/>
      <c r="F8" s="238"/>
      <c r="G8" s="238"/>
      <c r="H8" s="238"/>
      <c r="I8" s="238"/>
      <c r="J8" s="238"/>
      <c r="K8" s="238"/>
      <c r="L8" s="238"/>
      <c r="M8" s="238"/>
      <c r="N8" s="238"/>
      <c r="O8" s="181" t="s">
        <v>11</v>
      </c>
      <c r="P8" s="181"/>
      <c r="Q8" s="181"/>
      <c r="R8" s="240"/>
      <c r="S8" s="240"/>
      <c r="T8" s="240"/>
      <c r="U8" s="240"/>
      <c r="V8" s="240"/>
    </row>
    <row r="9" spans="1:22" x14ac:dyDescent="0.25">
      <c r="A9" s="179" t="s">
        <v>12</v>
      </c>
      <c r="B9" s="179"/>
      <c r="C9" s="179"/>
      <c r="D9" s="179"/>
      <c r="E9" s="179"/>
      <c r="F9" s="239"/>
      <c r="G9" s="239"/>
      <c r="H9" s="239"/>
      <c r="I9" s="239"/>
      <c r="J9" s="239"/>
      <c r="K9" s="239"/>
      <c r="L9" s="239"/>
      <c r="M9" s="239"/>
      <c r="N9" s="239"/>
      <c r="O9" s="180" t="s">
        <v>13</v>
      </c>
      <c r="P9" s="180"/>
      <c r="Q9" s="180"/>
      <c r="R9" s="241"/>
      <c r="S9" s="241"/>
      <c r="T9" s="241"/>
      <c r="U9" s="241"/>
      <c r="V9" s="241"/>
    </row>
    <row r="10" spans="1:22" x14ac:dyDescent="0.25">
      <c r="A10" s="179" t="s">
        <v>14</v>
      </c>
      <c r="B10" s="179"/>
      <c r="C10" s="179"/>
      <c r="D10" s="179"/>
      <c r="E10" s="179"/>
      <c r="F10" s="239"/>
      <c r="G10" s="239"/>
      <c r="H10" s="239"/>
      <c r="I10" s="239"/>
      <c r="J10" s="239"/>
      <c r="K10" s="239"/>
      <c r="L10" s="239"/>
      <c r="M10" s="239"/>
      <c r="N10" s="239"/>
      <c r="O10" s="180" t="s">
        <v>15</v>
      </c>
      <c r="P10" s="180"/>
      <c r="Q10" s="180"/>
      <c r="R10" s="241"/>
      <c r="S10" s="241"/>
      <c r="T10" s="241"/>
      <c r="U10" s="241"/>
      <c r="V10" s="241"/>
    </row>
    <row r="11" spans="1:22" x14ac:dyDescent="0.2">
      <c r="A11" s="178" t="s">
        <v>16</v>
      </c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</row>
    <row r="12" spans="1:22" ht="12.75" customHeight="1" x14ac:dyDescent="0.2">
      <c r="A12" s="242" t="s">
        <v>189</v>
      </c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</row>
    <row r="13" spans="1:22" ht="12.75" customHeight="1" x14ac:dyDescent="0.2">
      <c r="A13" s="242"/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</row>
    <row r="14" spans="1:22" ht="12.75" customHeight="1" x14ac:dyDescent="0.2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</row>
    <row r="15" spans="1:22" ht="12.75" customHeight="1" x14ac:dyDescent="0.2">
      <c r="A15" s="242"/>
      <c r="B15" s="242"/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2"/>
      <c r="Q15" s="242"/>
      <c r="R15" s="242"/>
      <c r="S15" s="242"/>
      <c r="T15" s="242"/>
      <c r="U15" s="242"/>
      <c r="V15" s="242"/>
    </row>
    <row r="16" spans="1:22" x14ac:dyDescent="0.2">
      <c r="A16" s="178" t="s">
        <v>17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</row>
    <row r="17" spans="1:22" ht="27.6" customHeight="1" x14ac:dyDescent="0.2">
      <c r="A17" s="242"/>
      <c r="B17" s="242"/>
      <c r="C17" s="242"/>
      <c r="D17" s="242"/>
      <c r="E17" s="242"/>
      <c r="F17" s="242"/>
      <c r="G17" s="242"/>
      <c r="H17" s="242"/>
      <c r="I17" s="242"/>
      <c r="J17" s="242"/>
      <c r="K17" s="242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</row>
    <row r="18" spans="1:22" ht="27.6" customHeight="1" x14ac:dyDescent="0.2">
      <c r="A18" s="242"/>
      <c r="B18" s="242"/>
      <c r="C18" s="242"/>
      <c r="D18" s="242"/>
      <c r="E18" s="242"/>
      <c r="F18" s="242"/>
      <c r="G18" s="242"/>
      <c r="H18" s="242"/>
      <c r="I18" s="242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</row>
    <row r="19" spans="1:22" ht="27.6" customHeight="1" x14ac:dyDescent="0.2">
      <c r="A19" s="242"/>
      <c r="B19" s="242"/>
      <c r="C19" s="242"/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</row>
    <row r="20" spans="1:22" ht="27.6" customHeight="1" x14ac:dyDescent="0.2">
      <c r="A20" s="242"/>
      <c r="B20" s="242"/>
      <c r="C20" s="242"/>
      <c r="D20" s="242"/>
      <c r="E20" s="242"/>
      <c r="F20" s="242"/>
      <c r="G20" s="242"/>
      <c r="H20" s="242"/>
      <c r="I20" s="242"/>
      <c r="J20" s="242"/>
      <c r="K20" s="242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</row>
    <row r="21" spans="1:22" x14ac:dyDescent="0.2">
      <c r="A21" s="178" t="s">
        <v>18</v>
      </c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</row>
    <row r="22" spans="1:22" ht="12.75" customHeight="1" x14ac:dyDescent="0.2">
      <c r="A22" s="243"/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</row>
    <row r="23" spans="1:22" ht="12.75" customHeight="1" x14ac:dyDescent="0.2">
      <c r="A23" s="243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</row>
    <row r="24" spans="1:22" ht="12.75" customHeight="1" x14ac:dyDescent="0.2">
      <c r="A24" s="243"/>
      <c r="B24" s="243"/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</row>
    <row r="25" spans="1:22" ht="12.75" customHeight="1" x14ac:dyDescent="0.2">
      <c r="A25" s="243"/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</row>
    <row r="26" spans="1:22" ht="12.75" customHeight="1" x14ac:dyDescent="0.2">
      <c r="A26" s="243"/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</row>
    <row r="27" spans="1:22" ht="12.75" customHeight="1" x14ac:dyDescent="0.2">
      <c r="A27" s="243"/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</row>
    <row r="28" spans="1:22" ht="12.75" customHeight="1" x14ac:dyDescent="0.2">
      <c r="A28" s="243"/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</row>
    <row r="29" spans="1:22" ht="12.75" customHeight="1" x14ac:dyDescent="0.2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</row>
    <row r="30" spans="1:22" ht="12.75" customHeight="1" x14ac:dyDescent="0.2">
      <c r="A30" s="243"/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</row>
    <row r="31" spans="1:22" ht="12.75" customHeight="1" x14ac:dyDescent="0.2">
      <c r="A31" s="243"/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</row>
    <row r="32" spans="1:22" ht="12.75" customHeight="1" x14ac:dyDescent="0.2">
      <c r="A32" s="243"/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</row>
    <row r="33" spans="1:22" ht="12.75" customHeight="1" x14ac:dyDescent="0.2">
      <c r="A33" s="243"/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</row>
    <row r="34" spans="1:22" ht="12.75" customHeight="1" x14ac:dyDescent="0.2">
      <c r="A34" s="243"/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</row>
    <row r="35" spans="1:22" ht="12.75" customHeight="1" x14ac:dyDescent="0.2">
      <c r="A35" s="243"/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</row>
    <row r="36" spans="1:22" ht="12.75" customHeight="1" x14ac:dyDescent="0.2">
      <c r="A36" s="243"/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</row>
    <row r="37" spans="1:22" ht="12.75" customHeight="1" x14ac:dyDescent="0.2">
      <c r="A37" s="243"/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</row>
    <row r="38" spans="1:22" ht="12.75" customHeight="1" x14ac:dyDescent="0.2">
      <c r="A38" s="243"/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</row>
    <row r="39" spans="1:22" ht="12.75" customHeight="1" x14ac:dyDescent="0.2">
      <c r="A39" s="243"/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</row>
    <row r="40" spans="1:22" ht="12.75" customHeight="1" x14ac:dyDescent="0.2">
      <c r="A40" s="243"/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</row>
    <row r="41" spans="1:22" ht="12.75" customHeight="1" x14ac:dyDescent="0.2">
      <c r="A41" s="243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</row>
    <row r="42" spans="1:22" ht="12.75" customHeight="1" x14ac:dyDescent="0.2">
      <c r="A42" s="243"/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</row>
    <row r="43" spans="1:22" ht="12.75" customHeight="1" x14ac:dyDescent="0.2">
      <c r="A43" s="243"/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</row>
    <row r="44" spans="1:22" ht="12.75" customHeight="1" x14ac:dyDescent="0.2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</row>
    <row r="45" spans="1:22" ht="12.75" customHeight="1" x14ac:dyDescent="0.2">
      <c r="A45" s="243"/>
      <c r="B45" s="243"/>
      <c r="C45" s="243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</row>
  </sheetData>
  <protectedRanges>
    <protectedRange algorithmName="SHA-512" hashValue="P1bbTVs6fAVLC84qSxMrfUuEgwqxzCfxWifKig7JpOUV+UkfRxBjj+PDVE2ANNlOOnovuM94HpG2lZdn0VZjmA==" saltValue="y0T7W2FqYxc+5JRgy1K2qA==" spinCount="100000" sqref="F5:N8" name="Fábrica_Métricas_1"/>
    <protectedRange algorithmName="SHA-512" hashValue="P1bbTVs6fAVLC84qSxMrfUuEgwqxzCfxWifKig7JpOUV+UkfRxBjj+PDVE2ANNlOOnovuM94HpG2lZdn0VZjmA==" saltValue="y0T7W2FqYxc+5JRgy1K2qA==" spinCount="100000" sqref="R9:V10" name="Fábrica_Métricas"/>
    <protectedRange algorithmName="SHA-512" hashValue="P1bbTVs6fAVLC84qSxMrfUuEgwqxzCfxWifKig7JpOUV+UkfRxBjj+PDVE2ANNlOOnovuM94HpG2lZdn0VZjmA==" saltValue="y0T7W2FqYxc+5JRgy1K2qA==" spinCount="100000" sqref="A12:V15" name="Fábrica_Métricas_5"/>
    <protectedRange algorithmName="SHA-512" hashValue="aCN0gxNzbcl1I9pdXekOCJDQFuMJHbHrYfphjEeNrlZdouD/tkP5NmAgg4TLwBd4Xdsv8B6Xym1dEGBvwms6+Q==" saltValue="cPN3AiMViQAZdQrX3jkFVA==" spinCount="100000" sqref="A17:V20" name="FSW_1"/>
    <protectedRange algorithmName="SHA-512" hashValue="P1bbTVs6fAVLC84qSxMrfUuEgwqxzCfxWifKig7JpOUV+UkfRxBjj+PDVE2ANNlOOnovuM94HpG2lZdn0VZjmA==" saltValue="y0T7W2FqYxc+5JRgy1K2qA==" spinCount="100000" sqref="A17:V20" name="Fábrica_Métricas_6"/>
    <protectedRange algorithmName="SHA-512" hashValue="P1bbTVs6fAVLC84qSxMrfUuEgwqxzCfxWifKig7JpOUV+UkfRxBjj+PDVE2ANNlOOnovuM94HpG2lZdn0VZjmA==" saltValue="y0T7W2FqYxc+5JRgy1K2qA==" spinCount="100000" sqref="A22:V45" name="Fábrica_Métricas_7"/>
  </protectedRanges>
  <mergeCells count="35">
    <mergeCell ref="A5:E5"/>
    <mergeCell ref="F5:N5"/>
    <mergeCell ref="O5:P5"/>
    <mergeCell ref="Q5:V5"/>
    <mergeCell ref="A1:V3"/>
    <mergeCell ref="A4:E4"/>
    <mergeCell ref="F4:N4"/>
    <mergeCell ref="O4:P4"/>
    <mergeCell ref="Q4:V4"/>
    <mergeCell ref="A6:E6"/>
    <mergeCell ref="F6:N6"/>
    <mergeCell ref="O6:P6"/>
    <mergeCell ref="Q6:V6"/>
    <mergeCell ref="A7:E7"/>
    <mergeCell ref="F7:N7"/>
    <mergeCell ref="O7:Q7"/>
    <mergeCell ref="R7:V7"/>
    <mergeCell ref="A8:E8"/>
    <mergeCell ref="F8:N8"/>
    <mergeCell ref="O8:Q8"/>
    <mergeCell ref="R8:V8"/>
    <mergeCell ref="A9:E9"/>
    <mergeCell ref="F9:N9"/>
    <mergeCell ref="O9:Q9"/>
    <mergeCell ref="R9:V9"/>
    <mergeCell ref="A16:V16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</mergeCells>
  <dataValidations count="3">
    <dataValidation type="list" operator="equal" allowBlank="1" showErrorMessage="1" sqref="F6" xr:uid="{2E4F4775-BE08-435F-8350-D6D5045AD95A}">
      <formula1>"Aplicação,Projeto de Desenvolvimento,Projeto de Melhoria"</formula1>
      <formula2>0</formula2>
    </dataValidation>
    <dataValidation type="list" operator="equal" allowBlank="1" showErrorMessage="1" sqref="G6:N7" xr:uid="{BF3803F1-F841-4315-B028-06CB23C3D443}">
      <formula1>"Aplicação,Estimativa,Projeto de Desenvolvimento,Projeto de Melhoria"</formula1>
      <formula2>0</formula2>
    </dataValidation>
    <dataValidation type="list" operator="equal" allowBlank="1" showErrorMessage="1" promptTitle="Método de COntagem" prompt="Detalhada (IFPUG)_x000a_Estimativa (NESMA)_x000a_Indicativa (NESMA)" sqref="F7" xr:uid="{B439884C-4404-4E3C-A6F6-DD7B8EAA6FD3}">
      <formula1>"Detalhada (IFPUG),Estimativa (NESMA),Indicativa (NESMA)"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paperSize="9" scale="59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DEB6-EE39-4EC4-9846-950B93CBBDFF}">
  <sheetPr codeName="Plan2">
    <pageSetUpPr fitToPage="1"/>
  </sheetPr>
  <dimension ref="A1:U606"/>
  <sheetViews>
    <sheetView showGridLines="0" zoomScaleNormal="100" zoomScaleSheetLayoutView="70" workbookViewId="0">
      <pane ySplit="7" topLeftCell="A8" activePane="bottomLeft" state="frozen"/>
      <selection activeCell="B11" sqref="B11"/>
      <selection pane="bottomLeft" activeCell="A8" sqref="A8"/>
    </sheetView>
  </sheetViews>
  <sheetFormatPr defaultRowHeight="12.75" x14ac:dyDescent="0.2"/>
  <cols>
    <col min="1" max="1" width="55.85546875" customWidth="1"/>
    <col min="2" max="2" width="5.28515625" customWidth="1"/>
    <col min="3" max="3" width="13.7109375" customWidth="1"/>
    <col min="4" max="4" width="4.7109375" customWidth="1"/>
    <col min="5" max="5" width="11" bestFit="1" customWidth="1"/>
    <col min="6" max="6" width="7.140625" bestFit="1" customWidth="1"/>
    <col min="7" max="7" width="14.85546875" bestFit="1" customWidth="1"/>
    <col min="8" max="8" width="8" customWidth="1"/>
    <col min="9" max="9" width="9" hidden="1" customWidth="1"/>
    <col min="10" max="10" width="12" customWidth="1"/>
    <col min="11" max="11" width="6.5703125" hidden="1" customWidth="1"/>
    <col min="12" max="12" width="7.42578125" hidden="1" customWidth="1"/>
    <col min="13" max="13" width="12.5703125" customWidth="1"/>
    <col min="14" max="14" width="12" customWidth="1"/>
    <col min="15" max="15" width="7.85546875" customWidth="1"/>
    <col min="16" max="16" width="24.85546875" customWidth="1"/>
    <col min="17" max="17" width="21" customWidth="1"/>
    <col min="18" max="18" width="13" customWidth="1"/>
    <col min="19" max="19" width="16.5703125" bestFit="1" customWidth="1"/>
    <col min="20" max="20" width="16.5703125" customWidth="1"/>
    <col min="21" max="21" width="39.7109375" customWidth="1"/>
  </cols>
  <sheetData>
    <row r="1" spans="1:21" ht="13.5" thickBot="1" x14ac:dyDescent="0.25">
      <c r="A1" s="198" t="s">
        <v>19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</row>
    <row r="2" spans="1:21" ht="13.5" thickBot="1" x14ac:dyDescent="0.25">
      <c r="A2" s="198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</row>
    <row r="3" spans="1:21" ht="27" customHeight="1" x14ac:dyDescent="0.2">
      <c r="A3" s="198"/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U3" s="19" t="s">
        <v>20</v>
      </c>
    </row>
    <row r="4" spans="1:21" x14ac:dyDescent="0.2">
      <c r="A4" s="176" t="str">
        <f>'Info Gerais'!A5&amp;" : "&amp;'Info Gerais'!F5</f>
        <v xml:space="preserve">Aplicação : </v>
      </c>
      <c r="B4" s="191" t="str">
        <f>'Info Gerais'!A8&amp;" : "&amp;'Info Gerais'!F8</f>
        <v xml:space="preserve">Projeto : </v>
      </c>
      <c r="C4" s="192"/>
      <c r="D4" s="192"/>
      <c r="E4" s="192"/>
      <c r="F4" s="192"/>
      <c r="G4" s="192"/>
      <c r="H4" s="192"/>
      <c r="I4" s="192"/>
      <c r="J4" s="192"/>
      <c r="K4" s="192"/>
      <c r="L4" s="202"/>
      <c r="M4" s="94" t="s">
        <v>3</v>
      </c>
      <c r="N4" s="97">
        <f>SUM(J8:J606)</f>
        <v>0</v>
      </c>
      <c r="O4" s="191"/>
      <c r="P4" s="192"/>
      <c r="Q4" s="193"/>
      <c r="R4" s="194" t="s">
        <v>21</v>
      </c>
      <c r="S4" s="195"/>
      <c r="T4" s="195"/>
      <c r="U4" s="112">
        <v>46108</v>
      </c>
    </row>
    <row r="5" spans="1:21" ht="13.5" thickBot="1" x14ac:dyDescent="0.25">
      <c r="A5" s="176" t="str">
        <f>'Info Gerais'!A9&amp;" : "&amp;'Info Gerais'!F9</f>
        <v xml:space="preserve">Responsável : </v>
      </c>
      <c r="B5" s="191" t="str">
        <f>'Info Gerais'!A10&amp;" : "&amp;'Info Gerais'!F10</f>
        <v xml:space="preserve">Revisor : </v>
      </c>
      <c r="C5" s="192"/>
      <c r="D5" s="192"/>
      <c r="E5" s="192"/>
      <c r="F5" s="192"/>
      <c r="G5" s="192"/>
      <c r="H5" s="192"/>
      <c r="I5" s="192"/>
      <c r="J5" s="192"/>
      <c r="K5" s="192"/>
      <c r="L5" s="202"/>
      <c r="M5" s="96" t="s">
        <v>22</v>
      </c>
      <c r="N5" s="97">
        <f>SUM(M8:M606)</f>
        <v>0</v>
      </c>
      <c r="O5" s="199"/>
      <c r="P5" s="200"/>
      <c r="Q5" s="201"/>
      <c r="R5" s="196" t="s">
        <v>23</v>
      </c>
      <c r="S5" s="197"/>
      <c r="T5" s="197"/>
      <c r="U5" s="113" t="s">
        <v>24</v>
      </c>
    </row>
    <row r="6" spans="1:21" x14ac:dyDescent="0.2">
      <c r="A6" s="101" t="str">
        <f>'Info Gerais'!A4&amp;" : "&amp;'Info Gerais'!F4</f>
        <v>Empresa : BASIS</v>
      </c>
      <c r="B6" s="188" t="str">
        <f>"Tipo da Contagem : "&amp;'Info Gerais'!F6</f>
        <v xml:space="preserve">Tipo da Contagem : </v>
      </c>
      <c r="C6" s="189"/>
      <c r="D6" s="189"/>
      <c r="E6" s="189"/>
      <c r="F6" s="189"/>
      <c r="G6" s="189"/>
      <c r="H6" s="189"/>
      <c r="I6" s="189"/>
      <c r="J6" s="189"/>
      <c r="K6" s="189"/>
      <c r="L6" s="190"/>
      <c r="M6" s="95" t="s">
        <v>7</v>
      </c>
      <c r="N6" s="97">
        <f>SUM(N8:N606)</f>
        <v>0</v>
      </c>
      <c r="O6" s="191"/>
      <c r="P6" s="192"/>
      <c r="Q6" s="193"/>
      <c r="R6" s="185"/>
      <c r="S6" s="186"/>
      <c r="T6" s="186"/>
      <c r="U6" s="187"/>
    </row>
    <row r="7" spans="1:21" ht="13.5" customHeight="1" x14ac:dyDescent="0.25">
      <c r="A7" s="108" t="s">
        <v>25</v>
      </c>
      <c r="B7" s="109"/>
      <c r="C7" s="237" t="s">
        <v>26</v>
      </c>
      <c r="D7" s="110" t="s">
        <v>27</v>
      </c>
      <c r="E7" s="110" t="s">
        <v>28</v>
      </c>
      <c r="F7" s="110" t="s">
        <v>29</v>
      </c>
      <c r="G7" s="110" t="s">
        <v>30</v>
      </c>
      <c r="H7" s="110" t="s">
        <v>31</v>
      </c>
      <c r="I7" s="110" t="s">
        <v>32</v>
      </c>
      <c r="J7" s="110" t="s">
        <v>3</v>
      </c>
      <c r="K7" s="110" t="s">
        <v>33</v>
      </c>
      <c r="L7" s="110" t="s">
        <v>34</v>
      </c>
      <c r="M7" s="152" t="s">
        <v>22</v>
      </c>
      <c r="N7" s="152" t="s">
        <v>7</v>
      </c>
      <c r="O7" s="110" t="s">
        <v>35</v>
      </c>
      <c r="P7" s="110" t="s">
        <v>36</v>
      </c>
      <c r="Q7" s="110" t="s">
        <v>37</v>
      </c>
      <c r="R7" s="110" t="s">
        <v>38</v>
      </c>
      <c r="S7" s="110" t="s">
        <v>39</v>
      </c>
      <c r="T7" s="110" t="s">
        <v>40</v>
      </c>
      <c r="U7" s="110" t="s">
        <v>41</v>
      </c>
    </row>
    <row r="8" spans="1:21" ht="21.75" customHeight="1" x14ac:dyDescent="0.2">
      <c r="A8" s="102"/>
      <c r="B8" s="2"/>
      <c r="C8" s="2"/>
      <c r="D8" s="2"/>
      <c r="E8" s="5"/>
      <c r="F8" s="2"/>
      <c r="G8" s="5"/>
      <c r="H8" s="8" t="str">
        <f t="shared" ref="H8" si="0">IF(ISBLANK(B8),"",IF(K8="L","Baixa",IF(K8="A","Média",IF(K8="","","Alta"))))</f>
        <v/>
      </c>
      <c r="I8" s="7" t="str">
        <f t="shared" ref="I8" si="1">CONCATENATE(B8,K8)</f>
        <v/>
      </c>
      <c r="J8" s="3" t="str">
        <f t="shared" ref="J8" si="2">IF(ISBLANK(B8),"",IF(B8="ALI",IF(K8="L",7,IF(K8="A",10,15)),IF(B8="AIE",IF(K8="L",5,IF(K8="A",7,10)),IF(B8="SE",IF(K8="L",4,IF(K8="A",5,7)),IF(OR(B8="EE",B8="CE"),IF(K8="L",3,IF(K8="A",4,6)),0)))))</f>
        <v/>
      </c>
      <c r="K8" s="4" t="str">
        <f t="shared" ref="K8" si="3">IF(OR(ISBLANK(D8),ISBLANK(F8)),IF(OR(B8="ALI",B8="AIE"),"L",IF(OR(B8="EE",B8="SE",B8="CE"),"A","")),IF(B8="EE",IF(F8&gt;=3,IF(D8&gt;=5,"H","A"),IF(F8&gt;=2,IF(D8&gt;=16,"H",IF(D8&lt;=4,"L","A")),IF(D8&lt;=15,"L","A"))),IF(OR(B8="SE",B8="CE"),IF(F8&gt;=4,IF(D8&gt;=6,"H","A"),IF(F8&gt;=2,IF(D8&gt;=20,"H",IF(D8&lt;=5,"L","A")),IF(D8&lt;=19,"L","A"))),IF(OR(B8="ALI",B8="AIE"),IF(F8&gt;=6,IF(D8&gt;=20,"H","A"),IF(F8&gt;=2,IF(D8&gt;=51,"H",IF(D8&lt;=19,"L","A")),IF(D8&lt;=50,"L","A"))),""))))</f>
        <v/>
      </c>
      <c r="L8" s="7" t="str">
        <f t="shared" ref="L8" si="4">CONCATENATE(B8,C8)</f>
        <v/>
      </c>
      <c r="M8" s="9" t="str">
        <f>IF(OR(J8="",J8=0),N8,J8)</f>
        <v/>
      </c>
      <c r="N8" s="9" t="str">
        <f>IF(NOT(ISERROR(VLOOKUP(B8,Deflatores!G$42:H$64,2,FALSE))),VLOOKUP(B8,Deflatores!G$42:H$64,2,FALSE),IF(OR(ISBLANK(C8),ISBLANK(B8)),"",VLOOKUP(C8,Deflatores!G$4:H$38,2,FALSE)*J8+VLOOKUP(C8,Deflatores!G$4:I$38,3,FALSE)))</f>
        <v/>
      </c>
      <c r="O8" s="5"/>
      <c r="P8" s="5"/>
      <c r="Q8" s="6"/>
      <c r="R8" s="10"/>
      <c r="S8" s="104"/>
      <c r="T8" s="162"/>
      <c r="U8" s="10"/>
    </row>
    <row r="9" spans="1:21" ht="21.75" customHeight="1" x14ac:dyDescent="0.2">
      <c r="A9" s="102"/>
      <c r="B9" s="2"/>
      <c r="C9" s="2"/>
      <c r="D9" s="2"/>
      <c r="E9" s="5"/>
      <c r="F9" s="2"/>
      <c r="G9" s="5"/>
      <c r="H9" s="8" t="str">
        <f t="shared" ref="H9:H72" si="5">IF(ISBLANK(B9),"",IF(K9="L","Baixa",IF(K9="A","Média",IF(K9="","","Alta"))))</f>
        <v/>
      </c>
      <c r="I9" s="7" t="str">
        <f t="shared" ref="I9:I72" si="6">CONCATENATE(B9,K9)</f>
        <v/>
      </c>
      <c r="J9" s="3" t="str">
        <f t="shared" ref="J9:J72" si="7">IF(ISBLANK(B9),"",IF(B9="ALI",IF(K9="L",7,IF(K9="A",10,15)),IF(B9="AIE",IF(K9="L",5,IF(K9="A",7,10)),IF(B9="SE",IF(K9="L",4,IF(K9="A",5,7)),IF(OR(B9="EE",B9="CE"),IF(K9="L",3,IF(K9="A",4,6)),0)))))</f>
        <v/>
      </c>
      <c r="K9" s="4" t="str">
        <f t="shared" ref="K9:K72" si="8">IF(OR(ISBLANK(D9),ISBLANK(F9)),IF(OR(B9="ALI",B9="AIE"),"L",IF(OR(B9="EE",B9="SE",B9="CE"),"A","")),IF(B9="EE",IF(F9&gt;=3,IF(D9&gt;=5,"H","A"),IF(F9&gt;=2,IF(D9&gt;=16,"H",IF(D9&lt;=4,"L","A")),IF(D9&lt;=15,"L","A"))),IF(OR(B9="SE",B9="CE"),IF(F9&gt;=4,IF(D9&gt;=6,"H","A"),IF(F9&gt;=2,IF(D9&gt;=20,"H",IF(D9&lt;=5,"L","A")),IF(D9&lt;=19,"L","A"))),IF(OR(B9="ALI",B9="AIE"),IF(F9&gt;=6,IF(D9&gt;=20,"H","A"),IF(F9&gt;=2,IF(D9&gt;=51,"H",IF(D9&lt;=19,"L","A")),IF(D9&lt;=50,"L","A"))),""))))</f>
        <v/>
      </c>
      <c r="L9" s="7" t="str">
        <f t="shared" ref="L9:L72" si="9">CONCATENATE(B9,C9)</f>
        <v/>
      </c>
      <c r="M9" s="9" t="str">
        <f t="shared" ref="M9:M72" si="10">IF(OR(J9="",J9=0),N9,J9)</f>
        <v/>
      </c>
      <c r="N9" s="9" t="str">
        <f>IF(NOT(ISERROR(VLOOKUP(B9,Deflatores!G$42:H$64,2,FALSE))),VLOOKUP(B9,Deflatores!G$42:H$64,2,FALSE),IF(OR(ISBLANK(C9),ISBLANK(B9)),"",VLOOKUP(C9,Deflatores!G$4:H$38,2,FALSE)*J9+VLOOKUP(C9,Deflatores!G$4:I$38,3,FALSE)))</f>
        <v/>
      </c>
      <c r="O9" s="5"/>
      <c r="P9" s="5"/>
      <c r="Q9" s="6"/>
      <c r="R9" s="10"/>
      <c r="S9" s="104"/>
      <c r="T9" s="162"/>
      <c r="U9" s="10"/>
    </row>
    <row r="10" spans="1:21" ht="21.75" customHeight="1" x14ac:dyDescent="0.2">
      <c r="A10" s="102"/>
      <c r="B10" s="2"/>
      <c r="C10" s="2"/>
      <c r="D10" s="2"/>
      <c r="E10" s="5"/>
      <c r="F10" s="2"/>
      <c r="G10" s="5"/>
      <c r="H10" s="8" t="str">
        <f t="shared" si="5"/>
        <v/>
      </c>
      <c r="I10" s="7" t="str">
        <f t="shared" si="6"/>
        <v/>
      </c>
      <c r="J10" s="3" t="str">
        <f t="shared" si="7"/>
        <v/>
      </c>
      <c r="K10" s="4" t="str">
        <f t="shared" si="8"/>
        <v/>
      </c>
      <c r="L10" s="7" t="str">
        <f t="shared" si="9"/>
        <v/>
      </c>
      <c r="M10" s="9" t="str">
        <f t="shared" si="10"/>
        <v/>
      </c>
      <c r="N10" s="9" t="str">
        <f>IF(NOT(ISERROR(VLOOKUP(B10,Deflatores!G$42:H$64,2,FALSE))),VLOOKUP(B10,Deflatores!G$42:H$64,2,FALSE),IF(OR(ISBLANK(C10),ISBLANK(B10)),"",VLOOKUP(C10,Deflatores!G$4:H$38,2,FALSE)*J10+VLOOKUP(C10,Deflatores!G$4:I$38,3,FALSE)))</f>
        <v/>
      </c>
      <c r="O10" s="5"/>
      <c r="P10" s="5"/>
      <c r="Q10" s="6"/>
      <c r="R10" s="10"/>
      <c r="S10" s="104"/>
      <c r="T10" s="162"/>
      <c r="U10" s="10"/>
    </row>
    <row r="11" spans="1:21" ht="21.75" customHeight="1" x14ac:dyDescent="0.2">
      <c r="A11" s="102"/>
      <c r="B11" s="2"/>
      <c r="C11" s="2"/>
      <c r="D11" s="2"/>
      <c r="E11" s="5"/>
      <c r="F11" s="2"/>
      <c r="G11" s="5"/>
      <c r="H11" s="8" t="str">
        <f t="shared" si="5"/>
        <v/>
      </c>
      <c r="I11" s="7" t="str">
        <f t="shared" si="6"/>
        <v/>
      </c>
      <c r="J11" s="3" t="str">
        <f t="shared" si="7"/>
        <v/>
      </c>
      <c r="K11" s="4" t="str">
        <f t="shared" si="8"/>
        <v/>
      </c>
      <c r="L11" s="7" t="str">
        <f t="shared" si="9"/>
        <v/>
      </c>
      <c r="M11" s="9" t="str">
        <f t="shared" si="10"/>
        <v/>
      </c>
      <c r="N11" s="9" t="str">
        <f>IF(NOT(ISERROR(VLOOKUP(B11,Deflatores!G$42:H$64,2,FALSE))),VLOOKUP(B11,Deflatores!G$42:H$64,2,FALSE),IF(OR(ISBLANK(C11),ISBLANK(B11)),"",VLOOKUP(C11,Deflatores!G$4:H$38,2,FALSE)*J11+VLOOKUP(C11,Deflatores!G$4:I$38,3,FALSE)))</f>
        <v/>
      </c>
      <c r="O11" s="5"/>
      <c r="P11" s="5"/>
      <c r="Q11" s="6"/>
      <c r="R11" s="10"/>
      <c r="S11" s="104"/>
      <c r="T11" s="162"/>
      <c r="U11" s="10"/>
    </row>
    <row r="12" spans="1:21" ht="21.75" customHeight="1" x14ac:dyDescent="0.2">
      <c r="A12" s="102"/>
      <c r="B12" s="2"/>
      <c r="C12" s="2"/>
      <c r="D12" s="2"/>
      <c r="E12" s="5"/>
      <c r="F12" s="2"/>
      <c r="G12" s="5"/>
      <c r="H12" s="8" t="str">
        <f t="shared" si="5"/>
        <v/>
      </c>
      <c r="I12" s="7" t="str">
        <f t="shared" si="6"/>
        <v/>
      </c>
      <c r="J12" s="3" t="str">
        <f t="shared" si="7"/>
        <v/>
      </c>
      <c r="K12" s="4" t="str">
        <f t="shared" si="8"/>
        <v/>
      </c>
      <c r="L12" s="7" t="str">
        <f t="shared" si="9"/>
        <v/>
      </c>
      <c r="M12" s="9" t="str">
        <f t="shared" si="10"/>
        <v/>
      </c>
      <c r="N12" s="9" t="str">
        <f>IF(NOT(ISERROR(VLOOKUP(B12,Deflatores!G$42:H$64,2,FALSE))),VLOOKUP(B12,Deflatores!G$42:H$64,2,FALSE),IF(OR(ISBLANK(C12),ISBLANK(B12)),"",VLOOKUP(C12,Deflatores!G$4:H$38,2,FALSE)*J12+VLOOKUP(C12,Deflatores!G$4:I$38,3,FALSE)))</f>
        <v/>
      </c>
      <c r="O12" s="5"/>
      <c r="P12" s="5"/>
      <c r="Q12" s="6"/>
      <c r="R12" s="10"/>
      <c r="S12" s="104"/>
      <c r="T12" s="162"/>
      <c r="U12" s="10"/>
    </row>
    <row r="13" spans="1:21" ht="21.75" customHeight="1" x14ac:dyDescent="0.2">
      <c r="A13" s="102"/>
      <c r="B13" s="2"/>
      <c r="C13" s="2"/>
      <c r="D13" s="2"/>
      <c r="E13" s="5"/>
      <c r="F13" s="2"/>
      <c r="G13" s="5"/>
      <c r="H13" s="8" t="str">
        <f t="shared" si="5"/>
        <v/>
      </c>
      <c r="I13" s="7" t="str">
        <f t="shared" si="6"/>
        <v/>
      </c>
      <c r="J13" s="3" t="str">
        <f t="shared" si="7"/>
        <v/>
      </c>
      <c r="K13" s="4" t="str">
        <f t="shared" si="8"/>
        <v/>
      </c>
      <c r="L13" s="7" t="str">
        <f t="shared" si="9"/>
        <v/>
      </c>
      <c r="M13" s="9" t="str">
        <f t="shared" si="10"/>
        <v/>
      </c>
      <c r="N13" s="9" t="str">
        <f>IF(NOT(ISERROR(VLOOKUP(B13,Deflatores!G$42:H$64,2,FALSE))),VLOOKUP(B13,Deflatores!G$42:H$64,2,FALSE),IF(OR(ISBLANK(C13),ISBLANK(B13)),"",VLOOKUP(C13,Deflatores!G$4:H$38,2,FALSE)*J13+VLOOKUP(C13,Deflatores!G$4:I$38,3,FALSE)))</f>
        <v/>
      </c>
      <c r="O13" s="5"/>
      <c r="P13" s="5"/>
      <c r="Q13" s="6"/>
      <c r="R13" s="10"/>
      <c r="S13" s="104"/>
      <c r="T13" s="162"/>
      <c r="U13" s="10"/>
    </row>
    <row r="14" spans="1:21" ht="21.75" customHeight="1" x14ac:dyDescent="0.2">
      <c r="A14" s="102"/>
      <c r="B14" s="2"/>
      <c r="C14" s="2"/>
      <c r="D14" s="2"/>
      <c r="E14" s="5"/>
      <c r="F14" s="2"/>
      <c r="G14" s="5"/>
      <c r="H14" s="8" t="str">
        <f t="shared" si="5"/>
        <v/>
      </c>
      <c r="I14" s="7" t="str">
        <f t="shared" si="6"/>
        <v/>
      </c>
      <c r="J14" s="3" t="str">
        <f t="shared" si="7"/>
        <v/>
      </c>
      <c r="K14" s="4" t="str">
        <f t="shared" si="8"/>
        <v/>
      </c>
      <c r="L14" s="7" t="str">
        <f t="shared" si="9"/>
        <v/>
      </c>
      <c r="M14" s="9" t="str">
        <f t="shared" si="10"/>
        <v/>
      </c>
      <c r="N14" s="9" t="str">
        <f>IF(NOT(ISERROR(VLOOKUP(B14,Deflatores!G$42:H$64,2,FALSE))),VLOOKUP(B14,Deflatores!G$42:H$64,2,FALSE),IF(OR(ISBLANK(C14),ISBLANK(B14)),"",VLOOKUP(C14,Deflatores!G$4:H$38,2,FALSE)*J14+VLOOKUP(C14,Deflatores!G$4:I$38,3,FALSE)))</f>
        <v/>
      </c>
      <c r="O14" s="5"/>
      <c r="P14" s="5"/>
      <c r="Q14" s="6"/>
      <c r="R14" s="10"/>
      <c r="S14" s="104"/>
      <c r="T14" s="162"/>
      <c r="U14" s="10"/>
    </row>
    <row r="15" spans="1:21" ht="21.75" customHeight="1" x14ac:dyDescent="0.2">
      <c r="A15" s="102"/>
      <c r="B15" s="2"/>
      <c r="C15" s="2"/>
      <c r="D15" s="2"/>
      <c r="E15" s="5"/>
      <c r="F15" s="2"/>
      <c r="G15" s="5"/>
      <c r="H15" s="8" t="str">
        <f t="shared" si="5"/>
        <v/>
      </c>
      <c r="I15" s="7" t="str">
        <f t="shared" si="6"/>
        <v/>
      </c>
      <c r="J15" s="3" t="str">
        <f t="shared" si="7"/>
        <v/>
      </c>
      <c r="K15" s="4" t="str">
        <f t="shared" si="8"/>
        <v/>
      </c>
      <c r="L15" s="7" t="str">
        <f t="shared" si="9"/>
        <v/>
      </c>
      <c r="M15" s="9" t="str">
        <f t="shared" si="10"/>
        <v/>
      </c>
      <c r="N15" s="9" t="str">
        <f>IF(NOT(ISERROR(VLOOKUP(B15,Deflatores!G$42:H$64,2,FALSE))),VLOOKUP(B15,Deflatores!G$42:H$64,2,FALSE),IF(OR(ISBLANK(C15),ISBLANK(B15)),"",VLOOKUP(C15,Deflatores!G$4:H$38,2,FALSE)*J15+VLOOKUP(C15,Deflatores!G$4:I$38,3,FALSE)))</f>
        <v/>
      </c>
      <c r="O15" s="5"/>
      <c r="P15" s="5"/>
      <c r="Q15" s="6"/>
      <c r="R15" s="10"/>
      <c r="S15" s="104"/>
      <c r="T15" s="162"/>
      <c r="U15" s="10"/>
    </row>
    <row r="16" spans="1:21" ht="21.75" customHeight="1" x14ac:dyDescent="0.2">
      <c r="A16" s="102"/>
      <c r="B16" s="2"/>
      <c r="C16" s="2"/>
      <c r="D16" s="2"/>
      <c r="E16" s="5"/>
      <c r="F16" s="2"/>
      <c r="G16" s="5"/>
      <c r="H16" s="8" t="str">
        <f t="shared" si="5"/>
        <v/>
      </c>
      <c r="I16" s="7" t="str">
        <f t="shared" si="6"/>
        <v/>
      </c>
      <c r="J16" s="3" t="str">
        <f t="shared" si="7"/>
        <v/>
      </c>
      <c r="K16" s="4" t="str">
        <f t="shared" si="8"/>
        <v/>
      </c>
      <c r="L16" s="7" t="str">
        <f t="shared" si="9"/>
        <v/>
      </c>
      <c r="M16" s="9" t="str">
        <f t="shared" si="10"/>
        <v/>
      </c>
      <c r="N16" s="9" t="str">
        <f>IF(NOT(ISERROR(VLOOKUP(B16,Deflatores!G$42:H$64,2,FALSE))),VLOOKUP(B16,Deflatores!G$42:H$64,2,FALSE),IF(OR(ISBLANK(C16),ISBLANK(B16)),"",VLOOKUP(C16,Deflatores!G$4:H$38,2,FALSE)*J16+VLOOKUP(C16,Deflatores!G$4:I$38,3,FALSE)))</f>
        <v/>
      </c>
      <c r="O16" s="5"/>
      <c r="P16" s="5"/>
      <c r="Q16" s="6"/>
      <c r="R16" s="10"/>
      <c r="S16" s="104"/>
      <c r="T16" s="162"/>
      <c r="U16" s="10"/>
    </row>
    <row r="17" spans="1:21" ht="21.75" customHeight="1" x14ac:dyDescent="0.2">
      <c r="A17" s="102"/>
      <c r="B17" s="2"/>
      <c r="C17" s="2"/>
      <c r="D17" s="2"/>
      <c r="E17" s="5"/>
      <c r="F17" s="2"/>
      <c r="G17" s="5"/>
      <c r="H17" s="8" t="str">
        <f t="shared" si="5"/>
        <v/>
      </c>
      <c r="I17" s="7" t="str">
        <f t="shared" si="6"/>
        <v/>
      </c>
      <c r="J17" s="3" t="str">
        <f t="shared" si="7"/>
        <v/>
      </c>
      <c r="K17" s="4" t="str">
        <f t="shared" si="8"/>
        <v/>
      </c>
      <c r="L17" s="7" t="str">
        <f t="shared" si="9"/>
        <v/>
      </c>
      <c r="M17" s="9" t="str">
        <f t="shared" si="10"/>
        <v/>
      </c>
      <c r="N17" s="9" t="str">
        <f>IF(NOT(ISERROR(VLOOKUP(B17,Deflatores!G$42:H$64,2,FALSE))),VLOOKUP(B17,Deflatores!G$42:H$64,2,FALSE),IF(OR(ISBLANK(C17),ISBLANK(B17)),"",VLOOKUP(C17,Deflatores!G$4:H$38,2,FALSE)*J17+VLOOKUP(C17,Deflatores!G$4:I$38,3,FALSE)))</f>
        <v/>
      </c>
      <c r="O17" s="5"/>
      <c r="P17" s="5"/>
      <c r="Q17" s="6"/>
      <c r="R17" s="10"/>
      <c r="S17" s="104"/>
      <c r="T17" s="162"/>
      <c r="U17" s="10"/>
    </row>
    <row r="18" spans="1:21" ht="21.75" customHeight="1" x14ac:dyDescent="0.2">
      <c r="A18" s="102"/>
      <c r="B18" s="2"/>
      <c r="C18" s="2"/>
      <c r="D18" s="2"/>
      <c r="E18" s="5"/>
      <c r="F18" s="2"/>
      <c r="G18" s="5"/>
      <c r="H18" s="8" t="str">
        <f t="shared" si="5"/>
        <v/>
      </c>
      <c r="I18" s="7" t="str">
        <f t="shared" si="6"/>
        <v/>
      </c>
      <c r="J18" s="3" t="str">
        <f t="shared" si="7"/>
        <v/>
      </c>
      <c r="K18" s="4" t="str">
        <f t="shared" si="8"/>
        <v/>
      </c>
      <c r="L18" s="7" t="str">
        <f t="shared" si="9"/>
        <v/>
      </c>
      <c r="M18" s="9" t="str">
        <f t="shared" si="10"/>
        <v/>
      </c>
      <c r="N18" s="9" t="str">
        <f>IF(NOT(ISERROR(VLOOKUP(B18,Deflatores!G$42:H$64,2,FALSE))),VLOOKUP(B18,Deflatores!G$42:H$64,2,FALSE),IF(OR(ISBLANK(C18),ISBLANK(B18)),"",VLOOKUP(C18,Deflatores!G$4:H$38,2,FALSE)*J18+VLOOKUP(C18,Deflatores!G$4:I$38,3,FALSE)))</f>
        <v/>
      </c>
      <c r="O18" s="5"/>
      <c r="P18" s="5"/>
      <c r="Q18" s="6"/>
      <c r="R18" s="10"/>
      <c r="S18" s="104"/>
      <c r="T18" s="162"/>
      <c r="U18" s="10"/>
    </row>
    <row r="19" spans="1:21" ht="21.75" customHeight="1" x14ac:dyDescent="0.2">
      <c r="A19" s="102"/>
      <c r="B19" s="2"/>
      <c r="C19" s="2"/>
      <c r="D19" s="2"/>
      <c r="E19" s="5"/>
      <c r="F19" s="2"/>
      <c r="G19" s="5"/>
      <c r="H19" s="8" t="str">
        <f t="shared" si="5"/>
        <v/>
      </c>
      <c r="I19" s="7" t="str">
        <f t="shared" si="6"/>
        <v/>
      </c>
      <c r="J19" s="3" t="str">
        <f t="shared" si="7"/>
        <v/>
      </c>
      <c r="K19" s="4" t="str">
        <f t="shared" si="8"/>
        <v/>
      </c>
      <c r="L19" s="7" t="str">
        <f t="shared" si="9"/>
        <v/>
      </c>
      <c r="M19" s="9" t="str">
        <f t="shared" si="10"/>
        <v/>
      </c>
      <c r="N19" s="9" t="str">
        <f>IF(NOT(ISERROR(VLOOKUP(B19,Deflatores!G$42:H$64,2,FALSE))),VLOOKUP(B19,Deflatores!G$42:H$64,2,FALSE),IF(OR(ISBLANK(C19),ISBLANK(B19)),"",VLOOKUP(C19,Deflatores!G$4:H$38,2,FALSE)*J19+VLOOKUP(C19,Deflatores!G$4:I$38,3,FALSE)))</f>
        <v/>
      </c>
      <c r="O19" s="5"/>
      <c r="P19" s="5"/>
      <c r="Q19" s="6"/>
      <c r="R19" s="10"/>
      <c r="S19" s="104"/>
      <c r="T19" s="162"/>
      <c r="U19" s="10"/>
    </row>
    <row r="20" spans="1:21" ht="21.75" customHeight="1" x14ac:dyDescent="0.2">
      <c r="A20" s="102"/>
      <c r="B20" s="2"/>
      <c r="C20" s="2"/>
      <c r="D20" s="2"/>
      <c r="E20" s="5"/>
      <c r="F20" s="2"/>
      <c r="G20" s="5"/>
      <c r="H20" s="8" t="str">
        <f t="shared" si="5"/>
        <v/>
      </c>
      <c r="I20" s="7" t="str">
        <f t="shared" si="6"/>
        <v/>
      </c>
      <c r="J20" s="3" t="str">
        <f t="shared" si="7"/>
        <v/>
      </c>
      <c r="K20" s="4" t="str">
        <f t="shared" si="8"/>
        <v/>
      </c>
      <c r="L20" s="7" t="str">
        <f t="shared" si="9"/>
        <v/>
      </c>
      <c r="M20" s="9" t="str">
        <f t="shared" si="10"/>
        <v/>
      </c>
      <c r="N20" s="9" t="str">
        <f>IF(NOT(ISERROR(VLOOKUP(B20,Deflatores!G$42:H$64,2,FALSE))),VLOOKUP(B20,Deflatores!G$42:H$64,2,FALSE),IF(OR(ISBLANK(C20),ISBLANK(B20)),"",VLOOKUP(C20,Deflatores!G$4:H$38,2,FALSE)*J20+VLOOKUP(C20,Deflatores!G$4:I$38,3,FALSE)))</f>
        <v/>
      </c>
      <c r="O20" s="5"/>
      <c r="P20" s="5"/>
      <c r="Q20" s="6"/>
      <c r="R20" s="10"/>
      <c r="S20" s="104"/>
      <c r="T20" s="162"/>
      <c r="U20" s="10"/>
    </row>
    <row r="21" spans="1:21" ht="21.75" customHeight="1" x14ac:dyDescent="0.2">
      <c r="A21" s="102"/>
      <c r="B21" s="2"/>
      <c r="C21" s="2"/>
      <c r="D21" s="2"/>
      <c r="E21" s="5"/>
      <c r="F21" s="2"/>
      <c r="G21" s="5"/>
      <c r="H21" s="8" t="str">
        <f t="shared" si="5"/>
        <v/>
      </c>
      <c r="I21" s="7" t="str">
        <f t="shared" si="6"/>
        <v/>
      </c>
      <c r="J21" s="3" t="str">
        <f t="shared" si="7"/>
        <v/>
      </c>
      <c r="K21" s="4" t="str">
        <f t="shared" si="8"/>
        <v/>
      </c>
      <c r="L21" s="7" t="str">
        <f t="shared" si="9"/>
        <v/>
      </c>
      <c r="M21" s="9" t="str">
        <f t="shared" si="10"/>
        <v/>
      </c>
      <c r="N21" s="9" t="str">
        <f>IF(NOT(ISERROR(VLOOKUP(B21,Deflatores!G$42:H$64,2,FALSE))),VLOOKUP(B21,Deflatores!G$42:H$64,2,FALSE),IF(OR(ISBLANK(C21),ISBLANK(B21)),"",VLOOKUP(C21,Deflatores!G$4:H$38,2,FALSE)*J21+VLOOKUP(C21,Deflatores!G$4:I$38,3,FALSE)))</f>
        <v/>
      </c>
      <c r="O21" s="5"/>
      <c r="P21" s="5"/>
      <c r="Q21" s="6"/>
      <c r="R21" s="10"/>
      <c r="S21" s="104"/>
      <c r="T21" s="162"/>
      <c r="U21" s="10"/>
    </row>
    <row r="22" spans="1:21" ht="21.75" customHeight="1" x14ac:dyDescent="0.2">
      <c r="A22" s="102"/>
      <c r="B22" s="2"/>
      <c r="C22" s="2"/>
      <c r="D22" s="2"/>
      <c r="E22" s="5"/>
      <c r="F22" s="2"/>
      <c r="G22" s="5"/>
      <c r="H22" s="8" t="str">
        <f t="shared" si="5"/>
        <v/>
      </c>
      <c r="I22" s="7" t="str">
        <f t="shared" si="6"/>
        <v/>
      </c>
      <c r="J22" s="3" t="str">
        <f t="shared" si="7"/>
        <v/>
      </c>
      <c r="K22" s="4" t="str">
        <f t="shared" si="8"/>
        <v/>
      </c>
      <c r="L22" s="7" t="str">
        <f t="shared" si="9"/>
        <v/>
      </c>
      <c r="M22" s="9" t="str">
        <f t="shared" si="10"/>
        <v/>
      </c>
      <c r="N22" s="9" t="str">
        <f>IF(NOT(ISERROR(VLOOKUP(B22,Deflatores!G$42:H$64,2,FALSE))),VLOOKUP(B22,Deflatores!G$42:H$64,2,FALSE),IF(OR(ISBLANK(C22),ISBLANK(B22)),"",VLOOKUP(C22,Deflatores!G$4:H$38,2,FALSE)*J22+VLOOKUP(C22,Deflatores!G$4:I$38,3,FALSE)))</f>
        <v/>
      </c>
      <c r="O22" s="5"/>
      <c r="P22" s="5"/>
      <c r="Q22" s="6"/>
      <c r="R22" s="10"/>
      <c r="S22" s="104"/>
      <c r="T22" s="162"/>
      <c r="U22" s="10"/>
    </row>
    <row r="23" spans="1:21" ht="21.75" customHeight="1" x14ac:dyDescent="0.2">
      <c r="A23" s="102"/>
      <c r="B23" s="2"/>
      <c r="C23" s="2"/>
      <c r="D23" s="2"/>
      <c r="E23" s="5"/>
      <c r="F23" s="2"/>
      <c r="G23" s="5"/>
      <c r="H23" s="8" t="str">
        <f t="shared" si="5"/>
        <v/>
      </c>
      <c r="I23" s="7" t="str">
        <f t="shared" si="6"/>
        <v/>
      </c>
      <c r="J23" s="3" t="str">
        <f t="shared" si="7"/>
        <v/>
      </c>
      <c r="K23" s="4" t="str">
        <f t="shared" si="8"/>
        <v/>
      </c>
      <c r="L23" s="7" t="str">
        <f t="shared" si="9"/>
        <v/>
      </c>
      <c r="M23" s="9" t="str">
        <f t="shared" si="10"/>
        <v/>
      </c>
      <c r="N23" s="9" t="str">
        <f>IF(NOT(ISERROR(VLOOKUP(B23,Deflatores!G$42:H$64,2,FALSE))),VLOOKUP(B23,Deflatores!G$42:H$64,2,FALSE),IF(OR(ISBLANK(C23),ISBLANK(B23)),"",VLOOKUP(C23,Deflatores!G$4:H$38,2,FALSE)*J23+VLOOKUP(C23,Deflatores!G$4:I$38,3,FALSE)))</f>
        <v/>
      </c>
      <c r="O23" s="5"/>
      <c r="P23" s="5"/>
      <c r="Q23" s="6"/>
      <c r="R23" s="10"/>
      <c r="S23" s="104"/>
      <c r="T23" s="162"/>
      <c r="U23" s="10"/>
    </row>
    <row r="24" spans="1:21" ht="21.75" customHeight="1" x14ac:dyDescent="0.2">
      <c r="A24" s="102"/>
      <c r="B24" s="2"/>
      <c r="C24" s="2"/>
      <c r="D24" s="2"/>
      <c r="E24" s="5"/>
      <c r="F24" s="2"/>
      <c r="G24" s="5"/>
      <c r="H24" s="8" t="str">
        <f t="shared" si="5"/>
        <v/>
      </c>
      <c r="I24" s="7" t="str">
        <f t="shared" si="6"/>
        <v/>
      </c>
      <c r="J24" s="3" t="str">
        <f t="shared" si="7"/>
        <v/>
      </c>
      <c r="K24" s="4" t="str">
        <f t="shared" si="8"/>
        <v/>
      </c>
      <c r="L24" s="7" t="str">
        <f t="shared" si="9"/>
        <v/>
      </c>
      <c r="M24" s="9" t="str">
        <f t="shared" si="10"/>
        <v/>
      </c>
      <c r="N24" s="9" t="str">
        <f>IF(NOT(ISERROR(VLOOKUP(B24,Deflatores!G$42:H$64,2,FALSE))),VLOOKUP(B24,Deflatores!G$42:H$64,2,FALSE),IF(OR(ISBLANK(C24),ISBLANK(B24)),"",VLOOKUP(C24,Deflatores!G$4:H$38,2,FALSE)*J24+VLOOKUP(C24,Deflatores!G$4:I$38,3,FALSE)))</f>
        <v/>
      </c>
      <c r="O24" s="5"/>
      <c r="P24" s="5"/>
      <c r="Q24" s="6"/>
      <c r="R24" s="10"/>
      <c r="S24" s="104"/>
      <c r="T24" s="162"/>
      <c r="U24" s="10"/>
    </row>
    <row r="25" spans="1:21" ht="21.75" customHeight="1" x14ac:dyDescent="0.2">
      <c r="A25" s="102"/>
      <c r="B25" s="2"/>
      <c r="C25" s="2"/>
      <c r="D25" s="2"/>
      <c r="E25" s="5"/>
      <c r="F25" s="2"/>
      <c r="G25" s="5"/>
      <c r="H25" s="8" t="str">
        <f t="shared" si="5"/>
        <v/>
      </c>
      <c r="I25" s="7" t="str">
        <f t="shared" si="6"/>
        <v/>
      </c>
      <c r="J25" s="3" t="str">
        <f t="shared" si="7"/>
        <v/>
      </c>
      <c r="K25" s="4" t="str">
        <f t="shared" si="8"/>
        <v/>
      </c>
      <c r="L25" s="7" t="str">
        <f t="shared" si="9"/>
        <v/>
      </c>
      <c r="M25" s="9" t="str">
        <f t="shared" si="10"/>
        <v/>
      </c>
      <c r="N25" s="9" t="str">
        <f>IF(NOT(ISERROR(VLOOKUP(B25,Deflatores!G$42:H$64,2,FALSE))),VLOOKUP(B25,Deflatores!G$42:H$64,2,FALSE),IF(OR(ISBLANK(C25),ISBLANK(B25)),"",VLOOKUP(C25,Deflatores!G$4:H$38,2,FALSE)*J25+VLOOKUP(C25,Deflatores!G$4:I$38,3,FALSE)))</f>
        <v/>
      </c>
      <c r="O25" s="5"/>
      <c r="P25" s="5"/>
      <c r="Q25" s="6"/>
      <c r="R25" s="10"/>
      <c r="S25" s="104"/>
      <c r="T25" s="162"/>
      <c r="U25" s="10"/>
    </row>
    <row r="26" spans="1:21" ht="21.75" customHeight="1" x14ac:dyDescent="0.2">
      <c r="A26" s="102"/>
      <c r="B26" s="2"/>
      <c r="C26" s="2"/>
      <c r="D26" s="2"/>
      <c r="E26" s="5"/>
      <c r="F26" s="2"/>
      <c r="G26" s="5"/>
      <c r="H26" s="8" t="str">
        <f t="shared" si="5"/>
        <v/>
      </c>
      <c r="I26" s="7" t="str">
        <f t="shared" si="6"/>
        <v/>
      </c>
      <c r="J26" s="3" t="str">
        <f t="shared" si="7"/>
        <v/>
      </c>
      <c r="K26" s="4" t="str">
        <f t="shared" si="8"/>
        <v/>
      </c>
      <c r="L26" s="7" t="str">
        <f t="shared" si="9"/>
        <v/>
      </c>
      <c r="M26" s="9" t="str">
        <f t="shared" si="10"/>
        <v/>
      </c>
      <c r="N26" s="9" t="str">
        <f>IF(NOT(ISERROR(VLOOKUP(B26,Deflatores!G$42:H$64,2,FALSE))),VLOOKUP(B26,Deflatores!G$42:H$64,2,FALSE),IF(OR(ISBLANK(C26),ISBLANK(B26)),"",VLOOKUP(C26,Deflatores!G$4:H$38,2,FALSE)*J26+VLOOKUP(C26,Deflatores!G$4:I$38,3,FALSE)))</f>
        <v/>
      </c>
      <c r="O26" s="5"/>
      <c r="P26" s="5"/>
      <c r="Q26" s="6"/>
      <c r="R26" s="10"/>
      <c r="S26" s="104"/>
      <c r="T26" s="162"/>
      <c r="U26" s="10"/>
    </row>
    <row r="27" spans="1:21" ht="21.75" customHeight="1" x14ac:dyDescent="0.2">
      <c r="A27" s="102"/>
      <c r="B27" s="2"/>
      <c r="C27" s="2"/>
      <c r="D27" s="2"/>
      <c r="E27" s="5"/>
      <c r="F27" s="2"/>
      <c r="G27" s="5"/>
      <c r="H27" s="8" t="str">
        <f t="shared" si="5"/>
        <v/>
      </c>
      <c r="I27" s="7" t="str">
        <f t="shared" si="6"/>
        <v/>
      </c>
      <c r="J27" s="3" t="str">
        <f t="shared" si="7"/>
        <v/>
      </c>
      <c r="K27" s="4" t="str">
        <f t="shared" si="8"/>
        <v/>
      </c>
      <c r="L27" s="7" t="str">
        <f t="shared" si="9"/>
        <v/>
      </c>
      <c r="M27" s="9" t="str">
        <f t="shared" si="10"/>
        <v/>
      </c>
      <c r="N27" s="9" t="str">
        <f>IF(NOT(ISERROR(VLOOKUP(B27,Deflatores!G$42:H$64,2,FALSE))),VLOOKUP(B27,Deflatores!G$42:H$64,2,FALSE),IF(OR(ISBLANK(C27),ISBLANK(B27)),"",VLOOKUP(C27,Deflatores!G$4:H$38,2,FALSE)*J27+VLOOKUP(C27,Deflatores!G$4:I$38,3,FALSE)))</f>
        <v/>
      </c>
      <c r="O27" s="5"/>
      <c r="P27" s="5"/>
      <c r="Q27" s="6"/>
      <c r="R27" s="10"/>
      <c r="S27" s="104"/>
      <c r="T27" s="162"/>
      <c r="U27" s="10"/>
    </row>
    <row r="28" spans="1:21" ht="21.75" customHeight="1" x14ac:dyDescent="0.2">
      <c r="A28" s="102"/>
      <c r="B28" s="2"/>
      <c r="C28" s="2"/>
      <c r="D28" s="2"/>
      <c r="E28" s="5"/>
      <c r="F28" s="2"/>
      <c r="G28" s="5"/>
      <c r="H28" s="8" t="str">
        <f t="shared" si="5"/>
        <v/>
      </c>
      <c r="I28" s="7" t="str">
        <f t="shared" si="6"/>
        <v/>
      </c>
      <c r="J28" s="3" t="str">
        <f t="shared" si="7"/>
        <v/>
      </c>
      <c r="K28" s="4" t="str">
        <f t="shared" si="8"/>
        <v/>
      </c>
      <c r="L28" s="7" t="str">
        <f t="shared" si="9"/>
        <v/>
      </c>
      <c r="M28" s="9" t="str">
        <f t="shared" si="10"/>
        <v/>
      </c>
      <c r="N28" s="9" t="str">
        <f>IF(NOT(ISERROR(VLOOKUP(B28,Deflatores!G$42:H$64,2,FALSE))),VLOOKUP(B28,Deflatores!G$42:H$64,2,FALSE),IF(OR(ISBLANK(C28),ISBLANK(B28)),"",VLOOKUP(C28,Deflatores!G$4:H$38,2,FALSE)*J28+VLOOKUP(C28,Deflatores!G$4:I$38,3,FALSE)))</f>
        <v/>
      </c>
      <c r="O28" s="5"/>
      <c r="P28" s="5"/>
      <c r="Q28" s="6"/>
      <c r="R28" s="10"/>
      <c r="S28" s="104"/>
      <c r="T28" s="162"/>
      <c r="U28" s="10"/>
    </row>
    <row r="29" spans="1:21" ht="21.75" customHeight="1" x14ac:dyDescent="0.2">
      <c r="A29" s="102"/>
      <c r="B29" s="2"/>
      <c r="C29" s="2"/>
      <c r="D29" s="2"/>
      <c r="E29" s="5"/>
      <c r="F29" s="2"/>
      <c r="G29" s="5"/>
      <c r="H29" s="8" t="str">
        <f t="shared" si="5"/>
        <v/>
      </c>
      <c r="I29" s="7" t="str">
        <f t="shared" si="6"/>
        <v/>
      </c>
      <c r="J29" s="3" t="str">
        <f t="shared" si="7"/>
        <v/>
      </c>
      <c r="K29" s="4" t="str">
        <f t="shared" si="8"/>
        <v/>
      </c>
      <c r="L29" s="7" t="str">
        <f t="shared" si="9"/>
        <v/>
      </c>
      <c r="M29" s="9" t="str">
        <f t="shared" si="10"/>
        <v/>
      </c>
      <c r="N29" s="9" t="str">
        <f>IF(NOT(ISERROR(VLOOKUP(B29,Deflatores!G$42:H$64,2,FALSE))),VLOOKUP(B29,Deflatores!G$42:H$64,2,FALSE),IF(OR(ISBLANK(C29),ISBLANK(B29)),"",VLOOKUP(C29,Deflatores!G$4:H$38,2,FALSE)*J29+VLOOKUP(C29,Deflatores!G$4:I$38,3,FALSE)))</f>
        <v/>
      </c>
      <c r="O29" s="5"/>
      <c r="P29" s="5"/>
      <c r="Q29" s="6"/>
      <c r="R29" s="10"/>
      <c r="S29" s="104"/>
      <c r="T29" s="162"/>
      <c r="U29" s="10"/>
    </row>
    <row r="30" spans="1:21" ht="21.75" customHeight="1" x14ac:dyDescent="0.2">
      <c r="A30" s="102"/>
      <c r="B30" s="2"/>
      <c r="C30" s="2"/>
      <c r="D30" s="2"/>
      <c r="E30" s="5"/>
      <c r="F30" s="2"/>
      <c r="G30" s="5"/>
      <c r="H30" s="8" t="str">
        <f t="shared" si="5"/>
        <v/>
      </c>
      <c r="I30" s="7" t="str">
        <f t="shared" si="6"/>
        <v/>
      </c>
      <c r="J30" s="3" t="str">
        <f t="shared" si="7"/>
        <v/>
      </c>
      <c r="K30" s="4" t="str">
        <f t="shared" si="8"/>
        <v/>
      </c>
      <c r="L30" s="7" t="str">
        <f t="shared" si="9"/>
        <v/>
      </c>
      <c r="M30" s="9" t="str">
        <f t="shared" si="10"/>
        <v/>
      </c>
      <c r="N30" s="9" t="str">
        <f>IF(NOT(ISERROR(VLOOKUP(B30,Deflatores!G$42:H$64,2,FALSE))),VLOOKUP(B30,Deflatores!G$42:H$64,2,FALSE),IF(OR(ISBLANK(C30),ISBLANK(B30)),"",VLOOKUP(C30,Deflatores!G$4:H$38,2,FALSE)*J30+VLOOKUP(C30,Deflatores!G$4:I$38,3,FALSE)))</f>
        <v/>
      </c>
      <c r="O30" s="5"/>
      <c r="P30" s="5"/>
      <c r="Q30" s="6"/>
      <c r="R30" s="10"/>
      <c r="S30" s="104"/>
      <c r="T30" s="162"/>
      <c r="U30" s="10"/>
    </row>
    <row r="31" spans="1:21" ht="21.75" customHeight="1" x14ac:dyDescent="0.2">
      <c r="A31" s="102"/>
      <c r="B31" s="2"/>
      <c r="C31" s="2"/>
      <c r="D31" s="2"/>
      <c r="E31" s="5"/>
      <c r="F31" s="2"/>
      <c r="G31" s="5"/>
      <c r="H31" s="8" t="str">
        <f t="shared" si="5"/>
        <v/>
      </c>
      <c r="I31" s="7" t="str">
        <f t="shared" si="6"/>
        <v/>
      </c>
      <c r="J31" s="3" t="str">
        <f t="shared" si="7"/>
        <v/>
      </c>
      <c r="K31" s="4" t="str">
        <f t="shared" si="8"/>
        <v/>
      </c>
      <c r="L31" s="7" t="str">
        <f t="shared" si="9"/>
        <v/>
      </c>
      <c r="M31" s="9" t="str">
        <f t="shared" si="10"/>
        <v/>
      </c>
      <c r="N31" s="9" t="str">
        <f>IF(NOT(ISERROR(VLOOKUP(B31,Deflatores!G$42:H$64,2,FALSE))),VLOOKUP(B31,Deflatores!G$42:H$64,2,FALSE),IF(OR(ISBLANK(C31),ISBLANK(B31)),"",VLOOKUP(C31,Deflatores!G$4:H$38,2,FALSE)*J31+VLOOKUP(C31,Deflatores!G$4:I$38,3,FALSE)))</f>
        <v/>
      </c>
      <c r="O31" s="5"/>
      <c r="P31" s="5"/>
      <c r="Q31" s="6"/>
      <c r="R31" s="10"/>
      <c r="S31" s="104"/>
      <c r="T31" s="162"/>
      <c r="U31" s="10"/>
    </row>
    <row r="32" spans="1:21" ht="21.75" customHeight="1" x14ac:dyDescent="0.2">
      <c r="A32" s="102"/>
      <c r="B32" s="2"/>
      <c r="C32" s="2"/>
      <c r="D32" s="2"/>
      <c r="E32" s="5"/>
      <c r="F32" s="2"/>
      <c r="G32" s="5"/>
      <c r="H32" s="8" t="str">
        <f t="shared" si="5"/>
        <v/>
      </c>
      <c r="I32" s="7" t="str">
        <f t="shared" si="6"/>
        <v/>
      </c>
      <c r="J32" s="3" t="str">
        <f t="shared" si="7"/>
        <v/>
      </c>
      <c r="K32" s="4" t="str">
        <f t="shared" si="8"/>
        <v/>
      </c>
      <c r="L32" s="7" t="str">
        <f t="shared" si="9"/>
        <v/>
      </c>
      <c r="M32" s="9" t="str">
        <f t="shared" si="10"/>
        <v/>
      </c>
      <c r="N32" s="9" t="str">
        <f>IF(NOT(ISERROR(VLOOKUP(B32,Deflatores!G$42:H$64,2,FALSE))),VLOOKUP(B32,Deflatores!G$42:H$64,2,FALSE),IF(OR(ISBLANK(C32),ISBLANK(B32)),"",VLOOKUP(C32,Deflatores!G$4:H$38,2,FALSE)*J32+VLOOKUP(C32,Deflatores!G$4:I$38,3,FALSE)))</f>
        <v/>
      </c>
      <c r="O32" s="5"/>
      <c r="P32" s="5"/>
      <c r="Q32" s="6"/>
      <c r="R32" s="10"/>
      <c r="S32" s="104"/>
      <c r="T32" s="162"/>
      <c r="U32" s="10"/>
    </row>
    <row r="33" spans="1:21" ht="21.75" customHeight="1" x14ac:dyDescent="0.2">
      <c r="A33" s="102"/>
      <c r="B33" s="2"/>
      <c r="C33" s="2"/>
      <c r="D33" s="2"/>
      <c r="E33" s="5"/>
      <c r="F33" s="2"/>
      <c r="G33" s="5"/>
      <c r="H33" s="8" t="str">
        <f t="shared" si="5"/>
        <v/>
      </c>
      <c r="I33" s="7" t="str">
        <f t="shared" si="6"/>
        <v/>
      </c>
      <c r="J33" s="3" t="str">
        <f t="shared" si="7"/>
        <v/>
      </c>
      <c r="K33" s="4" t="str">
        <f t="shared" si="8"/>
        <v/>
      </c>
      <c r="L33" s="7" t="str">
        <f t="shared" si="9"/>
        <v/>
      </c>
      <c r="M33" s="9" t="str">
        <f t="shared" si="10"/>
        <v/>
      </c>
      <c r="N33" s="9" t="str">
        <f>IF(NOT(ISERROR(VLOOKUP(B33,Deflatores!G$42:H$64,2,FALSE))),VLOOKUP(B33,Deflatores!G$42:H$64,2,FALSE),IF(OR(ISBLANK(C33),ISBLANK(B33)),"",VLOOKUP(C33,Deflatores!G$4:H$38,2,FALSE)*J33+VLOOKUP(C33,Deflatores!G$4:I$38,3,FALSE)))</f>
        <v/>
      </c>
      <c r="O33" s="5"/>
      <c r="P33" s="5"/>
      <c r="Q33" s="6"/>
      <c r="R33" s="10"/>
      <c r="S33" s="104"/>
      <c r="T33" s="162"/>
      <c r="U33" s="10"/>
    </row>
    <row r="34" spans="1:21" ht="21.75" customHeight="1" x14ac:dyDescent="0.2">
      <c r="A34" s="102"/>
      <c r="B34" s="2"/>
      <c r="C34" s="2"/>
      <c r="D34" s="2"/>
      <c r="E34" s="5"/>
      <c r="F34" s="2"/>
      <c r="G34" s="5"/>
      <c r="H34" s="8" t="str">
        <f t="shared" si="5"/>
        <v/>
      </c>
      <c r="I34" s="7" t="str">
        <f t="shared" si="6"/>
        <v/>
      </c>
      <c r="J34" s="3" t="str">
        <f t="shared" si="7"/>
        <v/>
      </c>
      <c r="K34" s="4" t="str">
        <f t="shared" si="8"/>
        <v/>
      </c>
      <c r="L34" s="7" t="str">
        <f t="shared" si="9"/>
        <v/>
      </c>
      <c r="M34" s="9" t="str">
        <f t="shared" si="10"/>
        <v/>
      </c>
      <c r="N34" s="9" t="str">
        <f>IF(NOT(ISERROR(VLOOKUP(B34,Deflatores!G$42:H$64,2,FALSE))),VLOOKUP(B34,Deflatores!G$42:H$64,2,FALSE),IF(OR(ISBLANK(C34),ISBLANK(B34)),"",VLOOKUP(C34,Deflatores!G$4:H$38,2,FALSE)*J34+VLOOKUP(C34,Deflatores!G$4:I$38,3,FALSE)))</f>
        <v/>
      </c>
      <c r="O34" s="5"/>
      <c r="P34" s="5"/>
      <c r="Q34" s="6"/>
      <c r="R34" s="10"/>
      <c r="S34" s="104"/>
      <c r="T34" s="162"/>
      <c r="U34" s="10"/>
    </row>
    <row r="35" spans="1:21" ht="21.75" customHeight="1" x14ac:dyDescent="0.2">
      <c r="A35" s="102"/>
      <c r="B35" s="2"/>
      <c r="C35" s="2"/>
      <c r="D35" s="2"/>
      <c r="E35" s="5"/>
      <c r="F35" s="2"/>
      <c r="G35" s="5"/>
      <c r="H35" s="8" t="str">
        <f t="shared" si="5"/>
        <v/>
      </c>
      <c r="I35" s="7" t="str">
        <f t="shared" si="6"/>
        <v/>
      </c>
      <c r="J35" s="3" t="str">
        <f t="shared" si="7"/>
        <v/>
      </c>
      <c r="K35" s="4" t="str">
        <f t="shared" si="8"/>
        <v/>
      </c>
      <c r="L35" s="7" t="str">
        <f t="shared" si="9"/>
        <v/>
      </c>
      <c r="M35" s="9" t="str">
        <f t="shared" si="10"/>
        <v/>
      </c>
      <c r="N35" s="9" t="str">
        <f>IF(NOT(ISERROR(VLOOKUP(B35,Deflatores!G$42:H$64,2,FALSE))),VLOOKUP(B35,Deflatores!G$42:H$64,2,FALSE),IF(OR(ISBLANK(C35),ISBLANK(B35)),"",VLOOKUP(C35,Deflatores!G$4:H$38,2,FALSE)*J35+VLOOKUP(C35,Deflatores!G$4:I$38,3,FALSE)))</f>
        <v/>
      </c>
      <c r="O35" s="5"/>
      <c r="P35" s="5"/>
      <c r="Q35" s="6"/>
      <c r="R35" s="10"/>
      <c r="S35" s="104"/>
      <c r="T35" s="162"/>
      <c r="U35" s="10"/>
    </row>
    <row r="36" spans="1:21" ht="21.75" customHeight="1" x14ac:dyDescent="0.2">
      <c r="A36" s="102"/>
      <c r="B36" s="2"/>
      <c r="C36" s="2"/>
      <c r="D36" s="2"/>
      <c r="E36" s="5"/>
      <c r="F36" s="2"/>
      <c r="G36" s="5"/>
      <c r="H36" s="8" t="str">
        <f t="shared" si="5"/>
        <v/>
      </c>
      <c r="I36" s="7" t="str">
        <f t="shared" si="6"/>
        <v/>
      </c>
      <c r="J36" s="3" t="str">
        <f t="shared" si="7"/>
        <v/>
      </c>
      <c r="K36" s="4" t="str">
        <f t="shared" si="8"/>
        <v/>
      </c>
      <c r="L36" s="7" t="str">
        <f t="shared" si="9"/>
        <v/>
      </c>
      <c r="M36" s="9" t="str">
        <f t="shared" si="10"/>
        <v/>
      </c>
      <c r="N36" s="9" t="str">
        <f>IF(NOT(ISERROR(VLOOKUP(B36,Deflatores!G$42:H$64,2,FALSE))),VLOOKUP(B36,Deflatores!G$42:H$64,2,FALSE),IF(OR(ISBLANK(C36),ISBLANK(B36)),"",VLOOKUP(C36,Deflatores!G$4:H$38,2,FALSE)*J36+VLOOKUP(C36,Deflatores!G$4:I$38,3,FALSE)))</f>
        <v/>
      </c>
      <c r="O36" s="5"/>
      <c r="P36" s="5"/>
      <c r="Q36" s="6"/>
      <c r="R36" s="10"/>
      <c r="S36" s="104"/>
      <c r="T36" s="162"/>
      <c r="U36" s="10"/>
    </row>
    <row r="37" spans="1:21" ht="21.75" customHeight="1" x14ac:dyDescent="0.2">
      <c r="A37" s="102"/>
      <c r="B37" s="2"/>
      <c r="C37" s="2"/>
      <c r="D37" s="2"/>
      <c r="E37" s="5"/>
      <c r="F37" s="2"/>
      <c r="G37" s="5"/>
      <c r="H37" s="8" t="str">
        <f t="shared" si="5"/>
        <v/>
      </c>
      <c r="I37" s="7" t="str">
        <f t="shared" si="6"/>
        <v/>
      </c>
      <c r="J37" s="3" t="str">
        <f t="shared" si="7"/>
        <v/>
      </c>
      <c r="K37" s="4" t="str">
        <f t="shared" si="8"/>
        <v/>
      </c>
      <c r="L37" s="7" t="str">
        <f t="shared" si="9"/>
        <v/>
      </c>
      <c r="M37" s="9" t="str">
        <f t="shared" si="10"/>
        <v/>
      </c>
      <c r="N37" s="9" t="str">
        <f>IF(NOT(ISERROR(VLOOKUP(B37,Deflatores!G$42:H$64,2,FALSE))),VLOOKUP(B37,Deflatores!G$42:H$64,2,FALSE),IF(OR(ISBLANK(C37),ISBLANK(B37)),"",VLOOKUP(C37,Deflatores!G$4:H$38,2,FALSE)*J37+VLOOKUP(C37,Deflatores!G$4:I$38,3,FALSE)))</f>
        <v/>
      </c>
      <c r="O37" s="5"/>
      <c r="P37" s="5"/>
      <c r="Q37" s="6"/>
      <c r="R37" s="10"/>
      <c r="S37" s="104"/>
      <c r="T37" s="162"/>
      <c r="U37" s="10"/>
    </row>
    <row r="38" spans="1:21" ht="21.75" customHeight="1" x14ac:dyDescent="0.2">
      <c r="A38" s="102"/>
      <c r="B38" s="2"/>
      <c r="C38" s="2"/>
      <c r="D38" s="2"/>
      <c r="E38" s="5"/>
      <c r="F38" s="2"/>
      <c r="G38" s="5"/>
      <c r="H38" s="8" t="str">
        <f t="shared" si="5"/>
        <v/>
      </c>
      <c r="I38" s="7" t="str">
        <f t="shared" si="6"/>
        <v/>
      </c>
      <c r="J38" s="3" t="str">
        <f t="shared" si="7"/>
        <v/>
      </c>
      <c r="K38" s="4" t="str">
        <f t="shared" si="8"/>
        <v/>
      </c>
      <c r="L38" s="7" t="str">
        <f t="shared" si="9"/>
        <v/>
      </c>
      <c r="M38" s="9" t="str">
        <f t="shared" si="10"/>
        <v/>
      </c>
      <c r="N38" s="9" t="str">
        <f>IF(NOT(ISERROR(VLOOKUP(B38,Deflatores!G$42:H$64,2,FALSE))),VLOOKUP(B38,Deflatores!G$42:H$64,2,FALSE),IF(OR(ISBLANK(C38),ISBLANK(B38)),"",VLOOKUP(C38,Deflatores!G$4:H$38,2,FALSE)*J38+VLOOKUP(C38,Deflatores!G$4:I$38,3,FALSE)))</f>
        <v/>
      </c>
      <c r="O38" s="5"/>
      <c r="P38" s="5"/>
      <c r="Q38" s="6"/>
      <c r="R38" s="10"/>
      <c r="S38" s="104"/>
      <c r="T38" s="162"/>
      <c r="U38" s="10"/>
    </row>
    <row r="39" spans="1:21" ht="21.75" customHeight="1" x14ac:dyDescent="0.2">
      <c r="A39" s="102"/>
      <c r="B39" s="2"/>
      <c r="C39" s="2"/>
      <c r="D39" s="2"/>
      <c r="E39" s="5"/>
      <c r="F39" s="2"/>
      <c r="G39" s="5"/>
      <c r="H39" s="8" t="str">
        <f t="shared" si="5"/>
        <v/>
      </c>
      <c r="I39" s="7" t="str">
        <f t="shared" si="6"/>
        <v/>
      </c>
      <c r="J39" s="3" t="str">
        <f t="shared" si="7"/>
        <v/>
      </c>
      <c r="K39" s="4" t="str">
        <f t="shared" si="8"/>
        <v/>
      </c>
      <c r="L39" s="7" t="str">
        <f t="shared" si="9"/>
        <v/>
      </c>
      <c r="M39" s="9" t="str">
        <f t="shared" si="10"/>
        <v/>
      </c>
      <c r="N39" s="9" t="str">
        <f>IF(NOT(ISERROR(VLOOKUP(B39,Deflatores!G$42:H$64,2,FALSE))),VLOOKUP(B39,Deflatores!G$42:H$64,2,FALSE),IF(OR(ISBLANK(C39),ISBLANK(B39)),"",VLOOKUP(C39,Deflatores!G$4:H$38,2,FALSE)*J39+VLOOKUP(C39,Deflatores!G$4:I$38,3,FALSE)))</f>
        <v/>
      </c>
      <c r="O39" s="5"/>
      <c r="P39" s="5"/>
      <c r="Q39" s="6"/>
      <c r="R39" s="10"/>
      <c r="S39" s="104"/>
      <c r="T39" s="162"/>
      <c r="U39" s="10"/>
    </row>
    <row r="40" spans="1:21" ht="21.75" customHeight="1" x14ac:dyDescent="0.2">
      <c r="A40" s="102"/>
      <c r="B40" s="2"/>
      <c r="C40" s="2"/>
      <c r="D40" s="2"/>
      <c r="E40" s="5"/>
      <c r="F40" s="2"/>
      <c r="G40" s="5"/>
      <c r="H40" s="8" t="str">
        <f t="shared" si="5"/>
        <v/>
      </c>
      <c r="I40" s="7" t="str">
        <f t="shared" si="6"/>
        <v/>
      </c>
      <c r="J40" s="3" t="str">
        <f t="shared" si="7"/>
        <v/>
      </c>
      <c r="K40" s="4" t="str">
        <f t="shared" si="8"/>
        <v/>
      </c>
      <c r="L40" s="7" t="str">
        <f t="shared" si="9"/>
        <v/>
      </c>
      <c r="M40" s="9" t="str">
        <f t="shared" si="10"/>
        <v/>
      </c>
      <c r="N40" s="9" t="str">
        <f>IF(NOT(ISERROR(VLOOKUP(B40,Deflatores!G$42:H$64,2,FALSE))),VLOOKUP(B40,Deflatores!G$42:H$64,2,FALSE),IF(OR(ISBLANK(C40),ISBLANK(B40)),"",VLOOKUP(C40,Deflatores!G$4:H$38,2,FALSE)*J40+VLOOKUP(C40,Deflatores!G$4:I$38,3,FALSE)))</f>
        <v/>
      </c>
      <c r="O40" s="5"/>
      <c r="P40" s="5"/>
      <c r="Q40" s="6"/>
      <c r="R40" s="10"/>
      <c r="S40" s="104"/>
      <c r="T40" s="162"/>
      <c r="U40" s="10"/>
    </row>
    <row r="41" spans="1:21" ht="21.75" customHeight="1" x14ac:dyDescent="0.2">
      <c r="A41" s="102"/>
      <c r="B41" s="2"/>
      <c r="C41" s="2"/>
      <c r="D41" s="2"/>
      <c r="E41" s="5"/>
      <c r="F41" s="2"/>
      <c r="G41" s="5"/>
      <c r="H41" s="8" t="str">
        <f t="shared" si="5"/>
        <v/>
      </c>
      <c r="I41" s="7" t="str">
        <f t="shared" si="6"/>
        <v/>
      </c>
      <c r="J41" s="3" t="str">
        <f t="shared" si="7"/>
        <v/>
      </c>
      <c r="K41" s="4" t="str">
        <f t="shared" si="8"/>
        <v/>
      </c>
      <c r="L41" s="7" t="str">
        <f t="shared" si="9"/>
        <v/>
      </c>
      <c r="M41" s="9" t="str">
        <f t="shared" si="10"/>
        <v/>
      </c>
      <c r="N41" s="9" t="str">
        <f>IF(NOT(ISERROR(VLOOKUP(B41,Deflatores!G$42:H$64,2,FALSE))),VLOOKUP(B41,Deflatores!G$42:H$64,2,FALSE),IF(OR(ISBLANK(C41),ISBLANK(B41)),"",VLOOKUP(C41,Deflatores!G$4:H$38,2,FALSE)*J41+VLOOKUP(C41,Deflatores!G$4:I$38,3,FALSE)))</f>
        <v/>
      </c>
      <c r="O41" s="5"/>
      <c r="P41" s="5"/>
      <c r="Q41" s="6"/>
      <c r="R41" s="10"/>
      <c r="S41" s="104"/>
      <c r="T41" s="162"/>
      <c r="U41" s="10"/>
    </row>
    <row r="42" spans="1:21" ht="21.75" customHeight="1" x14ac:dyDescent="0.2">
      <c r="A42" s="102"/>
      <c r="B42" s="2"/>
      <c r="C42" s="2"/>
      <c r="D42" s="2"/>
      <c r="E42" s="5"/>
      <c r="F42" s="2"/>
      <c r="G42" s="5"/>
      <c r="H42" s="8" t="str">
        <f t="shared" si="5"/>
        <v/>
      </c>
      <c r="I42" s="7" t="str">
        <f t="shared" si="6"/>
        <v/>
      </c>
      <c r="J42" s="3" t="str">
        <f t="shared" si="7"/>
        <v/>
      </c>
      <c r="K42" s="4" t="str">
        <f t="shared" si="8"/>
        <v/>
      </c>
      <c r="L42" s="7" t="str">
        <f t="shared" si="9"/>
        <v/>
      </c>
      <c r="M42" s="9" t="str">
        <f t="shared" si="10"/>
        <v/>
      </c>
      <c r="N42" s="9" t="str">
        <f>IF(NOT(ISERROR(VLOOKUP(B42,Deflatores!G$42:H$64,2,FALSE))),VLOOKUP(B42,Deflatores!G$42:H$64,2,FALSE),IF(OR(ISBLANK(C42),ISBLANK(B42)),"",VLOOKUP(C42,Deflatores!G$4:H$38,2,FALSE)*J42+VLOOKUP(C42,Deflatores!G$4:I$38,3,FALSE)))</f>
        <v/>
      </c>
      <c r="O42" s="5"/>
      <c r="P42" s="5"/>
      <c r="Q42" s="6"/>
      <c r="R42" s="10"/>
      <c r="S42" s="104"/>
      <c r="T42" s="162"/>
      <c r="U42" s="10"/>
    </row>
    <row r="43" spans="1:21" ht="21.75" customHeight="1" x14ac:dyDescent="0.2">
      <c r="A43" s="102"/>
      <c r="B43" s="2"/>
      <c r="C43" s="2"/>
      <c r="D43" s="2"/>
      <c r="E43" s="5"/>
      <c r="F43" s="2"/>
      <c r="G43" s="5"/>
      <c r="H43" s="8" t="str">
        <f t="shared" si="5"/>
        <v/>
      </c>
      <c r="I43" s="7" t="str">
        <f t="shared" si="6"/>
        <v/>
      </c>
      <c r="J43" s="3" t="str">
        <f t="shared" si="7"/>
        <v/>
      </c>
      <c r="K43" s="4" t="str">
        <f t="shared" si="8"/>
        <v/>
      </c>
      <c r="L43" s="7" t="str">
        <f t="shared" si="9"/>
        <v/>
      </c>
      <c r="M43" s="9" t="str">
        <f t="shared" si="10"/>
        <v/>
      </c>
      <c r="N43" s="9" t="str">
        <f>IF(NOT(ISERROR(VLOOKUP(B43,Deflatores!G$42:H$64,2,FALSE))),VLOOKUP(B43,Deflatores!G$42:H$64,2,FALSE),IF(OR(ISBLANK(C43),ISBLANK(B43)),"",VLOOKUP(C43,Deflatores!G$4:H$38,2,FALSE)*J43+VLOOKUP(C43,Deflatores!G$4:I$38,3,FALSE)))</f>
        <v/>
      </c>
      <c r="O43" s="5"/>
      <c r="P43" s="5"/>
      <c r="Q43" s="6"/>
      <c r="R43" s="10"/>
      <c r="S43" s="104"/>
      <c r="T43" s="162"/>
      <c r="U43" s="10"/>
    </row>
    <row r="44" spans="1:21" ht="21.75" customHeight="1" x14ac:dyDescent="0.2">
      <c r="A44" s="102"/>
      <c r="B44" s="2"/>
      <c r="C44" s="2"/>
      <c r="D44" s="2"/>
      <c r="E44" s="5"/>
      <c r="F44" s="2"/>
      <c r="G44" s="5"/>
      <c r="H44" s="8" t="str">
        <f t="shared" si="5"/>
        <v/>
      </c>
      <c r="I44" s="7" t="str">
        <f t="shared" si="6"/>
        <v/>
      </c>
      <c r="J44" s="3" t="str">
        <f t="shared" si="7"/>
        <v/>
      </c>
      <c r="K44" s="4" t="str">
        <f t="shared" si="8"/>
        <v/>
      </c>
      <c r="L44" s="7" t="str">
        <f t="shared" si="9"/>
        <v/>
      </c>
      <c r="M44" s="9" t="str">
        <f t="shared" si="10"/>
        <v/>
      </c>
      <c r="N44" s="9" t="str">
        <f>IF(NOT(ISERROR(VLOOKUP(B44,Deflatores!G$42:H$64,2,FALSE))),VLOOKUP(B44,Deflatores!G$42:H$64,2,FALSE),IF(OR(ISBLANK(C44),ISBLANK(B44)),"",VLOOKUP(C44,Deflatores!G$4:H$38,2,FALSE)*J44+VLOOKUP(C44,Deflatores!G$4:I$38,3,FALSE)))</f>
        <v/>
      </c>
      <c r="O44" s="5"/>
      <c r="P44" s="5"/>
      <c r="Q44" s="6"/>
      <c r="R44" s="10"/>
      <c r="S44" s="104"/>
      <c r="T44" s="162"/>
      <c r="U44" s="10"/>
    </row>
    <row r="45" spans="1:21" ht="21.75" customHeight="1" x14ac:dyDescent="0.2">
      <c r="A45" s="102"/>
      <c r="B45" s="2"/>
      <c r="C45" s="2"/>
      <c r="D45" s="2"/>
      <c r="E45" s="5"/>
      <c r="F45" s="2"/>
      <c r="G45" s="5"/>
      <c r="H45" s="8" t="str">
        <f t="shared" si="5"/>
        <v/>
      </c>
      <c r="I45" s="7" t="str">
        <f t="shared" si="6"/>
        <v/>
      </c>
      <c r="J45" s="3" t="str">
        <f t="shared" si="7"/>
        <v/>
      </c>
      <c r="K45" s="4" t="str">
        <f t="shared" si="8"/>
        <v/>
      </c>
      <c r="L45" s="7" t="str">
        <f t="shared" si="9"/>
        <v/>
      </c>
      <c r="M45" s="9" t="str">
        <f t="shared" si="10"/>
        <v/>
      </c>
      <c r="N45" s="9" t="str">
        <f>IF(NOT(ISERROR(VLOOKUP(B45,Deflatores!G$42:H$64,2,FALSE))),VLOOKUP(B45,Deflatores!G$42:H$64,2,FALSE),IF(OR(ISBLANK(C45),ISBLANK(B45)),"",VLOOKUP(C45,Deflatores!G$4:H$38,2,FALSE)*J45+VLOOKUP(C45,Deflatores!G$4:I$38,3,FALSE)))</f>
        <v/>
      </c>
      <c r="O45" s="5"/>
      <c r="P45" s="5"/>
      <c r="Q45" s="6"/>
      <c r="R45" s="10"/>
      <c r="S45" s="104"/>
      <c r="T45" s="162"/>
      <c r="U45" s="10"/>
    </row>
    <row r="46" spans="1:21" ht="21.75" customHeight="1" x14ac:dyDescent="0.2">
      <c r="A46" s="102"/>
      <c r="B46" s="2"/>
      <c r="C46" s="2"/>
      <c r="D46" s="2"/>
      <c r="E46" s="5"/>
      <c r="F46" s="2"/>
      <c r="G46" s="5"/>
      <c r="H46" s="8" t="str">
        <f t="shared" si="5"/>
        <v/>
      </c>
      <c r="I46" s="7" t="str">
        <f t="shared" si="6"/>
        <v/>
      </c>
      <c r="J46" s="3" t="str">
        <f t="shared" si="7"/>
        <v/>
      </c>
      <c r="K46" s="4" t="str">
        <f t="shared" si="8"/>
        <v/>
      </c>
      <c r="L46" s="7" t="str">
        <f t="shared" si="9"/>
        <v/>
      </c>
      <c r="M46" s="9" t="str">
        <f t="shared" si="10"/>
        <v/>
      </c>
      <c r="N46" s="9" t="str">
        <f>IF(NOT(ISERROR(VLOOKUP(B46,Deflatores!G$42:H$64,2,FALSE))),VLOOKUP(B46,Deflatores!G$42:H$64,2,FALSE),IF(OR(ISBLANK(C46),ISBLANK(B46)),"",VLOOKUP(C46,Deflatores!G$4:H$38,2,FALSE)*J46+VLOOKUP(C46,Deflatores!G$4:I$38,3,FALSE)))</f>
        <v/>
      </c>
      <c r="O46" s="5"/>
      <c r="P46" s="5"/>
      <c r="Q46" s="6"/>
      <c r="R46" s="10"/>
      <c r="S46" s="104"/>
      <c r="T46" s="162"/>
      <c r="U46" s="10"/>
    </row>
    <row r="47" spans="1:21" ht="21.75" customHeight="1" x14ac:dyDescent="0.2">
      <c r="A47" s="102"/>
      <c r="B47" s="2"/>
      <c r="C47" s="2"/>
      <c r="D47" s="2"/>
      <c r="E47" s="5"/>
      <c r="F47" s="2"/>
      <c r="G47" s="5"/>
      <c r="H47" s="8" t="str">
        <f t="shared" si="5"/>
        <v/>
      </c>
      <c r="I47" s="7" t="str">
        <f t="shared" si="6"/>
        <v/>
      </c>
      <c r="J47" s="3" t="str">
        <f t="shared" si="7"/>
        <v/>
      </c>
      <c r="K47" s="4" t="str">
        <f t="shared" si="8"/>
        <v/>
      </c>
      <c r="L47" s="7" t="str">
        <f t="shared" si="9"/>
        <v/>
      </c>
      <c r="M47" s="9" t="str">
        <f t="shared" si="10"/>
        <v/>
      </c>
      <c r="N47" s="9" t="str">
        <f>IF(NOT(ISERROR(VLOOKUP(B47,Deflatores!G$42:H$64,2,FALSE))),VLOOKUP(B47,Deflatores!G$42:H$64,2,FALSE),IF(OR(ISBLANK(C47),ISBLANK(B47)),"",VLOOKUP(C47,Deflatores!G$4:H$38,2,FALSE)*J47+VLOOKUP(C47,Deflatores!G$4:I$38,3,FALSE)))</f>
        <v/>
      </c>
      <c r="O47" s="5"/>
      <c r="P47" s="5"/>
      <c r="Q47" s="6"/>
      <c r="R47" s="10"/>
      <c r="S47" s="104"/>
      <c r="T47" s="162"/>
      <c r="U47" s="10"/>
    </row>
    <row r="48" spans="1:21" ht="21.75" customHeight="1" x14ac:dyDescent="0.2">
      <c r="A48" s="102"/>
      <c r="B48" s="2"/>
      <c r="C48" s="2"/>
      <c r="D48" s="2"/>
      <c r="E48" s="5"/>
      <c r="F48" s="2"/>
      <c r="G48" s="5"/>
      <c r="H48" s="8" t="str">
        <f t="shared" si="5"/>
        <v/>
      </c>
      <c r="I48" s="7" t="str">
        <f t="shared" si="6"/>
        <v/>
      </c>
      <c r="J48" s="3" t="str">
        <f t="shared" si="7"/>
        <v/>
      </c>
      <c r="K48" s="4" t="str">
        <f t="shared" si="8"/>
        <v/>
      </c>
      <c r="L48" s="7" t="str">
        <f t="shared" si="9"/>
        <v/>
      </c>
      <c r="M48" s="9" t="str">
        <f t="shared" si="10"/>
        <v/>
      </c>
      <c r="N48" s="9" t="str">
        <f>IF(NOT(ISERROR(VLOOKUP(B48,Deflatores!G$42:H$64,2,FALSE))),VLOOKUP(B48,Deflatores!G$42:H$64,2,FALSE),IF(OR(ISBLANK(C48),ISBLANK(B48)),"",VLOOKUP(C48,Deflatores!G$4:H$38,2,FALSE)*J48+VLOOKUP(C48,Deflatores!G$4:I$38,3,FALSE)))</f>
        <v/>
      </c>
      <c r="O48" s="5"/>
      <c r="P48" s="5"/>
      <c r="Q48" s="6"/>
      <c r="R48" s="10"/>
      <c r="S48" s="104"/>
      <c r="T48" s="162"/>
      <c r="U48" s="10"/>
    </row>
    <row r="49" spans="1:21" ht="21.75" customHeight="1" x14ac:dyDescent="0.2">
      <c r="A49" s="102"/>
      <c r="B49" s="2"/>
      <c r="C49" s="2"/>
      <c r="D49" s="2"/>
      <c r="E49" s="5"/>
      <c r="F49" s="2"/>
      <c r="G49" s="5"/>
      <c r="H49" s="8" t="str">
        <f t="shared" si="5"/>
        <v/>
      </c>
      <c r="I49" s="7" t="str">
        <f t="shared" si="6"/>
        <v/>
      </c>
      <c r="J49" s="3" t="str">
        <f t="shared" si="7"/>
        <v/>
      </c>
      <c r="K49" s="4" t="str">
        <f t="shared" si="8"/>
        <v/>
      </c>
      <c r="L49" s="7" t="str">
        <f t="shared" si="9"/>
        <v/>
      </c>
      <c r="M49" s="9" t="str">
        <f t="shared" si="10"/>
        <v/>
      </c>
      <c r="N49" s="9" t="str">
        <f>IF(NOT(ISERROR(VLOOKUP(B49,Deflatores!G$42:H$64,2,FALSE))),VLOOKUP(B49,Deflatores!G$42:H$64,2,FALSE),IF(OR(ISBLANK(C49),ISBLANK(B49)),"",VLOOKUP(C49,Deflatores!G$4:H$38,2,FALSE)*J49+VLOOKUP(C49,Deflatores!G$4:I$38,3,FALSE)))</f>
        <v/>
      </c>
      <c r="O49" s="5"/>
      <c r="P49" s="5"/>
      <c r="Q49" s="6"/>
      <c r="R49" s="10"/>
      <c r="S49" s="104"/>
      <c r="T49" s="162"/>
      <c r="U49" s="10"/>
    </row>
    <row r="50" spans="1:21" ht="21.75" customHeight="1" x14ac:dyDescent="0.2">
      <c r="A50" s="102"/>
      <c r="B50" s="2"/>
      <c r="C50" s="2"/>
      <c r="D50" s="2"/>
      <c r="E50" s="5"/>
      <c r="F50" s="2"/>
      <c r="G50" s="5"/>
      <c r="H50" s="8" t="str">
        <f t="shared" si="5"/>
        <v/>
      </c>
      <c r="I50" s="7" t="str">
        <f t="shared" si="6"/>
        <v/>
      </c>
      <c r="J50" s="3" t="str">
        <f t="shared" si="7"/>
        <v/>
      </c>
      <c r="K50" s="4" t="str">
        <f t="shared" si="8"/>
        <v/>
      </c>
      <c r="L50" s="7" t="str">
        <f t="shared" si="9"/>
        <v/>
      </c>
      <c r="M50" s="9" t="str">
        <f t="shared" si="10"/>
        <v/>
      </c>
      <c r="N50" s="9" t="str">
        <f>IF(NOT(ISERROR(VLOOKUP(B50,Deflatores!G$42:H$64,2,FALSE))),VLOOKUP(B50,Deflatores!G$42:H$64,2,FALSE),IF(OR(ISBLANK(C50),ISBLANK(B50)),"",VLOOKUP(C50,Deflatores!G$4:H$38,2,FALSE)*J50+VLOOKUP(C50,Deflatores!G$4:I$38,3,FALSE)))</f>
        <v/>
      </c>
      <c r="O50" s="5"/>
      <c r="P50" s="5"/>
      <c r="Q50" s="6"/>
      <c r="R50" s="10"/>
      <c r="S50" s="104"/>
      <c r="T50" s="162"/>
      <c r="U50" s="10"/>
    </row>
    <row r="51" spans="1:21" ht="21.75" customHeight="1" x14ac:dyDescent="0.2">
      <c r="A51" s="102"/>
      <c r="B51" s="2"/>
      <c r="C51" s="2"/>
      <c r="D51" s="2"/>
      <c r="E51" s="5"/>
      <c r="F51" s="2"/>
      <c r="G51" s="5"/>
      <c r="H51" s="8" t="str">
        <f t="shared" si="5"/>
        <v/>
      </c>
      <c r="I51" s="7" t="str">
        <f t="shared" si="6"/>
        <v/>
      </c>
      <c r="J51" s="3" t="str">
        <f t="shared" si="7"/>
        <v/>
      </c>
      <c r="K51" s="4" t="str">
        <f t="shared" si="8"/>
        <v/>
      </c>
      <c r="L51" s="7" t="str">
        <f t="shared" si="9"/>
        <v/>
      </c>
      <c r="M51" s="9" t="str">
        <f t="shared" si="10"/>
        <v/>
      </c>
      <c r="N51" s="9" t="str">
        <f>IF(NOT(ISERROR(VLOOKUP(B51,Deflatores!G$42:H$64,2,FALSE))),VLOOKUP(B51,Deflatores!G$42:H$64,2,FALSE),IF(OR(ISBLANK(C51),ISBLANK(B51)),"",VLOOKUP(C51,Deflatores!G$4:H$38,2,FALSE)*J51+VLOOKUP(C51,Deflatores!G$4:I$38,3,FALSE)))</f>
        <v/>
      </c>
      <c r="O51" s="5"/>
      <c r="P51" s="5"/>
      <c r="Q51" s="6"/>
      <c r="R51" s="10"/>
      <c r="S51" s="104"/>
      <c r="T51" s="162"/>
      <c r="U51" s="10"/>
    </row>
    <row r="52" spans="1:21" ht="21.75" customHeight="1" x14ac:dyDescent="0.2">
      <c r="A52" s="102"/>
      <c r="B52" s="2"/>
      <c r="C52" s="2"/>
      <c r="D52" s="2"/>
      <c r="E52" s="5"/>
      <c r="F52" s="2"/>
      <c r="G52" s="5"/>
      <c r="H52" s="8" t="str">
        <f t="shared" si="5"/>
        <v/>
      </c>
      <c r="I52" s="7" t="str">
        <f t="shared" si="6"/>
        <v/>
      </c>
      <c r="J52" s="3" t="str">
        <f t="shared" si="7"/>
        <v/>
      </c>
      <c r="K52" s="4" t="str">
        <f t="shared" si="8"/>
        <v/>
      </c>
      <c r="L52" s="7" t="str">
        <f t="shared" si="9"/>
        <v/>
      </c>
      <c r="M52" s="9" t="str">
        <f t="shared" si="10"/>
        <v/>
      </c>
      <c r="N52" s="9" t="str">
        <f>IF(NOT(ISERROR(VLOOKUP(B52,Deflatores!G$42:H$64,2,FALSE))),VLOOKUP(B52,Deflatores!G$42:H$64,2,FALSE),IF(OR(ISBLANK(C52),ISBLANK(B52)),"",VLOOKUP(C52,Deflatores!G$4:H$38,2,FALSE)*J52+VLOOKUP(C52,Deflatores!G$4:I$38,3,FALSE)))</f>
        <v/>
      </c>
      <c r="O52" s="5"/>
      <c r="P52" s="5"/>
      <c r="Q52" s="6"/>
      <c r="R52" s="10"/>
      <c r="S52" s="104"/>
      <c r="T52" s="162"/>
      <c r="U52" s="10"/>
    </row>
    <row r="53" spans="1:21" ht="21.75" customHeight="1" x14ac:dyDescent="0.2">
      <c r="A53" s="102"/>
      <c r="B53" s="2"/>
      <c r="C53" s="2"/>
      <c r="D53" s="2"/>
      <c r="E53" s="5"/>
      <c r="F53" s="2"/>
      <c r="G53" s="5"/>
      <c r="H53" s="8" t="str">
        <f t="shared" si="5"/>
        <v/>
      </c>
      <c r="I53" s="7" t="str">
        <f t="shared" si="6"/>
        <v/>
      </c>
      <c r="J53" s="3" t="str">
        <f t="shared" si="7"/>
        <v/>
      </c>
      <c r="K53" s="4" t="str">
        <f t="shared" si="8"/>
        <v/>
      </c>
      <c r="L53" s="7" t="str">
        <f t="shared" si="9"/>
        <v/>
      </c>
      <c r="M53" s="9" t="str">
        <f t="shared" si="10"/>
        <v/>
      </c>
      <c r="N53" s="9" t="str">
        <f>IF(NOT(ISERROR(VLOOKUP(B53,Deflatores!G$42:H$64,2,FALSE))),VLOOKUP(B53,Deflatores!G$42:H$64,2,FALSE),IF(OR(ISBLANK(C53),ISBLANK(B53)),"",VLOOKUP(C53,Deflatores!G$4:H$38,2,FALSE)*J53+VLOOKUP(C53,Deflatores!G$4:I$38,3,FALSE)))</f>
        <v/>
      </c>
      <c r="O53" s="5"/>
      <c r="P53" s="5"/>
      <c r="Q53" s="6"/>
      <c r="R53" s="10"/>
      <c r="S53" s="104"/>
      <c r="T53" s="162"/>
      <c r="U53" s="10"/>
    </row>
    <row r="54" spans="1:21" ht="21.75" customHeight="1" x14ac:dyDescent="0.2">
      <c r="A54" s="102"/>
      <c r="B54" s="2"/>
      <c r="C54" s="2"/>
      <c r="D54" s="2"/>
      <c r="E54" s="5"/>
      <c r="F54" s="2"/>
      <c r="G54" s="5"/>
      <c r="H54" s="8" t="str">
        <f t="shared" si="5"/>
        <v/>
      </c>
      <c r="I54" s="7" t="str">
        <f t="shared" si="6"/>
        <v/>
      </c>
      <c r="J54" s="3" t="str">
        <f t="shared" si="7"/>
        <v/>
      </c>
      <c r="K54" s="4" t="str">
        <f t="shared" si="8"/>
        <v/>
      </c>
      <c r="L54" s="7" t="str">
        <f t="shared" si="9"/>
        <v/>
      </c>
      <c r="M54" s="9" t="str">
        <f t="shared" si="10"/>
        <v/>
      </c>
      <c r="N54" s="9" t="str">
        <f>IF(NOT(ISERROR(VLOOKUP(B54,Deflatores!G$42:H$64,2,FALSE))),VLOOKUP(B54,Deflatores!G$42:H$64,2,FALSE),IF(OR(ISBLANK(C54),ISBLANK(B54)),"",VLOOKUP(C54,Deflatores!G$4:H$38,2,FALSE)*J54+VLOOKUP(C54,Deflatores!G$4:I$38,3,FALSE)))</f>
        <v/>
      </c>
      <c r="O54" s="5"/>
      <c r="P54" s="5"/>
      <c r="Q54" s="6"/>
      <c r="R54" s="10"/>
      <c r="S54" s="104"/>
      <c r="T54" s="162"/>
      <c r="U54" s="10"/>
    </row>
    <row r="55" spans="1:21" ht="21.75" customHeight="1" x14ac:dyDescent="0.2">
      <c r="A55" s="102"/>
      <c r="B55" s="2"/>
      <c r="C55" s="2"/>
      <c r="D55" s="2"/>
      <c r="E55" s="5"/>
      <c r="F55" s="2"/>
      <c r="G55" s="5"/>
      <c r="H55" s="8" t="str">
        <f t="shared" si="5"/>
        <v/>
      </c>
      <c r="I55" s="7" t="str">
        <f t="shared" si="6"/>
        <v/>
      </c>
      <c r="J55" s="3" t="str">
        <f t="shared" si="7"/>
        <v/>
      </c>
      <c r="K55" s="4" t="str">
        <f t="shared" si="8"/>
        <v/>
      </c>
      <c r="L55" s="7" t="str">
        <f t="shared" si="9"/>
        <v/>
      </c>
      <c r="M55" s="9" t="str">
        <f t="shared" si="10"/>
        <v/>
      </c>
      <c r="N55" s="9" t="str">
        <f>IF(NOT(ISERROR(VLOOKUP(B55,Deflatores!G$42:H$64,2,FALSE))),VLOOKUP(B55,Deflatores!G$42:H$64,2,FALSE),IF(OR(ISBLANK(C55),ISBLANK(B55)),"",VLOOKUP(C55,Deflatores!G$4:H$38,2,FALSE)*J55+VLOOKUP(C55,Deflatores!G$4:I$38,3,FALSE)))</f>
        <v/>
      </c>
      <c r="O55" s="5"/>
      <c r="P55" s="5"/>
      <c r="Q55" s="6"/>
      <c r="R55" s="10"/>
      <c r="S55" s="104"/>
      <c r="T55" s="162"/>
      <c r="U55" s="10"/>
    </row>
    <row r="56" spans="1:21" ht="21.75" customHeight="1" x14ac:dyDescent="0.2">
      <c r="A56" s="102"/>
      <c r="B56" s="2"/>
      <c r="C56" s="2"/>
      <c r="D56" s="2"/>
      <c r="E56" s="5"/>
      <c r="F56" s="2"/>
      <c r="G56" s="5"/>
      <c r="H56" s="8" t="str">
        <f t="shared" si="5"/>
        <v/>
      </c>
      <c r="I56" s="7" t="str">
        <f t="shared" si="6"/>
        <v/>
      </c>
      <c r="J56" s="3" t="str">
        <f t="shared" si="7"/>
        <v/>
      </c>
      <c r="K56" s="4" t="str">
        <f t="shared" si="8"/>
        <v/>
      </c>
      <c r="L56" s="7" t="str">
        <f t="shared" si="9"/>
        <v/>
      </c>
      <c r="M56" s="9" t="str">
        <f t="shared" si="10"/>
        <v/>
      </c>
      <c r="N56" s="9" t="str">
        <f>IF(NOT(ISERROR(VLOOKUP(B56,Deflatores!G$42:H$64,2,FALSE))),VLOOKUP(B56,Deflatores!G$42:H$64,2,FALSE),IF(OR(ISBLANK(C56),ISBLANK(B56)),"",VLOOKUP(C56,Deflatores!G$4:H$38,2,FALSE)*J56+VLOOKUP(C56,Deflatores!G$4:I$38,3,FALSE)))</f>
        <v/>
      </c>
      <c r="O56" s="5"/>
      <c r="P56" s="5"/>
      <c r="Q56" s="6"/>
      <c r="R56" s="10"/>
      <c r="S56" s="104"/>
      <c r="T56" s="162"/>
      <c r="U56" s="10"/>
    </row>
    <row r="57" spans="1:21" ht="21.75" customHeight="1" x14ac:dyDescent="0.2">
      <c r="A57" s="102"/>
      <c r="B57" s="2"/>
      <c r="C57" s="2"/>
      <c r="D57" s="2"/>
      <c r="E57" s="5"/>
      <c r="F57" s="2"/>
      <c r="G57" s="5"/>
      <c r="H57" s="8" t="str">
        <f t="shared" si="5"/>
        <v/>
      </c>
      <c r="I57" s="7" t="str">
        <f t="shared" si="6"/>
        <v/>
      </c>
      <c r="J57" s="3" t="str">
        <f t="shared" si="7"/>
        <v/>
      </c>
      <c r="K57" s="4" t="str">
        <f t="shared" si="8"/>
        <v/>
      </c>
      <c r="L57" s="7" t="str">
        <f t="shared" si="9"/>
        <v/>
      </c>
      <c r="M57" s="9" t="str">
        <f t="shared" si="10"/>
        <v/>
      </c>
      <c r="N57" s="9" t="str">
        <f>IF(NOT(ISERROR(VLOOKUP(B57,Deflatores!G$42:H$64,2,FALSE))),VLOOKUP(B57,Deflatores!G$42:H$64,2,FALSE),IF(OR(ISBLANK(C57),ISBLANK(B57)),"",VLOOKUP(C57,Deflatores!G$4:H$38,2,FALSE)*J57+VLOOKUP(C57,Deflatores!G$4:I$38,3,FALSE)))</f>
        <v/>
      </c>
      <c r="O57" s="5"/>
      <c r="P57" s="5"/>
      <c r="Q57" s="6"/>
      <c r="R57" s="10"/>
      <c r="S57" s="104"/>
      <c r="T57" s="162"/>
      <c r="U57" s="10"/>
    </row>
    <row r="58" spans="1:21" ht="21.75" customHeight="1" x14ac:dyDescent="0.2">
      <c r="A58" s="102"/>
      <c r="B58" s="2"/>
      <c r="C58" s="2"/>
      <c r="D58" s="2"/>
      <c r="E58" s="5"/>
      <c r="F58" s="2"/>
      <c r="G58" s="5"/>
      <c r="H58" s="8" t="str">
        <f t="shared" si="5"/>
        <v/>
      </c>
      <c r="I58" s="7" t="str">
        <f t="shared" si="6"/>
        <v/>
      </c>
      <c r="J58" s="3" t="str">
        <f t="shared" si="7"/>
        <v/>
      </c>
      <c r="K58" s="4" t="str">
        <f t="shared" si="8"/>
        <v/>
      </c>
      <c r="L58" s="7" t="str">
        <f t="shared" si="9"/>
        <v/>
      </c>
      <c r="M58" s="9" t="str">
        <f t="shared" si="10"/>
        <v/>
      </c>
      <c r="N58" s="9" t="str">
        <f>IF(NOT(ISERROR(VLOOKUP(B58,Deflatores!G$42:H$64,2,FALSE))),VLOOKUP(B58,Deflatores!G$42:H$64,2,FALSE),IF(OR(ISBLANK(C58),ISBLANK(B58)),"",VLOOKUP(C58,Deflatores!G$4:H$38,2,FALSE)*J58+VLOOKUP(C58,Deflatores!G$4:I$38,3,FALSE)))</f>
        <v/>
      </c>
      <c r="O58" s="5"/>
      <c r="P58" s="5"/>
      <c r="Q58" s="6"/>
      <c r="R58" s="10"/>
      <c r="S58" s="104"/>
      <c r="T58" s="162"/>
      <c r="U58" s="10"/>
    </row>
    <row r="59" spans="1:21" ht="21.75" customHeight="1" x14ac:dyDescent="0.2">
      <c r="A59" s="102"/>
      <c r="B59" s="2"/>
      <c r="C59" s="2"/>
      <c r="D59" s="2"/>
      <c r="E59" s="5"/>
      <c r="F59" s="2"/>
      <c r="G59" s="5"/>
      <c r="H59" s="8" t="str">
        <f t="shared" si="5"/>
        <v/>
      </c>
      <c r="I59" s="7" t="str">
        <f t="shared" si="6"/>
        <v/>
      </c>
      <c r="J59" s="3" t="str">
        <f t="shared" si="7"/>
        <v/>
      </c>
      <c r="K59" s="4" t="str">
        <f t="shared" si="8"/>
        <v/>
      </c>
      <c r="L59" s="7" t="str">
        <f t="shared" si="9"/>
        <v/>
      </c>
      <c r="M59" s="9" t="str">
        <f t="shared" si="10"/>
        <v/>
      </c>
      <c r="N59" s="9" t="str">
        <f>IF(NOT(ISERROR(VLOOKUP(B59,Deflatores!G$42:H$64,2,FALSE))),VLOOKUP(B59,Deflatores!G$42:H$64,2,FALSE),IF(OR(ISBLANK(C59),ISBLANK(B59)),"",VLOOKUP(C59,Deflatores!G$4:H$38,2,FALSE)*J59+VLOOKUP(C59,Deflatores!G$4:I$38,3,FALSE)))</f>
        <v/>
      </c>
      <c r="O59" s="5"/>
      <c r="P59" s="5"/>
      <c r="Q59" s="6"/>
      <c r="R59" s="10"/>
      <c r="S59" s="104"/>
      <c r="T59" s="162"/>
      <c r="U59" s="10"/>
    </row>
    <row r="60" spans="1:21" ht="21.75" customHeight="1" x14ac:dyDescent="0.2">
      <c r="A60" s="102"/>
      <c r="B60" s="2"/>
      <c r="C60" s="2"/>
      <c r="D60" s="2"/>
      <c r="E60" s="5"/>
      <c r="F60" s="2"/>
      <c r="G60" s="5"/>
      <c r="H60" s="8" t="str">
        <f t="shared" si="5"/>
        <v/>
      </c>
      <c r="I60" s="7" t="str">
        <f t="shared" si="6"/>
        <v/>
      </c>
      <c r="J60" s="3" t="str">
        <f t="shared" si="7"/>
        <v/>
      </c>
      <c r="K60" s="4" t="str">
        <f t="shared" si="8"/>
        <v/>
      </c>
      <c r="L60" s="7" t="str">
        <f t="shared" si="9"/>
        <v/>
      </c>
      <c r="M60" s="9" t="str">
        <f t="shared" si="10"/>
        <v/>
      </c>
      <c r="N60" s="9" t="str">
        <f>IF(NOT(ISERROR(VLOOKUP(B60,Deflatores!G$42:H$64,2,FALSE))),VLOOKUP(B60,Deflatores!G$42:H$64,2,FALSE),IF(OR(ISBLANK(C60),ISBLANK(B60)),"",VLOOKUP(C60,Deflatores!G$4:H$38,2,FALSE)*J60+VLOOKUP(C60,Deflatores!G$4:I$38,3,FALSE)))</f>
        <v/>
      </c>
      <c r="O60" s="5"/>
      <c r="P60" s="5"/>
      <c r="Q60" s="6"/>
      <c r="R60" s="10"/>
      <c r="S60" s="104"/>
      <c r="T60" s="162"/>
      <c r="U60" s="10"/>
    </row>
    <row r="61" spans="1:21" ht="21.75" customHeight="1" x14ac:dyDescent="0.2">
      <c r="A61" s="102"/>
      <c r="B61" s="2"/>
      <c r="C61" s="2"/>
      <c r="D61" s="2"/>
      <c r="E61" s="5"/>
      <c r="F61" s="2"/>
      <c r="G61" s="5"/>
      <c r="H61" s="8" t="str">
        <f t="shared" si="5"/>
        <v/>
      </c>
      <c r="I61" s="7" t="str">
        <f t="shared" si="6"/>
        <v/>
      </c>
      <c r="J61" s="3" t="str">
        <f t="shared" si="7"/>
        <v/>
      </c>
      <c r="K61" s="4" t="str">
        <f t="shared" si="8"/>
        <v/>
      </c>
      <c r="L61" s="7" t="str">
        <f t="shared" si="9"/>
        <v/>
      </c>
      <c r="M61" s="9" t="str">
        <f t="shared" si="10"/>
        <v/>
      </c>
      <c r="N61" s="9" t="str">
        <f>IF(NOT(ISERROR(VLOOKUP(B61,Deflatores!G$42:H$64,2,FALSE))),VLOOKUP(B61,Deflatores!G$42:H$64,2,FALSE),IF(OR(ISBLANK(C61),ISBLANK(B61)),"",VLOOKUP(C61,Deflatores!G$4:H$38,2,FALSE)*J61+VLOOKUP(C61,Deflatores!G$4:I$38,3,FALSE)))</f>
        <v/>
      </c>
      <c r="O61" s="5"/>
      <c r="P61" s="5"/>
      <c r="Q61" s="6"/>
      <c r="R61" s="10"/>
      <c r="S61" s="104"/>
      <c r="T61" s="162"/>
      <c r="U61" s="10"/>
    </row>
    <row r="62" spans="1:21" ht="21.75" customHeight="1" x14ac:dyDescent="0.2">
      <c r="A62" s="102"/>
      <c r="B62" s="2"/>
      <c r="C62" s="2"/>
      <c r="D62" s="2"/>
      <c r="E62" s="5"/>
      <c r="F62" s="2"/>
      <c r="G62" s="5"/>
      <c r="H62" s="8" t="str">
        <f t="shared" si="5"/>
        <v/>
      </c>
      <c r="I62" s="7" t="str">
        <f t="shared" si="6"/>
        <v/>
      </c>
      <c r="J62" s="3" t="str">
        <f t="shared" si="7"/>
        <v/>
      </c>
      <c r="K62" s="4" t="str">
        <f t="shared" si="8"/>
        <v/>
      </c>
      <c r="L62" s="7" t="str">
        <f t="shared" si="9"/>
        <v/>
      </c>
      <c r="M62" s="9" t="str">
        <f t="shared" si="10"/>
        <v/>
      </c>
      <c r="N62" s="9" t="str">
        <f>IF(NOT(ISERROR(VLOOKUP(B62,Deflatores!G$42:H$64,2,FALSE))),VLOOKUP(B62,Deflatores!G$42:H$64,2,FALSE),IF(OR(ISBLANK(C62),ISBLANK(B62)),"",VLOOKUP(C62,Deflatores!G$4:H$38,2,FALSE)*J62+VLOOKUP(C62,Deflatores!G$4:I$38,3,FALSE)))</f>
        <v/>
      </c>
      <c r="O62" s="5"/>
      <c r="P62" s="5"/>
      <c r="Q62" s="6"/>
      <c r="R62" s="10"/>
      <c r="S62" s="104"/>
      <c r="T62" s="162"/>
      <c r="U62" s="10"/>
    </row>
    <row r="63" spans="1:21" ht="21.75" customHeight="1" x14ac:dyDescent="0.2">
      <c r="A63" s="102"/>
      <c r="B63" s="2"/>
      <c r="C63" s="2"/>
      <c r="D63" s="2"/>
      <c r="E63" s="5"/>
      <c r="F63" s="2"/>
      <c r="G63" s="5"/>
      <c r="H63" s="8" t="str">
        <f t="shared" si="5"/>
        <v/>
      </c>
      <c r="I63" s="7" t="str">
        <f t="shared" si="6"/>
        <v/>
      </c>
      <c r="J63" s="3" t="str">
        <f t="shared" si="7"/>
        <v/>
      </c>
      <c r="K63" s="4" t="str">
        <f t="shared" si="8"/>
        <v/>
      </c>
      <c r="L63" s="7" t="str">
        <f t="shared" si="9"/>
        <v/>
      </c>
      <c r="M63" s="9" t="str">
        <f t="shared" si="10"/>
        <v/>
      </c>
      <c r="N63" s="9" t="str">
        <f>IF(NOT(ISERROR(VLOOKUP(B63,Deflatores!G$42:H$64,2,FALSE))),VLOOKUP(B63,Deflatores!G$42:H$64,2,FALSE),IF(OR(ISBLANK(C63),ISBLANK(B63)),"",VLOOKUP(C63,Deflatores!G$4:H$38,2,FALSE)*J63+VLOOKUP(C63,Deflatores!G$4:I$38,3,FALSE)))</f>
        <v/>
      </c>
      <c r="O63" s="5"/>
      <c r="P63" s="5"/>
      <c r="Q63" s="6"/>
      <c r="R63" s="10"/>
      <c r="S63" s="104"/>
      <c r="T63" s="162"/>
      <c r="U63" s="10"/>
    </row>
    <row r="64" spans="1:21" ht="21.75" customHeight="1" x14ac:dyDescent="0.2">
      <c r="A64" s="102"/>
      <c r="B64" s="2"/>
      <c r="C64" s="2"/>
      <c r="D64" s="2"/>
      <c r="E64" s="5"/>
      <c r="F64" s="2"/>
      <c r="G64" s="5"/>
      <c r="H64" s="8" t="str">
        <f t="shared" si="5"/>
        <v/>
      </c>
      <c r="I64" s="7" t="str">
        <f t="shared" si="6"/>
        <v/>
      </c>
      <c r="J64" s="3" t="str">
        <f t="shared" si="7"/>
        <v/>
      </c>
      <c r="K64" s="4" t="str">
        <f t="shared" si="8"/>
        <v/>
      </c>
      <c r="L64" s="7" t="str">
        <f t="shared" si="9"/>
        <v/>
      </c>
      <c r="M64" s="9" t="str">
        <f t="shared" si="10"/>
        <v/>
      </c>
      <c r="N64" s="9" t="str">
        <f>IF(NOT(ISERROR(VLOOKUP(B64,Deflatores!G$42:H$64,2,FALSE))),VLOOKUP(B64,Deflatores!G$42:H$64,2,FALSE),IF(OR(ISBLANK(C64),ISBLANK(B64)),"",VLOOKUP(C64,Deflatores!G$4:H$38,2,FALSE)*J64+VLOOKUP(C64,Deflatores!G$4:I$38,3,FALSE)))</f>
        <v/>
      </c>
      <c r="O64" s="5"/>
      <c r="P64" s="5"/>
      <c r="Q64" s="6"/>
      <c r="R64" s="10"/>
      <c r="S64" s="104"/>
      <c r="T64" s="162"/>
      <c r="U64" s="10"/>
    </row>
    <row r="65" spans="1:21" ht="21.75" customHeight="1" x14ac:dyDescent="0.2">
      <c r="A65" s="102"/>
      <c r="B65" s="2"/>
      <c r="C65" s="2"/>
      <c r="D65" s="2"/>
      <c r="E65" s="5"/>
      <c r="F65" s="2"/>
      <c r="G65" s="5"/>
      <c r="H65" s="8" t="str">
        <f t="shared" si="5"/>
        <v/>
      </c>
      <c r="I65" s="7" t="str">
        <f t="shared" si="6"/>
        <v/>
      </c>
      <c r="J65" s="3" t="str">
        <f t="shared" si="7"/>
        <v/>
      </c>
      <c r="K65" s="4" t="str">
        <f t="shared" si="8"/>
        <v/>
      </c>
      <c r="L65" s="7" t="str">
        <f t="shared" si="9"/>
        <v/>
      </c>
      <c r="M65" s="9" t="str">
        <f t="shared" si="10"/>
        <v/>
      </c>
      <c r="N65" s="9" t="str">
        <f>IF(NOT(ISERROR(VLOOKUP(B65,Deflatores!G$42:H$64,2,FALSE))),VLOOKUP(B65,Deflatores!G$42:H$64,2,FALSE),IF(OR(ISBLANK(C65),ISBLANK(B65)),"",VLOOKUP(C65,Deflatores!G$4:H$38,2,FALSE)*J65+VLOOKUP(C65,Deflatores!G$4:I$38,3,FALSE)))</f>
        <v/>
      </c>
      <c r="O65" s="5"/>
      <c r="P65" s="5"/>
      <c r="Q65" s="6"/>
      <c r="R65" s="10"/>
      <c r="S65" s="104"/>
      <c r="T65" s="162"/>
      <c r="U65" s="10"/>
    </row>
    <row r="66" spans="1:21" ht="21.75" customHeight="1" x14ac:dyDescent="0.2">
      <c r="A66" s="102"/>
      <c r="B66" s="2"/>
      <c r="C66" s="2"/>
      <c r="D66" s="2"/>
      <c r="E66" s="5"/>
      <c r="F66" s="2"/>
      <c r="G66" s="5"/>
      <c r="H66" s="8" t="str">
        <f t="shared" si="5"/>
        <v/>
      </c>
      <c r="I66" s="7" t="str">
        <f t="shared" si="6"/>
        <v/>
      </c>
      <c r="J66" s="3" t="str">
        <f t="shared" si="7"/>
        <v/>
      </c>
      <c r="K66" s="4" t="str">
        <f t="shared" si="8"/>
        <v/>
      </c>
      <c r="L66" s="7" t="str">
        <f t="shared" si="9"/>
        <v/>
      </c>
      <c r="M66" s="9" t="str">
        <f t="shared" si="10"/>
        <v/>
      </c>
      <c r="N66" s="9" t="str">
        <f>IF(NOT(ISERROR(VLOOKUP(B66,Deflatores!G$42:H$64,2,FALSE))),VLOOKUP(B66,Deflatores!G$42:H$64,2,FALSE),IF(OR(ISBLANK(C66),ISBLANK(B66)),"",VLOOKUP(C66,Deflatores!G$4:H$38,2,FALSE)*J66+VLOOKUP(C66,Deflatores!G$4:I$38,3,FALSE)))</f>
        <v/>
      </c>
      <c r="O66" s="5"/>
      <c r="P66" s="5"/>
      <c r="Q66" s="6"/>
      <c r="R66" s="10"/>
      <c r="S66" s="104"/>
      <c r="T66" s="162"/>
      <c r="U66" s="10"/>
    </row>
    <row r="67" spans="1:21" ht="21.75" customHeight="1" x14ac:dyDescent="0.2">
      <c r="A67" s="102"/>
      <c r="B67" s="2"/>
      <c r="C67" s="2"/>
      <c r="D67" s="2"/>
      <c r="E67" s="5"/>
      <c r="F67" s="2"/>
      <c r="G67" s="5"/>
      <c r="H67" s="8" t="str">
        <f t="shared" si="5"/>
        <v/>
      </c>
      <c r="I67" s="7" t="str">
        <f t="shared" si="6"/>
        <v/>
      </c>
      <c r="J67" s="3" t="str">
        <f t="shared" si="7"/>
        <v/>
      </c>
      <c r="K67" s="4" t="str">
        <f t="shared" si="8"/>
        <v/>
      </c>
      <c r="L67" s="7" t="str">
        <f t="shared" si="9"/>
        <v/>
      </c>
      <c r="M67" s="9" t="str">
        <f t="shared" si="10"/>
        <v/>
      </c>
      <c r="N67" s="9" t="str">
        <f>IF(NOT(ISERROR(VLOOKUP(B67,Deflatores!G$42:H$64,2,FALSE))),VLOOKUP(B67,Deflatores!G$42:H$64,2,FALSE),IF(OR(ISBLANK(C67),ISBLANK(B67)),"",VLOOKUP(C67,Deflatores!G$4:H$38,2,FALSE)*J67+VLOOKUP(C67,Deflatores!G$4:I$38,3,FALSE)))</f>
        <v/>
      </c>
      <c r="O67" s="5"/>
      <c r="P67" s="5"/>
      <c r="Q67" s="6"/>
      <c r="R67" s="10"/>
      <c r="S67" s="104"/>
      <c r="T67" s="162"/>
      <c r="U67" s="10"/>
    </row>
    <row r="68" spans="1:21" ht="21.75" customHeight="1" x14ac:dyDescent="0.2">
      <c r="A68" s="102"/>
      <c r="B68" s="2"/>
      <c r="C68" s="2"/>
      <c r="D68" s="2"/>
      <c r="E68" s="5"/>
      <c r="F68" s="2"/>
      <c r="G68" s="5"/>
      <c r="H68" s="8" t="str">
        <f t="shared" si="5"/>
        <v/>
      </c>
      <c r="I68" s="7" t="str">
        <f t="shared" si="6"/>
        <v/>
      </c>
      <c r="J68" s="3" t="str">
        <f t="shared" si="7"/>
        <v/>
      </c>
      <c r="K68" s="4" t="str">
        <f t="shared" si="8"/>
        <v/>
      </c>
      <c r="L68" s="7" t="str">
        <f t="shared" si="9"/>
        <v/>
      </c>
      <c r="M68" s="9" t="str">
        <f t="shared" si="10"/>
        <v/>
      </c>
      <c r="N68" s="9" t="str">
        <f>IF(NOT(ISERROR(VLOOKUP(B68,Deflatores!G$42:H$64,2,FALSE))),VLOOKUP(B68,Deflatores!G$42:H$64,2,FALSE),IF(OR(ISBLANK(C68),ISBLANK(B68)),"",VLOOKUP(C68,Deflatores!G$4:H$38,2,FALSE)*J68+VLOOKUP(C68,Deflatores!G$4:I$38,3,FALSE)))</f>
        <v/>
      </c>
      <c r="O68" s="5"/>
      <c r="P68" s="5"/>
      <c r="Q68" s="6"/>
      <c r="R68" s="10"/>
      <c r="S68" s="104"/>
      <c r="T68" s="162"/>
      <c r="U68" s="10"/>
    </row>
    <row r="69" spans="1:21" ht="21.75" customHeight="1" x14ac:dyDescent="0.2">
      <c r="A69" s="102"/>
      <c r="B69" s="2"/>
      <c r="C69" s="2"/>
      <c r="D69" s="2"/>
      <c r="E69" s="5"/>
      <c r="F69" s="2"/>
      <c r="G69" s="5"/>
      <c r="H69" s="8" t="str">
        <f t="shared" si="5"/>
        <v/>
      </c>
      <c r="I69" s="7" t="str">
        <f t="shared" si="6"/>
        <v/>
      </c>
      <c r="J69" s="3" t="str">
        <f t="shared" si="7"/>
        <v/>
      </c>
      <c r="K69" s="4" t="str">
        <f t="shared" si="8"/>
        <v/>
      </c>
      <c r="L69" s="7" t="str">
        <f t="shared" si="9"/>
        <v/>
      </c>
      <c r="M69" s="9" t="str">
        <f t="shared" si="10"/>
        <v/>
      </c>
      <c r="N69" s="9" t="str">
        <f>IF(NOT(ISERROR(VLOOKUP(B69,Deflatores!G$42:H$64,2,FALSE))),VLOOKUP(B69,Deflatores!G$42:H$64,2,FALSE),IF(OR(ISBLANK(C69),ISBLANK(B69)),"",VLOOKUP(C69,Deflatores!G$4:H$38,2,FALSE)*J69+VLOOKUP(C69,Deflatores!G$4:I$38,3,FALSE)))</f>
        <v/>
      </c>
      <c r="O69" s="5"/>
      <c r="P69" s="5"/>
      <c r="Q69" s="6"/>
      <c r="R69" s="10"/>
      <c r="S69" s="104"/>
      <c r="T69" s="162"/>
      <c r="U69" s="10"/>
    </row>
    <row r="70" spans="1:21" ht="21.75" customHeight="1" x14ac:dyDescent="0.2">
      <c r="A70" s="102"/>
      <c r="B70" s="2"/>
      <c r="C70" s="2"/>
      <c r="D70" s="2"/>
      <c r="E70" s="5"/>
      <c r="F70" s="2"/>
      <c r="G70" s="5"/>
      <c r="H70" s="8" t="str">
        <f t="shared" si="5"/>
        <v/>
      </c>
      <c r="I70" s="7" t="str">
        <f t="shared" si="6"/>
        <v/>
      </c>
      <c r="J70" s="3" t="str">
        <f t="shared" si="7"/>
        <v/>
      </c>
      <c r="K70" s="4" t="str">
        <f t="shared" si="8"/>
        <v/>
      </c>
      <c r="L70" s="7" t="str">
        <f t="shared" si="9"/>
        <v/>
      </c>
      <c r="M70" s="9" t="str">
        <f t="shared" si="10"/>
        <v/>
      </c>
      <c r="N70" s="9" t="str">
        <f>IF(NOT(ISERROR(VLOOKUP(B70,Deflatores!G$42:H$64,2,FALSE))),VLOOKUP(B70,Deflatores!G$42:H$64,2,FALSE),IF(OR(ISBLANK(C70),ISBLANK(B70)),"",VLOOKUP(C70,Deflatores!G$4:H$38,2,FALSE)*J70+VLOOKUP(C70,Deflatores!G$4:I$38,3,FALSE)))</f>
        <v/>
      </c>
      <c r="O70" s="5"/>
      <c r="P70" s="5"/>
      <c r="Q70" s="6"/>
      <c r="R70" s="10"/>
      <c r="S70" s="104"/>
      <c r="T70" s="162"/>
      <c r="U70" s="10"/>
    </row>
    <row r="71" spans="1:21" ht="21.75" customHeight="1" x14ac:dyDescent="0.2">
      <c r="A71" s="102"/>
      <c r="B71" s="2"/>
      <c r="C71" s="2"/>
      <c r="D71" s="2"/>
      <c r="E71" s="5"/>
      <c r="F71" s="2"/>
      <c r="G71" s="5"/>
      <c r="H71" s="8" t="str">
        <f t="shared" si="5"/>
        <v/>
      </c>
      <c r="I71" s="7" t="str">
        <f t="shared" si="6"/>
        <v/>
      </c>
      <c r="J71" s="3" t="str">
        <f t="shared" si="7"/>
        <v/>
      </c>
      <c r="K71" s="4" t="str">
        <f t="shared" si="8"/>
        <v/>
      </c>
      <c r="L71" s="7" t="str">
        <f t="shared" si="9"/>
        <v/>
      </c>
      <c r="M71" s="9" t="str">
        <f t="shared" si="10"/>
        <v/>
      </c>
      <c r="N71" s="9" t="str">
        <f>IF(NOT(ISERROR(VLOOKUP(B71,Deflatores!G$42:H$64,2,FALSE))),VLOOKUP(B71,Deflatores!G$42:H$64,2,FALSE),IF(OR(ISBLANK(C71),ISBLANK(B71)),"",VLOOKUP(C71,Deflatores!G$4:H$38,2,FALSE)*J71+VLOOKUP(C71,Deflatores!G$4:I$38,3,FALSE)))</f>
        <v/>
      </c>
      <c r="O71" s="5"/>
      <c r="P71" s="5"/>
      <c r="Q71" s="6"/>
      <c r="R71" s="10"/>
      <c r="S71" s="104"/>
      <c r="T71" s="162"/>
      <c r="U71" s="10"/>
    </row>
    <row r="72" spans="1:21" ht="21.75" customHeight="1" x14ac:dyDescent="0.2">
      <c r="A72" s="102"/>
      <c r="B72" s="2"/>
      <c r="C72" s="2"/>
      <c r="D72" s="2"/>
      <c r="E72" s="5"/>
      <c r="F72" s="2"/>
      <c r="G72" s="5"/>
      <c r="H72" s="8" t="str">
        <f t="shared" si="5"/>
        <v/>
      </c>
      <c r="I72" s="7" t="str">
        <f t="shared" si="6"/>
        <v/>
      </c>
      <c r="J72" s="3" t="str">
        <f t="shared" si="7"/>
        <v/>
      </c>
      <c r="K72" s="4" t="str">
        <f t="shared" si="8"/>
        <v/>
      </c>
      <c r="L72" s="7" t="str">
        <f t="shared" si="9"/>
        <v/>
      </c>
      <c r="M72" s="9" t="str">
        <f t="shared" si="10"/>
        <v/>
      </c>
      <c r="N72" s="9" t="str">
        <f>IF(NOT(ISERROR(VLOOKUP(B72,Deflatores!G$42:H$64,2,FALSE))),VLOOKUP(B72,Deflatores!G$42:H$64,2,FALSE),IF(OR(ISBLANK(C72),ISBLANK(B72)),"",VLOOKUP(C72,Deflatores!G$4:H$38,2,FALSE)*J72+VLOOKUP(C72,Deflatores!G$4:I$38,3,FALSE)))</f>
        <v/>
      </c>
      <c r="O72" s="5"/>
      <c r="P72" s="5"/>
      <c r="Q72" s="6"/>
      <c r="R72" s="10"/>
      <c r="S72" s="104"/>
      <c r="T72" s="162"/>
      <c r="U72" s="10"/>
    </row>
    <row r="73" spans="1:21" ht="21.75" customHeight="1" x14ac:dyDescent="0.2">
      <c r="A73" s="102"/>
      <c r="B73" s="2"/>
      <c r="C73" s="2"/>
      <c r="D73" s="2"/>
      <c r="E73" s="5"/>
      <c r="F73" s="2"/>
      <c r="G73" s="5"/>
      <c r="H73" s="8" t="str">
        <f t="shared" ref="H73:H136" si="11">IF(ISBLANK(B73),"",IF(K73="L","Baixa",IF(K73="A","Média",IF(K73="","","Alta"))))</f>
        <v/>
      </c>
      <c r="I73" s="7" t="str">
        <f t="shared" ref="I73:I136" si="12">CONCATENATE(B73,K73)</f>
        <v/>
      </c>
      <c r="J73" s="3" t="str">
        <f t="shared" ref="J73:J136" si="13">IF(ISBLANK(B73),"",IF(B73="ALI",IF(K73="L",7,IF(K73="A",10,15)),IF(B73="AIE",IF(K73="L",5,IF(K73="A",7,10)),IF(B73="SE",IF(K73="L",4,IF(K73="A",5,7)),IF(OR(B73="EE",B73="CE"),IF(K73="L",3,IF(K73="A",4,6)),0)))))</f>
        <v/>
      </c>
      <c r="K73" s="4" t="str">
        <f t="shared" ref="K73:K136" si="14">IF(OR(ISBLANK(D73),ISBLANK(F73)),IF(OR(B73="ALI",B73="AIE"),"L",IF(OR(B73="EE",B73="SE",B73="CE"),"A","")),IF(B73="EE",IF(F73&gt;=3,IF(D73&gt;=5,"H","A"),IF(F73&gt;=2,IF(D73&gt;=16,"H",IF(D73&lt;=4,"L","A")),IF(D73&lt;=15,"L","A"))),IF(OR(B73="SE",B73="CE"),IF(F73&gt;=4,IF(D73&gt;=6,"H","A"),IF(F73&gt;=2,IF(D73&gt;=20,"H",IF(D73&lt;=5,"L","A")),IF(D73&lt;=19,"L","A"))),IF(OR(B73="ALI",B73="AIE"),IF(F73&gt;=6,IF(D73&gt;=20,"H","A"),IF(F73&gt;=2,IF(D73&gt;=51,"H",IF(D73&lt;=19,"L","A")),IF(D73&lt;=50,"L","A"))),""))))</f>
        <v/>
      </c>
      <c r="L73" s="7" t="str">
        <f t="shared" ref="L73:L136" si="15">CONCATENATE(B73,C73)</f>
        <v/>
      </c>
      <c r="M73" s="9" t="str">
        <f t="shared" ref="M73:M136" si="16">IF(OR(J73="",J73=0),N73,J73)</f>
        <v/>
      </c>
      <c r="N73" s="9" t="str">
        <f>IF(NOT(ISERROR(VLOOKUP(B73,Deflatores!G$42:H$64,2,FALSE))),VLOOKUP(B73,Deflatores!G$42:H$64,2,FALSE),IF(OR(ISBLANK(C73),ISBLANK(B73)),"",VLOOKUP(C73,Deflatores!G$4:H$38,2,FALSE)*J73+VLOOKUP(C73,Deflatores!G$4:I$38,3,FALSE)))</f>
        <v/>
      </c>
      <c r="O73" s="5"/>
      <c r="P73" s="5"/>
      <c r="Q73" s="6"/>
      <c r="R73" s="10"/>
      <c r="S73" s="104"/>
      <c r="T73" s="162"/>
      <c r="U73" s="10"/>
    </row>
    <row r="74" spans="1:21" ht="21.75" customHeight="1" x14ac:dyDescent="0.2">
      <c r="A74" s="102"/>
      <c r="B74" s="2"/>
      <c r="C74" s="2"/>
      <c r="D74" s="2"/>
      <c r="E74" s="5"/>
      <c r="F74" s="2"/>
      <c r="G74" s="5"/>
      <c r="H74" s="8" t="str">
        <f t="shared" si="11"/>
        <v/>
      </c>
      <c r="I74" s="7" t="str">
        <f t="shared" si="12"/>
        <v/>
      </c>
      <c r="J74" s="3" t="str">
        <f t="shared" si="13"/>
        <v/>
      </c>
      <c r="K74" s="4" t="str">
        <f t="shared" si="14"/>
        <v/>
      </c>
      <c r="L74" s="7" t="str">
        <f t="shared" si="15"/>
        <v/>
      </c>
      <c r="M74" s="9" t="str">
        <f t="shared" si="16"/>
        <v/>
      </c>
      <c r="N74" s="9" t="str">
        <f>IF(NOT(ISERROR(VLOOKUP(B74,Deflatores!G$42:H$64,2,FALSE))),VLOOKUP(B74,Deflatores!G$42:H$64,2,FALSE),IF(OR(ISBLANK(C74),ISBLANK(B74)),"",VLOOKUP(C74,Deflatores!G$4:H$38,2,FALSE)*J74+VLOOKUP(C74,Deflatores!G$4:I$38,3,FALSE)))</f>
        <v/>
      </c>
      <c r="O74" s="5"/>
      <c r="P74" s="5"/>
      <c r="Q74" s="6"/>
      <c r="R74" s="10"/>
      <c r="S74" s="104"/>
      <c r="T74" s="162"/>
      <c r="U74" s="10"/>
    </row>
    <row r="75" spans="1:21" ht="21.75" customHeight="1" x14ac:dyDescent="0.2">
      <c r="A75" s="102"/>
      <c r="B75" s="2"/>
      <c r="C75" s="2"/>
      <c r="D75" s="2"/>
      <c r="E75" s="5"/>
      <c r="F75" s="2"/>
      <c r="G75" s="5"/>
      <c r="H75" s="8" t="str">
        <f t="shared" si="11"/>
        <v/>
      </c>
      <c r="I75" s="7" t="str">
        <f t="shared" si="12"/>
        <v/>
      </c>
      <c r="J75" s="3" t="str">
        <f t="shared" si="13"/>
        <v/>
      </c>
      <c r="K75" s="4" t="str">
        <f t="shared" si="14"/>
        <v/>
      </c>
      <c r="L75" s="7" t="str">
        <f t="shared" si="15"/>
        <v/>
      </c>
      <c r="M75" s="9" t="str">
        <f t="shared" si="16"/>
        <v/>
      </c>
      <c r="N75" s="9" t="str">
        <f>IF(NOT(ISERROR(VLOOKUP(B75,Deflatores!G$42:H$64,2,FALSE))),VLOOKUP(B75,Deflatores!G$42:H$64,2,FALSE),IF(OR(ISBLANK(C75),ISBLANK(B75)),"",VLOOKUP(C75,Deflatores!G$4:H$38,2,FALSE)*J75+VLOOKUP(C75,Deflatores!G$4:I$38,3,FALSE)))</f>
        <v/>
      </c>
      <c r="O75" s="5"/>
      <c r="P75" s="5"/>
      <c r="Q75" s="6"/>
      <c r="R75" s="10"/>
      <c r="S75" s="104"/>
      <c r="T75" s="162"/>
      <c r="U75" s="10"/>
    </row>
    <row r="76" spans="1:21" ht="21.75" customHeight="1" x14ac:dyDescent="0.2">
      <c r="A76" s="102"/>
      <c r="B76" s="2"/>
      <c r="C76" s="2"/>
      <c r="D76" s="2"/>
      <c r="E76" s="5"/>
      <c r="F76" s="2"/>
      <c r="G76" s="5"/>
      <c r="H76" s="8" t="str">
        <f t="shared" si="11"/>
        <v/>
      </c>
      <c r="I76" s="7" t="str">
        <f t="shared" si="12"/>
        <v/>
      </c>
      <c r="J76" s="3" t="str">
        <f t="shared" si="13"/>
        <v/>
      </c>
      <c r="K76" s="4" t="str">
        <f t="shared" si="14"/>
        <v/>
      </c>
      <c r="L76" s="7" t="str">
        <f t="shared" si="15"/>
        <v/>
      </c>
      <c r="M76" s="9" t="str">
        <f t="shared" si="16"/>
        <v/>
      </c>
      <c r="N76" s="9" t="str">
        <f>IF(NOT(ISERROR(VLOOKUP(B76,Deflatores!G$42:H$64,2,FALSE))),VLOOKUP(B76,Deflatores!G$42:H$64,2,FALSE),IF(OR(ISBLANK(C76),ISBLANK(B76)),"",VLOOKUP(C76,Deflatores!G$4:H$38,2,FALSE)*J76+VLOOKUP(C76,Deflatores!G$4:I$38,3,FALSE)))</f>
        <v/>
      </c>
      <c r="O76" s="5"/>
      <c r="P76" s="5"/>
      <c r="Q76" s="6"/>
      <c r="R76" s="10"/>
      <c r="S76" s="104"/>
      <c r="T76" s="162"/>
      <c r="U76" s="10"/>
    </row>
    <row r="77" spans="1:21" ht="21.75" customHeight="1" x14ac:dyDescent="0.2">
      <c r="A77" s="102"/>
      <c r="B77" s="2"/>
      <c r="C77" s="2"/>
      <c r="D77" s="2"/>
      <c r="E77" s="5"/>
      <c r="F77" s="2"/>
      <c r="G77" s="5"/>
      <c r="H77" s="8" t="str">
        <f t="shared" si="11"/>
        <v/>
      </c>
      <c r="I77" s="7" t="str">
        <f t="shared" si="12"/>
        <v/>
      </c>
      <c r="J77" s="3" t="str">
        <f t="shared" si="13"/>
        <v/>
      </c>
      <c r="K77" s="4" t="str">
        <f t="shared" si="14"/>
        <v/>
      </c>
      <c r="L77" s="7" t="str">
        <f t="shared" si="15"/>
        <v/>
      </c>
      <c r="M77" s="9" t="str">
        <f t="shared" si="16"/>
        <v/>
      </c>
      <c r="N77" s="9" t="str">
        <f>IF(NOT(ISERROR(VLOOKUP(B77,Deflatores!G$42:H$64,2,FALSE))),VLOOKUP(B77,Deflatores!G$42:H$64,2,FALSE),IF(OR(ISBLANK(C77),ISBLANK(B77)),"",VLOOKUP(C77,Deflatores!G$4:H$38,2,FALSE)*J77+VLOOKUP(C77,Deflatores!G$4:I$38,3,FALSE)))</f>
        <v/>
      </c>
      <c r="O77" s="5"/>
      <c r="P77" s="5"/>
      <c r="Q77" s="6"/>
      <c r="R77" s="10"/>
      <c r="S77" s="104"/>
      <c r="T77" s="162"/>
      <c r="U77" s="10"/>
    </row>
    <row r="78" spans="1:21" ht="21.75" customHeight="1" x14ac:dyDescent="0.2">
      <c r="A78" s="102"/>
      <c r="B78" s="2"/>
      <c r="C78" s="2"/>
      <c r="D78" s="2"/>
      <c r="E78" s="5"/>
      <c r="F78" s="2"/>
      <c r="G78" s="5"/>
      <c r="H78" s="8" t="str">
        <f t="shared" si="11"/>
        <v/>
      </c>
      <c r="I78" s="7" t="str">
        <f t="shared" si="12"/>
        <v/>
      </c>
      <c r="J78" s="3" t="str">
        <f t="shared" si="13"/>
        <v/>
      </c>
      <c r="K78" s="4" t="str">
        <f t="shared" si="14"/>
        <v/>
      </c>
      <c r="L78" s="7" t="str">
        <f t="shared" si="15"/>
        <v/>
      </c>
      <c r="M78" s="9" t="str">
        <f t="shared" si="16"/>
        <v/>
      </c>
      <c r="N78" s="9" t="str">
        <f>IF(NOT(ISERROR(VLOOKUP(B78,Deflatores!G$42:H$64,2,FALSE))),VLOOKUP(B78,Deflatores!G$42:H$64,2,FALSE),IF(OR(ISBLANK(C78),ISBLANK(B78)),"",VLOOKUP(C78,Deflatores!G$4:H$38,2,FALSE)*J78+VLOOKUP(C78,Deflatores!G$4:I$38,3,FALSE)))</f>
        <v/>
      </c>
      <c r="O78" s="5"/>
      <c r="P78" s="5"/>
      <c r="Q78" s="6"/>
      <c r="R78" s="10"/>
      <c r="S78" s="104"/>
      <c r="T78" s="162"/>
      <c r="U78" s="10"/>
    </row>
    <row r="79" spans="1:21" ht="21.75" customHeight="1" x14ac:dyDescent="0.2">
      <c r="A79" s="102"/>
      <c r="B79" s="2"/>
      <c r="C79" s="2"/>
      <c r="D79" s="2"/>
      <c r="E79" s="5"/>
      <c r="F79" s="2"/>
      <c r="G79" s="5"/>
      <c r="H79" s="8" t="str">
        <f t="shared" si="11"/>
        <v/>
      </c>
      <c r="I79" s="7" t="str">
        <f t="shared" si="12"/>
        <v/>
      </c>
      <c r="J79" s="3" t="str">
        <f t="shared" si="13"/>
        <v/>
      </c>
      <c r="K79" s="4" t="str">
        <f t="shared" si="14"/>
        <v/>
      </c>
      <c r="L79" s="7" t="str">
        <f t="shared" si="15"/>
        <v/>
      </c>
      <c r="M79" s="9" t="str">
        <f t="shared" si="16"/>
        <v/>
      </c>
      <c r="N79" s="9" t="str">
        <f>IF(NOT(ISERROR(VLOOKUP(B79,Deflatores!G$42:H$64,2,FALSE))),VLOOKUP(B79,Deflatores!G$42:H$64,2,FALSE),IF(OR(ISBLANK(C79),ISBLANK(B79)),"",VLOOKUP(C79,Deflatores!G$4:H$38,2,FALSE)*J79+VLOOKUP(C79,Deflatores!G$4:I$38,3,FALSE)))</f>
        <v/>
      </c>
      <c r="O79" s="5"/>
      <c r="P79" s="5"/>
      <c r="Q79" s="6"/>
      <c r="R79" s="10"/>
      <c r="S79" s="104"/>
      <c r="T79" s="162"/>
      <c r="U79" s="10"/>
    </row>
    <row r="80" spans="1:21" ht="21.75" customHeight="1" x14ac:dyDescent="0.2">
      <c r="A80" s="102"/>
      <c r="B80" s="2"/>
      <c r="C80" s="2"/>
      <c r="D80" s="2"/>
      <c r="E80" s="5"/>
      <c r="F80" s="2"/>
      <c r="G80" s="5"/>
      <c r="H80" s="8" t="str">
        <f t="shared" si="11"/>
        <v/>
      </c>
      <c r="I80" s="7" t="str">
        <f t="shared" si="12"/>
        <v/>
      </c>
      <c r="J80" s="3" t="str">
        <f t="shared" si="13"/>
        <v/>
      </c>
      <c r="K80" s="4" t="str">
        <f t="shared" si="14"/>
        <v/>
      </c>
      <c r="L80" s="7" t="str">
        <f t="shared" si="15"/>
        <v/>
      </c>
      <c r="M80" s="9" t="str">
        <f t="shared" si="16"/>
        <v/>
      </c>
      <c r="N80" s="9" t="str">
        <f>IF(NOT(ISERROR(VLOOKUP(B80,Deflatores!G$42:H$64,2,FALSE))),VLOOKUP(B80,Deflatores!G$42:H$64,2,FALSE),IF(OR(ISBLANK(C80),ISBLANK(B80)),"",VLOOKUP(C80,Deflatores!G$4:H$38,2,FALSE)*J80+VLOOKUP(C80,Deflatores!G$4:I$38,3,FALSE)))</f>
        <v/>
      </c>
      <c r="O80" s="5"/>
      <c r="P80" s="5"/>
      <c r="Q80" s="6"/>
      <c r="R80" s="10"/>
      <c r="S80" s="104"/>
      <c r="T80" s="162"/>
      <c r="U80" s="10"/>
    </row>
    <row r="81" spans="1:21" ht="21.75" customHeight="1" x14ac:dyDescent="0.2">
      <c r="A81" s="102"/>
      <c r="B81" s="2"/>
      <c r="C81" s="2"/>
      <c r="D81" s="2"/>
      <c r="E81" s="5"/>
      <c r="F81" s="2"/>
      <c r="G81" s="5"/>
      <c r="H81" s="8" t="str">
        <f t="shared" si="11"/>
        <v/>
      </c>
      <c r="I81" s="7" t="str">
        <f t="shared" si="12"/>
        <v/>
      </c>
      <c r="J81" s="3" t="str">
        <f t="shared" si="13"/>
        <v/>
      </c>
      <c r="K81" s="4" t="str">
        <f t="shared" si="14"/>
        <v/>
      </c>
      <c r="L81" s="7" t="str">
        <f t="shared" si="15"/>
        <v/>
      </c>
      <c r="M81" s="9" t="str">
        <f t="shared" si="16"/>
        <v/>
      </c>
      <c r="N81" s="9" t="str">
        <f>IF(NOT(ISERROR(VLOOKUP(B81,Deflatores!G$42:H$64,2,FALSE))),VLOOKUP(B81,Deflatores!G$42:H$64,2,FALSE),IF(OR(ISBLANK(C81),ISBLANK(B81)),"",VLOOKUP(C81,Deflatores!G$4:H$38,2,FALSE)*J81+VLOOKUP(C81,Deflatores!G$4:I$38,3,FALSE)))</f>
        <v/>
      </c>
      <c r="O81" s="5"/>
      <c r="P81" s="5"/>
      <c r="Q81" s="6"/>
      <c r="R81" s="10"/>
      <c r="S81" s="104"/>
      <c r="T81" s="162"/>
      <c r="U81" s="10"/>
    </row>
    <row r="82" spans="1:21" ht="21.75" customHeight="1" x14ac:dyDescent="0.2">
      <c r="A82" s="102"/>
      <c r="B82" s="2"/>
      <c r="C82" s="2"/>
      <c r="D82" s="2"/>
      <c r="E82" s="5"/>
      <c r="F82" s="2"/>
      <c r="G82" s="5"/>
      <c r="H82" s="8" t="str">
        <f t="shared" si="11"/>
        <v/>
      </c>
      <c r="I82" s="7" t="str">
        <f t="shared" si="12"/>
        <v/>
      </c>
      <c r="J82" s="3" t="str">
        <f t="shared" si="13"/>
        <v/>
      </c>
      <c r="K82" s="4" t="str">
        <f t="shared" si="14"/>
        <v/>
      </c>
      <c r="L82" s="7" t="str">
        <f t="shared" si="15"/>
        <v/>
      </c>
      <c r="M82" s="9" t="str">
        <f t="shared" si="16"/>
        <v/>
      </c>
      <c r="N82" s="9" t="str">
        <f>IF(NOT(ISERROR(VLOOKUP(B82,Deflatores!G$42:H$64,2,FALSE))),VLOOKUP(B82,Deflatores!G$42:H$64,2,FALSE),IF(OR(ISBLANK(C82),ISBLANK(B82)),"",VLOOKUP(C82,Deflatores!G$4:H$38,2,FALSE)*J82+VLOOKUP(C82,Deflatores!G$4:I$38,3,FALSE)))</f>
        <v/>
      </c>
      <c r="O82" s="5"/>
      <c r="P82" s="5"/>
      <c r="Q82" s="6"/>
      <c r="R82" s="10"/>
      <c r="S82" s="104"/>
      <c r="T82" s="162"/>
      <c r="U82" s="10"/>
    </row>
    <row r="83" spans="1:21" ht="21.75" customHeight="1" x14ac:dyDescent="0.2">
      <c r="A83" s="102"/>
      <c r="B83" s="2"/>
      <c r="C83" s="2"/>
      <c r="D83" s="2"/>
      <c r="E83" s="5"/>
      <c r="F83" s="2"/>
      <c r="G83" s="5"/>
      <c r="H83" s="8" t="str">
        <f t="shared" si="11"/>
        <v/>
      </c>
      <c r="I83" s="7" t="str">
        <f t="shared" si="12"/>
        <v/>
      </c>
      <c r="J83" s="3" t="str">
        <f t="shared" si="13"/>
        <v/>
      </c>
      <c r="K83" s="4" t="str">
        <f t="shared" si="14"/>
        <v/>
      </c>
      <c r="L83" s="7" t="str">
        <f t="shared" si="15"/>
        <v/>
      </c>
      <c r="M83" s="9" t="str">
        <f t="shared" si="16"/>
        <v/>
      </c>
      <c r="N83" s="9" t="str">
        <f>IF(NOT(ISERROR(VLOOKUP(B83,Deflatores!G$42:H$64,2,FALSE))),VLOOKUP(B83,Deflatores!G$42:H$64,2,FALSE),IF(OR(ISBLANK(C83),ISBLANK(B83)),"",VLOOKUP(C83,Deflatores!G$4:H$38,2,FALSE)*J83+VLOOKUP(C83,Deflatores!G$4:I$38,3,FALSE)))</f>
        <v/>
      </c>
      <c r="O83" s="5"/>
      <c r="P83" s="5"/>
      <c r="Q83" s="6"/>
      <c r="R83" s="10"/>
      <c r="S83" s="104"/>
      <c r="T83" s="162"/>
      <c r="U83" s="10"/>
    </row>
    <row r="84" spans="1:21" ht="21.75" customHeight="1" x14ac:dyDescent="0.2">
      <c r="A84" s="102"/>
      <c r="B84" s="2"/>
      <c r="C84" s="2"/>
      <c r="D84" s="2"/>
      <c r="E84" s="5"/>
      <c r="F84" s="2"/>
      <c r="G84" s="5"/>
      <c r="H84" s="8" t="str">
        <f t="shared" si="11"/>
        <v/>
      </c>
      <c r="I84" s="7" t="str">
        <f t="shared" si="12"/>
        <v/>
      </c>
      <c r="J84" s="3" t="str">
        <f t="shared" si="13"/>
        <v/>
      </c>
      <c r="K84" s="4" t="str">
        <f t="shared" si="14"/>
        <v/>
      </c>
      <c r="L84" s="7" t="str">
        <f t="shared" si="15"/>
        <v/>
      </c>
      <c r="M84" s="9" t="str">
        <f t="shared" si="16"/>
        <v/>
      </c>
      <c r="N84" s="9" t="str">
        <f>IF(NOT(ISERROR(VLOOKUP(B84,Deflatores!G$42:H$64,2,FALSE))),VLOOKUP(B84,Deflatores!G$42:H$64,2,FALSE),IF(OR(ISBLANK(C84),ISBLANK(B84)),"",VLOOKUP(C84,Deflatores!G$4:H$38,2,FALSE)*J84+VLOOKUP(C84,Deflatores!G$4:I$38,3,FALSE)))</f>
        <v/>
      </c>
      <c r="O84" s="5"/>
      <c r="P84" s="5"/>
      <c r="Q84" s="6"/>
      <c r="R84" s="10"/>
      <c r="S84" s="104"/>
      <c r="T84" s="162"/>
      <c r="U84" s="10"/>
    </row>
    <row r="85" spans="1:21" ht="21.75" customHeight="1" x14ac:dyDescent="0.2">
      <c r="A85" s="102"/>
      <c r="B85" s="2"/>
      <c r="C85" s="2"/>
      <c r="D85" s="2"/>
      <c r="E85" s="5"/>
      <c r="F85" s="2"/>
      <c r="G85" s="5"/>
      <c r="H85" s="8" t="str">
        <f t="shared" si="11"/>
        <v/>
      </c>
      <c r="I85" s="7" t="str">
        <f t="shared" si="12"/>
        <v/>
      </c>
      <c r="J85" s="3" t="str">
        <f t="shared" si="13"/>
        <v/>
      </c>
      <c r="K85" s="4" t="str">
        <f t="shared" si="14"/>
        <v/>
      </c>
      <c r="L85" s="7" t="str">
        <f t="shared" si="15"/>
        <v/>
      </c>
      <c r="M85" s="9" t="str">
        <f t="shared" si="16"/>
        <v/>
      </c>
      <c r="N85" s="9" t="str">
        <f>IF(NOT(ISERROR(VLOOKUP(B85,Deflatores!G$42:H$64,2,FALSE))),VLOOKUP(B85,Deflatores!G$42:H$64,2,FALSE),IF(OR(ISBLANK(C85),ISBLANK(B85)),"",VLOOKUP(C85,Deflatores!G$4:H$38,2,FALSE)*J85+VLOOKUP(C85,Deflatores!G$4:I$38,3,FALSE)))</f>
        <v/>
      </c>
      <c r="O85" s="5"/>
      <c r="P85" s="5"/>
      <c r="Q85" s="6"/>
      <c r="R85" s="10"/>
      <c r="S85" s="104"/>
      <c r="T85" s="162"/>
      <c r="U85" s="10"/>
    </row>
    <row r="86" spans="1:21" ht="21.75" customHeight="1" x14ac:dyDescent="0.2">
      <c r="A86" s="102"/>
      <c r="B86" s="2"/>
      <c r="C86" s="2"/>
      <c r="D86" s="2"/>
      <c r="E86" s="5"/>
      <c r="F86" s="2"/>
      <c r="G86" s="5"/>
      <c r="H86" s="8" t="str">
        <f t="shared" si="11"/>
        <v/>
      </c>
      <c r="I86" s="7" t="str">
        <f t="shared" si="12"/>
        <v/>
      </c>
      <c r="J86" s="3" t="str">
        <f t="shared" si="13"/>
        <v/>
      </c>
      <c r="K86" s="4" t="str">
        <f t="shared" si="14"/>
        <v/>
      </c>
      <c r="L86" s="7" t="str">
        <f t="shared" si="15"/>
        <v/>
      </c>
      <c r="M86" s="9" t="str">
        <f t="shared" si="16"/>
        <v/>
      </c>
      <c r="N86" s="9" t="str">
        <f>IF(NOT(ISERROR(VLOOKUP(B86,Deflatores!G$42:H$64,2,FALSE))),VLOOKUP(B86,Deflatores!G$42:H$64,2,FALSE),IF(OR(ISBLANK(C86),ISBLANK(B86)),"",VLOOKUP(C86,Deflatores!G$4:H$38,2,FALSE)*J86+VLOOKUP(C86,Deflatores!G$4:I$38,3,FALSE)))</f>
        <v/>
      </c>
      <c r="O86" s="5"/>
      <c r="P86" s="5"/>
      <c r="Q86" s="6"/>
      <c r="R86" s="10"/>
      <c r="S86" s="104"/>
      <c r="T86" s="162"/>
      <c r="U86" s="10"/>
    </row>
    <row r="87" spans="1:21" ht="21.75" customHeight="1" x14ac:dyDescent="0.2">
      <c r="A87" s="102"/>
      <c r="B87" s="2"/>
      <c r="C87" s="2"/>
      <c r="D87" s="2"/>
      <c r="E87" s="5"/>
      <c r="F87" s="2"/>
      <c r="G87" s="5"/>
      <c r="H87" s="8" t="str">
        <f t="shared" si="11"/>
        <v/>
      </c>
      <c r="I87" s="7" t="str">
        <f t="shared" si="12"/>
        <v/>
      </c>
      <c r="J87" s="3" t="str">
        <f t="shared" si="13"/>
        <v/>
      </c>
      <c r="K87" s="4" t="str">
        <f t="shared" si="14"/>
        <v/>
      </c>
      <c r="L87" s="7" t="str">
        <f t="shared" si="15"/>
        <v/>
      </c>
      <c r="M87" s="9" t="str">
        <f t="shared" si="16"/>
        <v/>
      </c>
      <c r="N87" s="9" t="str">
        <f>IF(NOT(ISERROR(VLOOKUP(B87,Deflatores!G$42:H$64,2,FALSE))),VLOOKUP(B87,Deflatores!G$42:H$64,2,FALSE),IF(OR(ISBLANK(C87),ISBLANK(B87)),"",VLOOKUP(C87,Deflatores!G$4:H$38,2,FALSE)*J87+VLOOKUP(C87,Deflatores!G$4:I$38,3,FALSE)))</f>
        <v/>
      </c>
      <c r="O87" s="5"/>
      <c r="P87" s="5"/>
      <c r="Q87" s="6"/>
      <c r="R87" s="10"/>
      <c r="S87" s="104"/>
      <c r="T87" s="162"/>
      <c r="U87" s="10"/>
    </row>
    <row r="88" spans="1:21" ht="21.75" customHeight="1" x14ac:dyDescent="0.2">
      <c r="A88" s="102"/>
      <c r="B88" s="2"/>
      <c r="C88" s="2"/>
      <c r="D88" s="2"/>
      <c r="E88" s="5"/>
      <c r="F88" s="2"/>
      <c r="G88" s="5"/>
      <c r="H88" s="8" t="str">
        <f t="shared" si="11"/>
        <v/>
      </c>
      <c r="I88" s="7" t="str">
        <f t="shared" si="12"/>
        <v/>
      </c>
      <c r="J88" s="3" t="str">
        <f t="shared" si="13"/>
        <v/>
      </c>
      <c r="K88" s="4" t="str">
        <f t="shared" si="14"/>
        <v/>
      </c>
      <c r="L88" s="7" t="str">
        <f t="shared" si="15"/>
        <v/>
      </c>
      <c r="M88" s="9" t="str">
        <f t="shared" si="16"/>
        <v/>
      </c>
      <c r="N88" s="9" t="str">
        <f>IF(NOT(ISERROR(VLOOKUP(B88,Deflatores!G$42:H$64,2,FALSE))),VLOOKUP(B88,Deflatores!G$42:H$64,2,FALSE),IF(OR(ISBLANK(C88),ISBLANK(B88)),"",VLOOKUP(C88,Deflatores!G$4:H$38,2,FALSE)*J88+VLOOKUP(C88,Deflatores!G$4:I$38,3,FALSE)))</f>
        <v/>
      </c>
      <c r="O88" s="5"/>
      <c r="P88" s="5"/>
      <c r="Q88" s="6"/>
      <c r="R88" s="10"/>
      <c r="S88" s="104"/>
      <c r="T88" s="162"/>
      <c r="U88" s="10"/>
    </row>
    <row r="89" spans="1:21" ht="21.75" customHeight="1" x14ac:dyDescent="0.2">
      <c r="A89" s="102"/>
      <c r="B89" s="2"/>
      <c r="C89" s="2"/>
      <c r="D89" s="2"/>
      <c r="E89" s="5"/>
      <c r="F89" s="2"/>
      <c r="G89" s="5"/>
      <c r="H89" s="8" t="str">
        <f t="shared" si="11"/>
        <v/>
      </c>
      <c r="I89" s="7" t="str">
        <f t="shared" si="12"/>
        <v/>
      </c>
      <c r="J89" s="3" t="str">
        <f t="shared" si="13"/>
        <v/>
      </c>
      <c r="K89" s="4" t="str">
        <f t="shared" si="14"/>
        <v/>
      </c>
      <c r="L89" s="7" t="str">
        <f t="shared" si="15"/>
        <v/>
      </c>
      <c r="M89" s="9" t="str">
        <f t="shared" si="16"/>
        <v/>
      </c>
      <c r="N89" s="9" t="str">
        <f>IF(NOT(ISERROR(VLOOKUP(B89,Deflatores!G$42:H$64,2,FALSE))),VLOOKUP(B89,Deflatores!G$42:H$64,2,FALSE),IF(OR(ISBLANK(C89),ISBLANK(B89)),"",VLOOKUP(C89,Deflatores!G$4:H$38,2,FALSE)*J89+VLOOKUP(C89,Deflatores!G$4:I$38,3,FALSE)))</f>
        <v/>
      </c>
      <c r="O89" s="5"/>
      <c r="P89" s="5"/>
      <c r="Q89" s="6"/>
      <c r="R89" s="10"/>
      <c r="S89" s="104"/>
      <c r="T89" s="162"/>
      <c r="U89" s="10"/>
    </row>
    <row r="90" spans="1:21" ht="21.75" customHeight="1" x14ac:dyDescent="0.2">
      <c r="A90" s="102"/>
      <c r="B90" s="2"/>
      <c r="C90" s="2"/>
      <c r="D90" s="2"/>
      <c r="E90" s="5"/>
      <c r="F90" s="2"/>
      <c r="G90" s="5"/>
      <c r="H90" s="8" t="str">
        <f t="shared" si="11"/>
        <v/>
      </c>
      <c r="I90" s="7" t="str">
        <f t="shared" si="12"/>
        <v/>
      </c>
      <c r="J90" s="3" t="str">
        <f t="shared" si="13"/>
        <v/>
      </c>
      <c r="K90" s="4" t="str">
        <f t="shared" si="14"/>
        <v/>
      </c>
      <c r="L90" s="7" t="str">
        <f t="shared" si="15"/>
        <v/>
      </c>
      <c r="M90" s="9" t="str">
        <f t="shared" si="16"/>
        <v/>
      </c>
      <c r="N90" s="9" t="str">
        <f>IF(NOT(ISERROR(VLOOKUP(B90,Deflatores!G$42:H$64,2,FALSE))),VLOOKUP(B90,Deflatores!G$42:H$64,2,FALSE),IF(OR(ISBLANK(C90),ISBLANK(B90)),"",VLOOKUP(C90,Deflatores!G$4:H$38,2,FALSE)*J90+VLOOKUP(C90,Deflatores!G$4:I$38,3,FALSE)))</f>
        <v/>
      </c>
      <c r="O90" s="5"/>
      <c r="P90" s="5"/>
      <c r="Q90" s="6"/>
      <c r="R90" s="10"/>
      <c r="S90" s="104"/>
      <c r="T90" s="162"/>
      <c r="U90" s="10"/>
    </row>
    <row r="91" spans="1:21" ht="21.75" customHeight="1" x14ac:dyDescent="0.2">
      <c r="A91" s="102"/>
      <c r="B91" s="2"/>
      <c r="C91" s="2"/>
      <c r="D91" s="2"/>
      <c r="E91" s="5"/>
      <c r="F91" s="2"/>
      <c r="G91" s="5"/>
      <c r="H91" s="8" t="str">
        <f t="shared" si="11"/>
        <v/>
      </c>
      <c r="I91" s="7" t="str">
        <f t="shared" si="12"/>
        <v/>
      </c>
      <c r="J91" s="3" t="str">
        <f t="shared" si="13"/>
        <v/>
      </c>
      <c r="K91" s="4" t="str">
        <f t="shared" si="14"/>
        <v/>
      </c>
      <c r="L91" s="7" t="str">
        <f t="shared" si="15"/>
        <v/>
      </c>
      <c r="M91" s="9" t="str">
        <f t="shared" si="16"/>
        <v/>
      </c>
      <c r="N91" s="9" t="str">
        <f>IF(NOT(ISERROR(VLOOKUP(B91,Deflatores!G$42:H$64,2,FALSE))),VLOOKUP(B91,Deflatores!G$42:H$64,2,FALSE),IF(OR(ISBLANK(C91),ISBLANK(B91)),"",VLOOKUP(C91,Deflatores!G$4:H$38,2,FALSE)*J91+VLOOKUP(C91,Deflatores!G$4:I$38,3,FALSE)))</f>
        <v/>
      </c>
      <c r="O91" s="5"/>
      <c r="P91" s="5"/>
      <c r="Q91" s="6"/>
      <c r="R91" s="10"/>
      <c r="S91" s="104"/>
      <c r="T91" s="162"/>
      <c r="U91" s="10"/>
    </row>
    <row r="92" spans="1:21" ht="21.75" customHeight="1" x14ac:dyDescent="0.2">
      <c r="A92" s="102"/>
      <c r="B92" s="2"/>
      <c r="C92" s="2"/>
      <c r="D92" s="2"/>
      <c r="E92" s="5"/>
      <c r="F92" s="2"/>
      <c r="G92" s="5"/>
      <c r="H92" s="8" t="str">
        <f t="shared" si="11"/>
        <v/>
      </c>
      <c r="I92" s="7" t="str">
        <f t="shared" si="12"/>
        <v/>
      </c>
      <c r="J92" s="3" t="str">
        <f t="shared" si="13"/>
        <v/>
      </c>
      <c r="K92" s="4" t="str">
        <f t="shared" si="14"/>
        <v/>
      </c>
      <c r="L92" s="7" t="str">
        <f t="shared" si="15"/>
        <v/>
      </c>
      <c r="M92" s="9" t="str">
        <f t="shared" si="16"/>
        <v/>
      </c>
      <c r="N92" s="9" t="str">
        <f>IF(NOT(ISERROR(VLOOKUP(B92,Deflatores!G$42:H$64,2,FALSE))),VLOOKUP(B92,Deflatores!G$42:H$64,2,FALSE),IF(OR(ISBLANK(C92),ISBLANK(B92)),"",VLOOKUP(C92,Deflatores!G$4:H$38,2,FALSE)*J92+VLOOKUP(C92,Deflatores!G$4:I$38,3,FALSE)))</f>
        <v/>
      </c>
      <c r="O92" s="5"/>
      <c r="P92" s="5"/>
      <c r="Q92" s="6"/>
      <c r="R92" s="10"/>
      <c r="S92" s="104"/>
      <c r="T92" s="162"/>
      <c r="U92" s="10"/>
    </row>
    <row r="93" spans="1:21" ht="21.75" customHeight="1" x14ac:dyDescent="0.2">
      <c r="A93" s="102"/>
      <c r="B93" s="2"/>
      <c r="C93" s="2"/>
      <c r="D93" s="2"/>
      <c r="E93" s="5"/>
      <c r="F93" s="2"/>
      <c r="G93" s="5"/>
      <c r="H93" s="8" t="str">
        <f t="shared" si="11"/>
        <v/>
      </c>
      <c r="I93" s="7" t="str">
        <f t="shared" si="12"/>
        <v/>
      </c>
      <c r="J93" s="3" t="str">
        <f t="shared" si="13"/>
        <v/>
      </c>
      <c r="K93" s="4" t="str">
        <f t="shared" si="14"/>
        <v/>
      </c>
      <c r="L93" s="7" t="str">
        <f t="shared" si="15"/>
        <v/>
      </c>
      <c r="M93" s="9" t="str">
        <f t="shared" si="16"/>
        <v/>
      </c>
      <c r="N93" s="9" t="str">
        <f>IF(NOT(ISERROR(VLOOKUP(B93,Deflatores!G$42:H$64,2,FALSE))),VLOOKUP(B93,Deflatores!G$42:H$64,2,FALSE),IF(OR(ISBLANK(C93),ISBLANK(B93)),"",VLOOKUP(C93,Deflatores!G$4:H$38,2,FALSE)*J93+VLOOKUP(C93,Deflatores!G$4:I$38,3,FALSE)))</f>
        <v/>
      </c>
      <c r="O93" s="5"/>
      <c r="P93" s="5"/>
      <c r="Q93" s="6"/>
      <c r="R93" s="10"/>
      <c r="S93" s="104"/>
      <c r="T93" s="162"/>
      <c r="U93" s="10"/>
    </row>
    <row r="94" spans="1:21" ht="21.75" customHeight="1" x14ac:dyDescent="0.2">
      <c r="A94" s="102"/>
      <c r="B94" s="2"/>
      <c r="C94" s="2"/>
      <c r="D94" s="2"/>
      <c r="E94" s="5"/>
      <c r="F94" s="2"/>
      <c r="G94" s="5"/>
      <c r="H94" s="8" t="str">
        <f t="shared" si="11"/>
        <v/>
      </c>
      <c r="I94" s="7" t="str">
        <f t="shared" si="12"/>
        <v/>
      </c>
      <c r="J94" s="3" t="str">
        <f t="shared" si="13"/>
        <v/>
      </c>
      <c r="K94" s="4" t="str">
        <f t="shared" si="14"/>
        <v/>
      </c>
      <c r="L94" s="7" t="str">
        <f t="shared" si="15"/>
        <v/>
      </c>
      <c r="M94" s="9" t="str">
        <f t="shared" si="16"/>
        <v/>
      </c>
      <c r="N94" s="9" t="str">
        <f>IF(NOT(ISERROR(VLOOKUP(B94,Deflatores!G$42:H$64,2,FALSE))),VLOOKUP(B94,Deflatores!G$42:H$64,2,FALSE),IF(OR(ISBLANK(C94),ISBLANK(B94)),"",VLOOKUP(C94,Deflatores!G$4:H$38,2,FALSE)*J94+VLOOKUP(C94,Deflatores!G$4:I$38,3,FALSE)))</f>
        <v/>
      </c>
      <c r="O94" s="5"/>
      <c r="P94" s="5"/>
      <c r="Q94" s="6"/>
      <c r="R94" s="10"/>
      <c r="S94" s="104"/>
      <c r="T94" s="162"/>
      <c r="U94" s="10"/>
    </row>
    <row r="95" spans="1:21" ht="21.75" customHeight="1" x14ac:dyDescent="0.2">
      <c r="A95" s="102"/>
      <c r="B95" s="2"/>
      <c r="C95" s="2"/>
      <c r="D95" s="2"/>
      <c r="E95" s="5"/>
      <c r="F95" s="2"/>
      <c r="G95" s="5"/>
      <c r="H95" s="8" t="str">
        <f t="shared" si="11"/>
        <v/>
      </c>
      <c r="I95" s="7" t="str">
        <f t="shared" si="12"/>
        <v/>
      </c>
      <c r="J95" s="3" t="str">
        <f t="shared" si="13"/>
        <v/>
      </c>
      <c r="K95" s="4" t="str">
        <f t="shared" si="14"/>
        <v/>
      </c>
      <c r="L95" s="7" t="str">
        <f t="shared" si="15"/>
        <v/>
      </c>
      <c r="M95" s="9" t="str">
        <f t="shared" si="16"/>
        <v/>
      </c>
      <c r="N95" s="9" t="str">
        <f>IF(NOT(ISERROR(VLOOKUP(B95,Deflatores!G$42:H$64,2,FALSE))),VLOOKUP(B95,Deflatores!G$42:H$64,2,FALSE),IF(OR(ISBLANK(C95),ISBLANK(B95)),"",VLOOKUP(C95,Deflatores!G$4:H$38,2,FALSE)*J95+VLOOKUP(C95,Deflatores!G$4:I$38,3,FALSE)))</f>
        <v/>
      </c>
      <c r="O95" s="5"/>
      <c r="P95" s="5"/>
      <c r="Q95" s="6"/>
      <c r="R95" s="10"/>
      <c r="S95" s="104"/>
      <c r="T95" s="162"/>
      <c r="U95" s="10"/>
    </row>
    <row r="96" spans="1:21" ht="21.75" customHeight="1" x14ac:dyDescent="0.2">
      <c r="A96" s="102"/>
      <c r="B96" s="2"/>
      <c r="C96" s="2"/>
      <c r="D96" s="2"/>
      <c r="E96" s="5"/>
      <c r="F96" s="2"/>
      <c r="G96" s="5"/>
      <c r="H96" s="8" t="str">
        <f t="shared" si="11"/>
        <v/>
      </c>
      <c r="I96" s="7" t="str">
        <f t="shared" si="12"/>
        <v/>
      </c>
      <c r="J96" s="3" t="str">
        <f t="shared" si="13"/>
        <v/>
      </c>
      <c r="K96" s="4" t="str">
        <f t="shared" si="14"/>
        <v/>
      </c>
      <c r="L96" s="7" t="str">
        <f t="shared" si="15"/>
        <v/>
      </c>
      <c r="M96" s="9" t="str">
        <f t="shared" si="16"/>
        <v/>
      </c>
      <c r="N96" s="9" t="str">
        <f>IF(NOT(ISERROR(VLOOKUP(B96,Deflatores!G$42:H$64,2,FALSE))),VLOOKUP(B96,Deflatores!G$42:H$64,2,FALSE),IF(OR(ISBLANK(C96),ISBLANK(B96)),"",VLOOKUP(C96,Deflatores!G$4:H$38,2,FALSE)*J96+VLOOKUP(C96,Deflatores!G$4:I$38,3,FALSE)))</f>
        <v/>
      </c>
      <c r="O96" s="5"/>
      <c r="P96" s="5"/>
      <c r="Q96" s="6"/>
      <c r="R96" s="10"/>
      <c r="S96" s="104"/>
      <c r="T96" s="162"/>
      <c r="U96" s="10"/>
    </row>
    <row r="97" spans="1:21" ht="21.75" customHeight="1" x14ac:dyDescent="0.2">
      <c r="A97" s="102"/>
      <c r="B97" s="2"/>
      <c r="C97" s="2"/>
      <c r="D97" s="2"/>
      <c r="E97" s="5"/>
      <c r="F97" s="2"/>
      <c r="G97" s="5"/>
      <c r="H97" s="8" t="str">
        <f t="shared" si="11"/>
        <v/>
      </c>
      <c r="I97" s="7" t="str">
        <f t="shared" si="12"/>
        <v/>
      </c>
      <c r="J97" s="3" t="str">
        <f t="shared" si="13"/>
        <v/>
      </c>
      <c r="K97" s="4" t="str">
        <f t="shared" si="14"/>
        <v/>
      </c>
      <c r="L97" s="7" t="str">
        <f t="shared" si="15"/>
        <v/>
      </c>
      <c r="M97" s="9" t="str">
        <f t="shared" si="16"/>
        <v/>
      </c>
      <c r="N97" s="9" t="str">
        <f>IF(NOT(ISERROR(VLOOKUP(B97,Deflatores!G$42:H$64,2,FALSE))),VLOOKUP(B97,Deflatores!G$42:H$64,2,FALSE),IF(OR(ISBLANK(C97),ISBLANK(B97)),"",VLOOKUP(C97,Deflatores!G$4:H$38,2,FALSE)*J97+VLOOKUP(C97,Deflatores!G$4:I$38,3,FALSE)))</f>
        <v/>
      </c>
      <c r="O97" s="5"/>
      <c r="P97" s="5"/>
      <c r="Q97" s="6"/>
      <c r="R97" s="10"/>
      <c r="S97" s="104"/>
      <c r="T97" s="162"/>
      <c r="U97" s="10"/>
    </row>
    <row r="98" spans="1:21" ht="21.75" customHeight="1" x14ac:dyDescent="0.2">
      <c r="A98" s="102"/>
      <c r="B98" s="2"/>
      <c r="C98" s="2"/>
      <c r="D98" s="2"/>
      <c r="E98" s="5"/>
      <c r="F98" s="2"/>
      <c r="G98" s="5"/>
      <c r="H98" s="8" t="str">
        <f t="shared" si="11"/>
        <v/>
      </c>
      <c r="I98" s="7" t="str">
        <f t="shared" si="12"/>
        <v/>
      </c>
      <c r="J98" s="3" t="str">
        <f t="shared" si="13"/>
        <v/>
      </c>
      <c r="K98" s="4" t="str">
        <f t="shared" si="14"/>
        <v/>
      </c>
      <c r="L98" s="7" t="str">
        <f t="shared" si="15"/>
        <v/>
      </c>
      <c r="M98" s="9" t="str">
        <f t="shared" si="16"/>
        <v/>
      </c>
      <c r="N98" s="9" t="str">
        <f>IF(NOT(ISERROR(VLOOKUP(B98,Deflatores!G$42:H$64,2,FALSE))),VLOOKUP(B98,Deflatores!G$42:H$64,2,FALSE),IF(OR(ISBLANK(C98),ISBLANK(B98)),"",VLOOKUP(C98,Deflatores!G$4:H$38,2,FALSE)*J98+VLOOKUP(C98,Deflatores!G$4:I$38,3,FALSE)))</f>
        <v/>
      </c>
      <c r="O98" s="5"/>
      <c r="P98" s="5"/>
      <c r="Q98" s="6"/>
      <c r="R98" s="10"/>
      <c r="S98" s="104"/>
      <c r="T98" s="162"/>
      <c r="U98" s="10"/>
    </row>
    <row r="99" spans="1:21" ht="21.75" customHeight="1" x14ac:dyDescent="0.2">
      <c r="A99" s="102"/>
      <c r="B99" s="2"/>
      <c r="C99" s="2"/>
      <c r="D99" s="2"/>
      <c r="E99" s="5"/>
      <c r="F99" s="2"/>
      <c r="G99" s="5"/>
      <c r="H99" s="8" t="str">
        <f t="shared" si="11"/>
        <v/>
      </c>
      <c r="I99" s="7" t="str">
        <f t="shared" si="12"/>
        <v/>
      </c>
      <c r="J99" s="3" t="str">
        <f t="shared" si="13"/>
        <v/>
      </c>
      <c r="K99" s="4" t="str">
        <f t="shared" si="14"/>
        <v/>
      </c>
      <c r="L99" s="7" t="str">
        <f t="shared" si="15"/>
        <v/>
      </c>
      <c r="M99" s="9" t="str">
        <f t="shared" si="16"/>
        <v/>
      </c>
      <c r="N99" s="9" t="str">
        <f>IF(NOT(ISERROR(VLOOKUP(B99,Deflatores!G$42:H$64,2,FALSE))),VLOOKUP(B99,Deflatores!G$42:H$64,2,FALSE),IF(OR(ISBLANK(C99),ISBLANK(B99)),"",VLOOKUP(C99,Deflatores!G$4:H$38,2,FALSE)*J99+VLOOKUP(C99,Deflatores!G$4:I$38,3,FALSE)))</f>
        <v/>
      </c>
      <c r="O99" s="5"/>
      <c r="P99" s="5"/>
      <c r="Q99" s="6"/>
      <c r="R99" s="10"/>
      <c r="S99" s="104"/>
      <c r="T99" s="162"/>
      <c r="U99" s="10"/>
    </row>
    <row r="100" spans="1:21" ht="21.75" customHeight="1" x14ac:dyDescent="0.2">
      <c r="A100" s="102"/>
      <c r="B100" s="2"/>
      <c r="C100" s="2"/>
      <c r="D100" s="2"/>
      <c r="E100" s="5"/>
      <c r="F100" s="2"/>
      <c r="G100" s="5"/>
      <c r="H100" s="8" t="str">
        <f t="shared" si="11"/>
        <v/>
      </c>
      <c r="I100" s="7" t="str">
        <f t="shared" si="12"/>
        <v/>
      </c>
      <c r="J100" s="3" t="str">
        <f t="shared" si="13"/>
        <v/>
      </c>
      <c r="K100" s="4" t="str">
        <f t="shared" si="14"/>
        <v/>
      </c>
      <c r="L100" s="7" t="str">
        <f t="shared" si="15"/>
        <v/>
      </c>
      <c r="M100" s="9" t="str">
        <f t="shared" si="16"/>
        <v/>
      </c>
      <c r="N100" s="9" t="str">
        <f>IF(NOT(ISERROR(VLOOKUP(B100,Deflatores!G$42:H$64,2,FALSE))),VLOOKUP(B100,Deflatores!G$42:H$64,2,FALSE),IF(OR(ISBLANK(C100),ISBLANK(B100)),"",VLOOKUP(C100,Deflatores!G$4:H$38,2,FALSE)*J100+VLOOKUP(C100,Deflatores!G$4:I$38,3,FALSE)))</f>
        <v/>
      </c>
      <c r="O100" s="5"/>
      <c r="P100" s="5"/>
      <c r="Q100" s="6"/>
      <c r="R100" s="10"/>
      <c r="S100" s="104"/>
      <c r="T100" s="162"/>
      <c r="U100" s="10"/>
    </row>
    <row r="101" spans="1:21" ht="21.75" customHeight="1" x14ac:dyDescent="0.2">
      <c r="A101" s="102"/>
      <c r="B101" s="2"/>
      <c r="C101" s="2"/>
      <c r="D101" s="2"/>
      <c r="E101" s="5"/>
      <c r="F101" s="2"/>
      <c r="G101" s="5"/>
      <c r="H101" s="8" t="str">
        <f t="shared" si="11"/>
        <v/>
      </c>
      <c r="I101" s="7" t="str">
        <f t="shared" si="12"/>
        <v/>
      </c>
      <c r="J101" s="3" t="str">
        <f t="shared" si="13"/>
        <v/>
      </c>
      <c r="K101" s="4" t="str">
        <f t="shared" si="14"/>
        <v/>
      </c>
      <c r="L101" s="7" t="str">
        <f t="shared" si="15"/>
        <v/>
      </c>
      <c r="M101" s="9" t="str">
        <f t="shared" si="16"/>
        <v/>
      </c>
      <c r="N101" s="9" t="str">
        <f>IF(NOT(ISERROR(VLOOKUP(B101,Deflatores!G$42:H$64,2,FALSE))),VLOOKUP(B101,Deflatores!G$42:H$64,2,FALSE),IF(OR(ISBLANK(C101),ISBLANK(B101)),"",VLOOKUP(C101,Deflatores!G$4:H$38,2,FALSE)*J101+VLOOKUP(C101,Deflatores!G$4:I$38,3,FALSE)))</f>
        <v/>
      </c>
      <c r="O101" s="5"/>
      <c r="P101" s="5"/>
      <c r="Q101" s="6"/>
      <c r="R101" s="10"/>
      <c r="S101" s="104"/>
      <c r="T101" s="162"/>
      <c r="U101" s="10"/>
    </row>
    <row r="102" spans="1:21" ht="21.75" customHeight="1" x14ac:dyDescent="0.2">
      <c r="A102" s="102"/>
      <c r="B102" s="2"/>
      <c r="C102" s="2"/>
      <c r="D102" s="2"/>
      <c r="E102" s="5"/>
      <c r="F102" s="2"/>
      <c r="G102" s="5"/>
      <c r="H102" s="8" t="str">
        <f t="shared" si="11"/>
        <v/>
      </c>
      <c r="I102" s="7" t="str">
        <f t="shared" si="12"/>
        <v/>
      </c>
      <c r="J102" s="3" t="str">
        <f t="shared" si="13"/>
        <v/>
      </c>
      <c r="K102" s="4" t="str">
        <f t="shared" si="14"/>
        <v/>
      </c>
      <c r="L102" s="7" t="str">
        <f t="shared" si="15"/>
        <v/>
      </c>
      <c r="M102" s="9" t="str">
        <f t="shared" si="16"/>
        <v/>
      </c>
      <c r="N102" s="9" t="str">
        <f>IF(NOT(ISERROR(VLOOKUP(B102,Deflatores!G$42:H$64,2,FALSE))),VLOOKUP(B102,Deflatores!G$42:H$64,2,FALSE),IF(OR(ISBLANK(C102),ISBLANK(B102)),"",VLOOKUP(C102,Deflatores!G$4:H$38,2,FALSE)*J102+VLOOKUP(C102,Deflatores!G$4:I$38,3,FALSE)))</f>
        <v/>
      </c>
      <c r="O102" s="5"/>
      <c r="P102" s="5"/>
      <c r="Q102" s="6"/>
      <c r="R102" s="10"/>
      <c r="S102" s="104"/>
      <c r="T102" s="162"/>
      <c r="U102" s="10"/>
    </row>
    <row r="103" spans="1:21" ht="21.75" customHeight="1" x14ac:dyDescent="0.2">
      <c r="A103" s="102"/>
      <c r="B103" s="2"/>
      <c r="C103" s="2"/>
      <c r="D103" s="2"/>
      <c r="E103" s="5"/>
      <c r="F103" s="2"/>
      <c r="G103" s="5"/>
      <c r="H103" s="8" t="str">
        <f t="shared" si="11"/>
        <v/>
      </c>
      <c r="I103" s="7" t="str">
        <f t="shared" si="12"/>
        <v/>
      </c>
      <c r="J103" s="3" t="str">
        <f t="shared" si="13"/>
        <v/>
      </c>
      <c r="K103" s="4" t="str">
        <f t="shared" si="14"/>
        <v/>
      </c>
      <c r="L103" s="7" t="str">
        <f t="shared" si="15"/>
        <v/>
      </c>
      <c r="M103" s="9" t="str">
        <f t="shared" si="16"/>
        <v/>
      </c>
      <c r="N103" s="9" t="str">
        <f>IF(NOT(ISERROR(VLOOKUP(B103,Deflatores!G$42:H$64,2,FALSE))),VLOOKUP(B103,Deflatores!G$42:H$64,2,FALSE),IF(OR(ISBLANK(C103),ISBLANK(B103)),"",VLOOKUP(C103,Deflatores!G$4:H$38,2,FALSE)*J103+VLOOKUP(C103,Deflatores!G$4:I$38,3,FALSE)))</f>
        <v/>
      </c>
      <c r="O103" s="5"/>
      <c r="P103" s="5"/>
      <c r="Q103" s="6"/>
      <c r="R103" s="10"/>
      <c r="S103" s="104"/>
      <c r="T103" s="162"/>
      <c r="U103" s="10"/>
    </row>
    <row r="104" spans="1:21" ht="21.75" customHeight="1" x14ac:dyDescent="0.2">
      <c r="A104" s="102"/>
      <c r="B104" s="2"/>
      <c r="C104" s="2"/>
      <c r="D104" s="2"/>
      <c r="E104" s="5"/>
      <c r="F104" s="2"/>
      <c r="G104" s="5"/>
      <c r="H104" s="8" t="str">
        <f t="shared" si="11"/>
        <v/>
      </c>
      <c r="I104" s="7" t="str">
        <f t="shared" si="12"/>
        <v/>
      </c>
      <c r="J104" s="3" t="str">
        <f t="shared" si="13"/>
        <v/>
      </c>
      <c r="K104" s="4" t="str">
        <f t="shared" si="14"/>
        <v/>
      </c>
      <c r="L104" s="7" t="str">
        <f t="shared" si="15"/>
        <v/>
      </c>
      <c r="M104" s="9" t="str">
        <f t="shared" si="16"/>
        <v/>
      </c>
      <c r="N104" s="9" t="str">
        <f>IF(NOT(ISERROR(VLOOKUP(B104,Deflatores!G$42:H$64,2,FALSE))),VLOOKUP(B104,Deflatores!G$42:H$64,2,FALSE),IF(OR(ISBLANK(C104),ISBLANK(B104)),"",VLOOKUP(C104,Deflatores!G$4:H$38,2,FALSE)*J104+VLOOKUP(C104,Deflatores!G$4:I$38,3,FALSE)))</f>
        <v/>
      </c>
      <c r="O104" s="5"/>
      <c r="P104" s="5"/>
      <c r="Q104" s="6"/>
      <c r="R104" s="10"/>
      <c r="S104" s="104"/>
      <c r="T104" s="162"/>
      <c r="U104" s="10"/>
    </row>
    <row r="105" spans="1:21" ht="21.75" customHeight="1" x14ac:dyDescent="0.2">
      <c r="A105" s="102"/>
      <c r="B105" s="2"/>
      <c r="C105" s="2"/>
      <c r="D105" s="2"/>
      <c r="E105" s="5"/>
      <c r="F105" s="2"/>
      <c r="G105" s="5"/>
      <c r="H105" s="8" t="str">
        <f t="shared" si="11"/>
        <v/>
      </c>
      <c r="I105" s="7" t="str">
        <f t="shared" si="12"/>
        <v/>
      </c>
      <c r="J105" s="3" t="str">
        <f t="shared" si="13"/>
        <v/>
      </c>
      <c r="K105" s="4" t="str">
        <f t="shared" si="14"/>
        <v/>
      </c>
      <c r="L105" s="7" t="str">
        <f t="shared" si="15"/>
        <v/>
      </c>
      <c r="M105" s="9" t="str">
        <f t="shared" si="16"/>
        <v/>
      </c>
      <c r="N105" s="9" t="str">
        <f>IF(NOT(ISERROR(VLOOKUP(B105,Deflatores!G$42:H$64,2,FALSE))),VLOOKUP(B105,Deflatores!G$42:H$64,2,FALSE),IF(OR(ISBLANK(C105),ISBLANK(B105)),"",VLOOKUP(C105,Deflatores!G$4:H$38,2,FALSE)*J105+VLOOKUP(C105,Deflatores!G$4:I$38,3,FALSE)))</f>
        <v/>
      </c>
      <c r="O105" s="5"/>
      <c r="P105" s="5"/>
      <c r="Q105" s="6"/>
      <c r="R105" s="10"/>
      <c r="S105" s="104"/>
      <c r="T105" s="162"/>
      <c r="U105" s="10"/>
    </row>
    <row r="106" spans="1:21" ht="21.75" customHeight="1" x14ac:dyDescent="0.2">
      <c r="A106" s="102"/>
      <c r="B106" s="2"/>
      <c r="C106" s="2"/>
      <c r="D106" s="2"/>
      <c r="E106" s="5"/>
      <c r="F106" s="2"/>
      <c r="G106" s="5"/>
      <c r="H106" s="8" t="str">
        <f t="shared" si="11"/>
        <v/>
      </c>
      <c r="I106" s="7" t="str">
        <f t="shared" si="12"/>
        <v/>
      </c>
      <c r="J106" s="3" t="str">
        <f t="shared" si="13"/>
        <v/>
      </c>
      <c r="K106" s="4" t="str">
        <f t="shared" si="14"/>
        <v/>
      </c>
      <c r="L106" s="7" t="str">
        <f t="shared" si="15"/>
        <v/>
      </c>
      <c r="M106" s="9" t="str">
        <f t="shared" si="16"/>
        <v/>
      </c>
      <c r="N106" s="9" t="str">
        <f>IF(NOT(ISERROR(VLOOKUP(B106,Deflatores!G$42:H$64,2,FALSE))),VLOOKUP(B106,Deflatores!G$42:H$64,2,FALSE),IF(OR(ISBLANK(C106),ISBLANK(B106)),"",VLOOKUP(C106,Deflatores!G$4:H$38,2,FALSE)*J106+VLOOKUP(C106,Deflatores!G$4:I$38,3,FALSE)))</f>
        <v/>
      </c>
      <c r="O106" s="5"/>
      <c r="P106" s="5"/>
      <c r="Q106" s="6"/>
      <c r="R106" s="10"/>
      <c r="S106" s="104"/>
      <c r="T106" s="162"/>
      <c r="U106" s="10"/>
    </row>
    <row r="107" spans="1:21" ht="21.75" customHeight="1" x14ac:dyDescent="0.2">
      <c r="A107" s="102"/>
      <c r="B107" s="2"/>
      <c r="C107" s="2"/>
      <c r="D107" s="2"/>
      <c r="E107" s="5"/>
      <c r="F107" s="2"/>
      <c r="G107" s="5"/>
      <c r="H107" s="8" t="str">
        <f t="shared" si="11"/>
        <v/>
      </c>
      <c r="I107" s="7" t="str">
        <f t="shared" si="12"/>
        <v/>
      </c>
      <c r="J107" s="3" t="str">
        <f t="shared" si="13"/>
        <v/>
      </c>
      <c r="K107" s="4" t="str">
        <f t="shared" si="14"/>
        <v/>
      </c>
      <c r="L107" s="7" t="str">
        <f t="shared" si="15"/>
        <v/>
      </c>
      <c r="M107" s="9" t="str">
        <f t="shared" si="16"/>
        <v/>
      </c>
      <c r="N107" s="9" t="str">
        <f>IF(NOT(ISERROR(VLOOKUP(B107,Deflatores!G$42:H$64,2,FALSE))),VLOOKUP(B107,Deflatores!G$42:H$64,2,FALSE),IF(OR(ISBLANK(C107),ISBLANK(B107)),"",VLOOKUP(C107,Deflatores!G$4:H$38,2,FALSE)*J107+VLOOKUP(C107,Deflatores!G$4:I$38,3,FALSE)))</f>
        <v/>
      </c>
      <c r="O107" s="5"/>
      <c r="P107" s="5"/>
      <c r="Q107" s="6"/>
      <c r="R107" s="10"/>
      <c r="S107" s="104"/>
      <c r="T107" s="162"/>
      <c r="U107" s="10"/>
    </row>
    <row r="108" spans="1:21" ht="21.75" customHeight="1" x14ac:dyDescent="0.2">
      <c r="A108" s="102"/>
      <c r="B108" s="2"/>
      <c r="C108" s="2"/>
      <c r="D108" s="2"/>
      <c r="E108" s="5"/>
      <c r="F108" s="2"/>
      <c r="G108" s="5"/>
      <c r="H108" s="8" t="str">
        <f t="shared" si="11"/>
        <v/>
      </c>
      <c r="I108" s="7" t="str">
        <f t="shared" si="12"/>
        <v/>
      </c>
      <c r="J108" s="3" t="str">
        <f t="shared" si="13"/>
        <v/>
      </c>
      <c r="K108" s="4" t="str">
        <f t="shared" si="14"/>
        <v/>
      </c>
      <c r="L108" s="7" t="str">
        <f t="shared" si="15"/>
        <v/>
      </c>
      <c r="M108" s="9" t="str">
        <f t="shared" si="16"/>
        <v/>
      </c>
      <c r="N108" s="9" t="str">
        <f>IF(NOT(ISERROR(VLOOKUP(B108,Deflatores!G$42:H$64,2,FALSE))),VLOOKUP(B108,Deflatores!G$42:H$64,2,FALSE),IF(OR(ISBLANK(C108),ISBLANK(B108)),"",VLOOKUP(C108,Deflatores!G$4:H$38,2,FALSE)*J108+VLOOKUP(C108,Deflatores!G$4:I$38,3,FALSE)))</f>
        <v/>
      </c>
      <c r="O108" s="5"/>
      <c r="P108" s="5"/>
      <c r="Q108" s="6"/>
      <c r="R108" s="10"/>
      <c r="S108" s="104"/>
      <c r="T108" s="162"/>
      <c r="U108" s="10"/>
    </row>
    <row r="109" spans="1:21" ht="21.75" customHeight="1" x14ac:dyDescent="0.2">
      <c r="A109" s="102"/>
      <c r="B109" s="2"/>
      <c r="C109" s="2"/>
      <c r="D109" s="2"/>
      <c r="E109" s="5"/>
      <c r="F109" s="2"/>
      <c r="G109" s="5"/>
      <c r="H109" s="8" t="str">
        <f t="shared" si="11"/>
        <v/>
      </c>
      <c r="I109" s="7" t="str">
        <f t="shared" si="12"/>
        <v/>
      </c>
      <c r="J109" s="3" t="str">
        <f t="shared" si="13"/>
        <v/>
      </c>
      <c r="K109" s="4" t="str">
        <f t="shared" si="14"/>
        <v/>
      </c>
      <c r="L109" s="7" t="str">
        <f t="shared" si="15"/>
        <v/>
      </c>
      <c r="M109" s="9" t="str">
        <f t="shared" si="16"/>
        <v/>
      </c>
      <c r="N109" s="9" t="str">
        <f>IF(NOT(ISERROR(VLOOKUP(B109,Deflatores!G$42:H$64,2,FALSE))),VLOOKUP(B109,Deflatores!G$42:H$64,2,FALSE),IF(OR(ISBLANK(C109),ISBLANK(B109)),"",VLOOKUP(C109,Deflatores!G$4:H$38,2,FALSE)*J109+VLOOKUP(C109,Deflatores!G$4:I$38,3,FALSE)))</f>
        <v/>
      </c>
      <c r="O109" s="5"/>
      <c r="P109" s="5"/>
      <c r="Q109" s="6"/>
      <c r="R109" s="10"/>
      <c r="S109" s="104"/>
      <c r="T109" s="162"/>
      <c r="U109" s="10"/>
    </row>
    <row r="110" spans="1:21" ht="21.75" customHeight="1" x14ac:dyDescent="0.2">
      <c r="A110" s="102"/>
      <c r="B110" s="2"/>
      <c r="C110" s="2"/>
      <c r="D110" s="2"/>
      <c r="E110" s="5"/>
      <c r="F110" s="2"/>
      <c r="G110" s="5"/>
      <c r="H110" s="8" t="str">
        <f t="shared" si="11"/>
        <v/>
      </c>
      <c r="I110" s="7" t="str">
        <f t="shared" si="12"/>
        <v/>
      </c>
      <c r="J110" s="3" t="str">
        <f t="shared" si="13"/>
        <v/>
      </c>
      <c r="K110" s="4" t="str">
        <f t="shared" si="14"/>
        <v/>
      </c>
      <c r="L110" s="7" t="str">
        <f t="shared" si="15"/>
        <v/>
      </c>
      <c r="M110" s="9" t="str">
        <f t="shared" si="16"/>
        <v/>
      </c>
      <c r="N110" s="9" t="str">
        <f>IF(NOT(ISERROR(VLOOKUP(B110,Deflatores!G$42:H$64,2,FALSE))),VLOOKUP(B110,Deflatores!G$42:H$64,2,FALSE),IF(OR(ISBLANK(C110),ISBLANK(B110)),"",VLOOKUP(C110,Deflatores!G$4:H$38,2,FALSE)*J110+VLOOKUP(C110,Deflatores!G$4:I$38,3,FALSE)))</f>
        <v/>
      </c>
      <c r="O110" s="5"/>
      <c r="P110" s="5"/>
      <c r="Q110" s="6"/>
      <c r="R110" s="10"/>
      <c r="S110" s="104"/>
      <c r="T110" s="162"/>
      <c r="U110" s="10"/>
    </row>
    <row r="111" spans="1:21" ht="21.75" customHeight="1" x14ac:dyDescent="0.2">
      <c r="A111" s="102"/>
      <c r="B111" s="2"/>
      <c r="C111" s="2"/>
      <c r="D111" s="2"/>
      <c r="E111" s="5"/>
      <c r="F111" s="2"/>
      <c r="G111" s="5"/>
      <c r="H111" s="8" t="str">
        <f t="shared" si="11"/>
        <v/>
      </c>
      <c r="I111" s="7" t="str">
        <f t="shared" si="12"/>
        <v/>
      </c>
      <c r="J111" s="3" t="str">
        <f t="shared" si="13"/>
        <v/>
      </c>
      <c r="K111" s="4" t="str">
        <f t="shared" si="14"/>
        <v/>
      </c>
      <c r="L111" s="7" t="str">
        <f t="shared" si="15"/>
        <v/>
      </c>
      <c r="M111" s="9" t="str">
        <f t="shared" si="16"/>
        <v/>
      </c>
      <c r="N111" s="9" t="str">
        <f>IF(NOT(ISERROR(VLOOKUP(B111,Deflatores!G$42:H$64,2,FALSE))),VLOOKUP(B111,Deflatores!G$42:H$64,2,FALSE),IF(OR(ISBLANK(C111),ISBLANK(B111)),"",VLOOKUP(C111,Deflatores!G$4:H$38,2,FALSE)*J111+VLOOKUP(C111,Deflatores!G$4:I$38,3,FALSE)))</f>
        <v/>
      </c>
      <c r="O111" s="5"/>
      <c r="P111" s="5"/>
      <c r="Q111" s="6"/>
      <c r="R111" s="10"/>
      <c r="S111" s="104"/>
      <c r="T111" s="162"/>
      <c r="U111" s="10"/>
    </row>
    <row r="112" spans="1:21" ht="21.75" customHeight="1" x14ac:dyDescent="0.2">
      <c r="A112" s="102"/>
      <c r="B112" s="2"/>
      <c r="C112" s="2"/>
      <c r="D112" s="2"/>
      <c r="E112" s="5"/>
      <c r="F112" s="2"/>
      <c r="G112" s="5"/>
      <c r="H112" s="8" t="str">
        <f t="shared" si="11"/>
        <v/>
      </c>
      <c r="I112" s="7" t="str">
        <f t="shared" si="12"/>
        <v/>
      </c>
      <c r="J112" s="3" t="str">
        <f t="shared" si="13"/>
        <v/>
      </c>
      <c r="K112" s="4" t="str">
        <f t="shared" si="14"/>
        <v/>
      </c>
      <c r="L112" s="7" t="str">
        <f t="shared" si="15"/>
        <v/>
      </c>
      <c r="M112" s="9" t="str">
        <f t="shared" si="16"/>
        <v/>
      </c>
      <c r="N112" s="9" t="str">
        <f>IF(NOT(ISERROR(VLOOKUP(B112,Deflatores!G$42:H$64,2,FALSE))),VLOOKUP(B112,Deflatores!G$42:H$64,2,FALSE),IF(OR(ISBLANK(C112),ISBLANK(B112)),"",VLOOKUP(C112,Deflatores!G$4:H$38,2,FALSE)*J112+VLOOKUP(C112,Deflatores!G$4:I$38,3,FALSE)))</f>
        <v/>
      </c>
      <c r="O112" s="5"/>
      <c r="P112" s="5"/>
      <c r="Q112" s="6"/>
      <c r="R112" s="10"/>
      <c r="S112" s="104"/>
      <c r="T112" s="162"/>
      <c r="U112" s="10"/>
    </row>
    <row r="113" spans="1:21" ht="21.75" customHeight="1" x14ac:dyDescent="0.2">
      <c r="A113" s="102"/>
      <c r="B113" s="2"/>
      <c r="C113" s="2"/>
      <c r="D113" s="2"/>
      <c r="E113" s="5"/>
      <c r="F113" s="2"/>
      <c r="G113" s="5"/>
      <c r="H113" s="8" t="str">
        <f t="shared" si="11"/>
        <v/>
      </c>
      <c r="I113" s="7" t="str">
        <f t="shared" si="12"/>
        <v/>
      </c>
      <c r="J113" s="3" t="str">
        <f t="shared" si="13"/>
        <v/>
      </c>
      <c r="K113" s="4" t="str">
        <f t="shared" si="14"/>
        <v/>
      </c>
      <c r="L113" s="7" t="str">
        <f t="shared" si="15"/>
        <v/>
      </c>
      <c r="M113" s="9" t="str">
        <f t="shared" si="16"/>
        <v/>
      </c>
      <c r="N113" s="9" t="str">
        <f>IF(NOT(ISERROR(VLOOKUP(B113,Deflatores!G$42:H$64,2,FALSE))),VLOOKUP(B113,Deflatores!G$42:H$64,2,FALSE),IF(OR(ISBLANK(C113),ISBLANK(B113)),"",VLOOKUP(C113,Deflatores!G$4:H$38,2,FALSE)*J113+VLOOKUP(C113,Deflatores!G$4:I$38,3,FALSE)))</f>
        <v/>
      </c>
      <c r="O113" s="5"/>
      <c r="P113" s="5"/>
      <c r="Q113" s="6"/>
      <c r="R113" s="10"/>
      <c r="S113" s="104"/>
      <c r="T113" s="162"/>
      <c r="U113" s="10"/>
    </row>
    <row r="114" spans="1:21" ht="21.75" customHeight="1" x14ac:dyDescent="0.2">
      <c r="A114" s="102"/>
      <c r="B114" s="2"/>
      <c r="C114" s="2"/>
      <c r="D114" s="2"/>
      <c r="E114" s="5"/>
      <c r="F114" s="2"/>
      <c r="G114" s="5"/>
      <c r="H114" s="8" t="str">
        <f t="shared" si="11"/>
        <v/>
      </c>
      <c r="I114" s="7" t="str">
        <f t="shared" si="12"/>
        <v/>
      </c>
      <c r="J114" s="3" t="str">
        <f t="shared" si="13"/>
        <v/>
      </c>
      <c r="K114" s="4" t="str">
        <f t="shared" si="14"/>
        <v/>
      </c>
      <c r="L114" s="7" t="str">
        <f t="shared" si="15"/>
        <v/>
      </c>
      <c r="M114" s="9" t="str">
        <f t="shared" si="16"/>
        <v/>
      </c>
      <c r="N114" s="9" t="str">
        <f>IF(NOT(ISERROR(VLOOKUP(B114,Deflatores!G$42:H$64,2,FALSE))),VLOOKUP(B114,Deflatores!G$42:H$64,2,FALSE),IF(OR(ISBLANK(C114),ISBLANK(B114)),"",VLOOKUP(C114,Deflatores!G$4:H$38,2,FALSE)*J114+VLOOKUP(C114,Deflatores!G$4:I$38,3,FALSE)))</f>
        <v/>
      </c>
      <c r="O114" s="5"/>
      <c r="P114" s="5"/>
      <c r="Q114" s="6"/>
      <c r="R114" s="10"/>
      <c r="S114" s="104"/>
      <c r="T114" s="162"/>
      <c r="U114" s="10"/>
    </row>
    <row r="115" spans="1:21" ht="21.75" customHeight="1" x14ac:dyDescent="0.2">
      <c r="A115" s="102"/>
      <c r="B115" s="2"/>
      <c r="C115" s="2"/>
      <c r="D115" s="2"/>
      <c r="E115" s="5"/>
      <c r="F115" s="2"/>
      <c r="G115" s="5"/>
      <c r="H115" s="8" t="str">
        <f t="shared" si="11"/>
        <v/>
      </c>
      <c r="I115" s="7" t="str">
        <f t="shared" si="12"/>
        <v/>
      </c>
      <c r="J115" s="3" t="str">
        <f t="shared" si="13"/>
        <v/>
      </c>
      <c r="K115" s="4" t="str">
        <f t="shared" si="14"/>
        <v/>
      </c>
      <c r="L115" s="7" t="str">
        <f t="shared" si="15"/>
        <v/>
      </c>
      <c r="M115" s="9" t="str">
        <f t="shared" si="16"/>
        <v/>
      </c>
      <c r="N115" s="9" t="str">
        <f>IF(NOT(ISERROR(VLOOKUP(B115,Deflatores!G$42:H$64,2,FALSE))),VLOOKUP(B115,Deflatores!G$42:H$64,2,FALSE),IF(OR(ISBLANK(C115),ISBLANK(B115)),"",VLOOKUP(C115,Deflatores!G$4:H$38,2,FALSE)*J115+VLOOKUP(C115,Deflatores!G$4:I$38,3,FALSE)))</f>
        <v/>
      </c>
      <c r="O115" s="5"/>
      <c r="P115" s="5"/>
      <c r="Q115" s="6"/>
      <c r="R115" s="10"/>
      <c r="S115" s="104"/>
      <c r="T115" s="162"/>
      <c r="U115" s="10"/>
    </row>
    <row r="116" spans="1:21" ht="21.75" customHeight="1" x14ac:dyDescent="0.2">
      <c r="A116" s="102"/>
      <c r="B116" s="2"/>
      <c r="C116" s="2"/>
      <c r="D116" s="2"/>
      <c r="E116" s="5"/>
      <c r="F116" s="2"/>
      <c r="G116" s="5"/>
      <c r="H116" s="8" t="str">
        <f t="shared" si="11"/>
        <v/>
      </c>
      <c r="I116" s="7" t="str">
        <f t="shared" si="12"/>
        <v/>
      </c>
      <c r="J116" s="3" t="str">
        <f t="shared" si="13"/>
        <v/>
      </c>
      <c r="K116" s="4" t="str">
        <f t="shared" si="14"/>
        <v/>
      </c>
      <c r="L116" s="7" t="str">
        <f t="shared" si="15"/>
        <v/>
      </c>
      <c r="M116" s="9" t="str">
        <f t="shared" si="16"/>
        <v/>
      </c>
      <c r="N116" s="9" t="str">
        <f>IF(NOT(ISERROR(VLOOKUP(B116,Deflatores!G$42:H$64,2,FALSE))),VLOOKUP(B116,Deflatores!G$42:H$64,2,FALSE),IF(OR(ISBLANK(C116),ISBLANK(B116)),"",VLOOKUP(C116,Deflatores!G$4:H$38,2,FALSE)*J116+VLOOKUP(C116,Deflatores!G$4:I$38,3,FALSE)))</f>
        <v/>
      </c>
      <c r="O116" s="5"/>
      <c r="P116" s="5"/>
      <c r="Q116" s="6"/>
      <c r="R116" s="10"/>
      <c r="S116" s="104"/>
      <c r="T116" s="162"/>
      <c r="U116" s="10"/>
    </row>
    <row r="117" spans="1:21" ht="21.75" customHeight="1" x14ac:dyDescent="0.2">
      <c r="A117" s="102"/>
      <c r="B117" s="2"/>
      <c r="C117" s="2"/>
      <c r="D117" s="2"/>
      <c r="E117" s="5"/>
      <c r="F117" s="2"/>
      <c r="G117" s="5"/>
      <c r="H117" s="8" t="str">
        <f t="shared" si="11"/>
        <v/>
      </c>
      <c r="I117" s="7" t="str">
        <f t="shared" si="12"/>
        <v/>
      </c>
      <c r="J117" s="3" t="str">
        <f t="shared" si="13"/>
        <v/>
      </c>
      <c r="K117" s="4" t="str">
        <f t="shared" si="14"/>
        <v/>
      </c>
      <c r="L117" s="7" t="str">
        <f t="shared" si="15"/>
        <v/>
      </c>
      <c r="M117" s="9" t="str">
        <f t="shared" si="16"/>
        <v/>
      </c>
      <c r="N117" s="9" t="str">
        <f>IF(NOT(ISERROR(VLOOKUP(B117,Deflatores!G$42:H$64,2,FALSE))),VLOOKUP(B117,Deflatores!G$42:H$64,2,FALSE),IF(OR(ISBLANK(C117),ISBLANK(B117)),"",VLOOKUP(C117,Deflatores!G$4:H$38,2,FALSE)*J117+VLOOKUP(C117,Deflatores!G$4:I$38,3,FALSE)))</f>
        <v/>
      </c>
      <c r="O117" s="5"/>
      <c r="P117" s="5"/>
      <c r="Q117" s="6"/>
      <c r="R117" s="10"/>
      <c r="S117" s="104"/>
      <c r="T117" s="162"/>
      <c r="U117" s="10"/>
    </row>
    <row r="118" spans="1:21" ht="21.75" customHeight="1" x14ac:dyDescent="0.2">
      <c r="A118" s="102"/>
      <c r="B118" s="2"/>
      <c r="C118" s="2"/>
      <c r="D118" s="2"/>
      <c r="E118" s="5"/>
      <c r="F118" s="2"/>
      <c r="G118" s="5"/>
      <c r="H118" s="8" t="str">
        <f t="shared" si="11"/>
        <v/>
      </c>
      <c r="I118" s="7" t="str">
        <f t="shared" si="12"/>
        <v/>
      </c>
      <c r="J118" s="3" t="str">
        <f t="shared" si="13"/>
        <v/>
      </c>
      <c r="K118" s="4" t="str">
        <f t="shared" si="14"/>
        <v/>
      </c>
      <c r="L118" s="7" t="str">
        <f t="shared" si="15"/>
        <v/>
      </c>
      <c r="M118" s="9" t="str">
        <f t="shared" si="16"/>
        <v/>
      </c>
      <c r="N118" s="9" t="str">
        <f>IF(NOT(ISERROR(VLOOKUP(B118,Deflatores!G$42:H$64,2,FALSE))),VLOOKUP(B118,Deflatores!G$42:H$64,2,FALSE),IF(OR(ISBLANK(C118),ISBLANK(B118)),"",VLOOKUP(C118,Deflatores!G$4:H$38,2,FALSE)*J118+VLOOKUP(C118,Deflatores!G$4:I$38,3,FALSE)))</f>
        <v/>
      </c>
      <c r="O118" s="5"/>
      <c r="P118" s="5"/>
      <c r="Q118" s="6"/>
      <c r="R118" s="10"/>
      <c r="S118" s="104"/>
      <c r="T118" s="162"/>
      <c r="U118" s="10"/>
    </row>
    <row r="119" spans="1:21" ht="21.75" customHeight="1" x14ac:dyDescent="0.2">
      <c r="A119" s="102"/>
      <c r="B119" s="2"/>
      <c r="C119" s="2"/>
      <c r="D119" s="2"/>
      <c r="E119" s="5"/>
      <c r="F119" s="2"/>
      <c r="G119" s="5"/>
      <c r="H119" s="8" t="str">
        <f t="shared" si="11"/>
        <v/>
      </c>
      <c r="I119" s="7" t="str">
        <f t="shared" si="12"/>
        <v/>
      </c>
      <c r="J119" s="3" t="str">
        <f t="shared" si="13"/>
        <v/>
      </c>
      <c r="K119" s="4" t="str">
        <f t="shared" si="14"/>
        <v/>
      </c>
      <c r="L119" s="7" t="str">
        <f t="shared" si="15"/>
        <v/>
      </c>
      <c r="M119" s="9" t="str">
        <f t="shared" si="16"/>
        <v/>
      </c>
      <c r="N119" s="9" t="str">
        <f>IF(NOT(ISERROR(VLOOKUP(B119,Deflatores!G$42:H$64,2,FALSE))),VLOOKUP(B119,Deflatores!G$42:H$64,2,FALSE),IF(OR(ISBLANK(C119),ISBLANK(B119)),"",VLOOKUP(C119,Deflatores!G$4:H$38,2,FALSE)*J119+VLOOKUP(C119,Deflatores!G$4:I$38,3,FALSE)))</f>
        <v/>
      </c>
      <c r="O119" s="5"/>
      <c r="P119" s="5"/>
      <c r="Q119" s="6"/>
      <c r="R119" s="10"/>
      <c r="S119" s="104"/>
      <c r="T119" s="162"/>
      <c r="U119" s="10"/>
    </row>
    <row r="120" spans="1:21" ht="21.75" customHeight="1" x14ac:dyDescent="0.2">
      <c r="A120" s="102"/>
      <c r="B120" s="2"/>
      <c r="C120" s="2"/>
      <c r="D120" s="2"/>
      <c r="E120" s="5"/>
      <c r="F120" s="2"/>
      <c r="G120" s="5"/>
      <c r="H120" s="8" t="str">
        <f t="shared" si="11"/>
        <v/>
      </c>
      <c r="I120" s="7" t="str">
        <f t="shared" si="12"/>
        <v/>
      </c>
      <c r="J120" s="3" t="str">
        <f t="shared" si="13"/>
        <v/>
      </c>
      <c r="K120" s="4" t="str">
        <f t="shared" si="14"/>
        <v/>
      </c>
      <c r="L120" s="7" t="str">
        <f t="shared" si="15"/>
        <v/>
      </c>
      <c r="M120" s="9" t="str">
        <f t="shared" si="16"/>
        <v/>
      </c>
      <c r="N120" s="9" t="str">
        <f>IF(NOT(ISERROR(VLOOKUP(B120,Deflatores!G$42:H$64,2,FALSE))),VLOOKUP(B120,Deflatores!G$42:H$64,2,FALSE),IF(OR(ISBLANK(C120),ISBLANK(B120)),"",VLOOKUP(C120,Deflatores!G$4:H$38,2,FALSE)*J120+VLOOKUP(C120,Deflatores!G$4:I$38,3,FALSE)))</f>
        <v/>
      </c>
      <c r="O120" s="5"/>
      <c r="P120" s="5"/>
      <c r="Q120" s="6"/>
      <c r="R120" s="10"/>
      <c r="S120" s="104"/>
      <c r="T120" s="162"/>
      <c r="U120" s="10"/>
    </row>
    <row r="121" spans="1:21" ht="21.75" customHeight="1" x14ac:dyDescent="0.2">
      <c r="A121" s="102"/>
      <c r="B121" s="2"/>
      <c r="C121" s="2"/>
      <c r="D121" s="2"/>
      <c r="E121" s="5"/>
      <c r="F121" s="2"/>
      <c r="G121" s="5"/>
      <c r="H121" s="8" t="str">
        <f t="shared" si="11"/>
        <v/>
      </c>
      <c r="I121" s="7" t="str">
        <f t="shared" si="12"/>
        <v/>
      </c>
      <c r="J121" s="3" t="str">
        <f t="shared" si="13"/>
        <v/>
      </c>
      <c r="K121" s="4" t="str">
        <f t="shared" si="14"/>
        <v/>
      </c>
      <c r="L121" s="7" t="str">
        <f t="shared" si="15"/>
        <v/>
      </c>
      <c r="M121" s="9" t="str">
        <f t="shared" si="16"/>
        <v/>
      </c>
      <c r="N121" s="9" t="str">
        <f>IF(NOT(ISERROR(VLOOKUP(B121,Deflatores!G$42:H$64,2,FALSE))),VLOOKUP(B121,Deflatores!G$42:H$64,2,FALSE),IF(OR(ISBLANK(C121),ISBLANK(B121)),"",VLOOKUP(C121,Deflatores!G$4:H$38,2,FALSE)*J121+VLOOKUP(C121,Deflatores!G$4:I$38,3,FALSE)))</f>
        <v/>
      </c>
      <c r="O121" s="5"/>
      <c r="P121" s="5"/>
      <c r="Q121" s="6"/>
      <c r="R121" s="10"/>
      <c r="S121" s="104"/>
      <c r="T121" s="162"/>
      <c r="U121" s="10"/>
    </row>
    <row r="122" spans="1:21" ht="21.75" customHeight="1" x14ac:dyDescent="0.2">
      <c r="A122" s="102"/>
      <c r="B122" s="2"/>
      <c r="C122" s="2"/>
      <c r="D122" s="2"/>
      <c r="E122" s="5"/>
      <c r="F122" s="2"/>
      <c r="G122" s="5"/>
      <c r="H122" s="8" t="str">
        <f t="shared" si="11"/>
        <v/>
      </c>
      <c r="I122" s="7" t="str">
        <f t="shared" si="12"/>
        <v/>
      </c>
      <c r="J122" s="3" t="str">
        <f t="shared" si="13"/>
        <v/>
      </c>
      <c r="K122" s="4" t="str">
        <f t="shared" si="14"/>
        <v/>
      </c>
      <c r="L122" s="7" t="str">
        <f t="shared" si="15"/>
        <v/>
      </c>
      <c r="M122" s="9" t="str">
        <f t="shared" si="16"/>
        <v/>
      </c>
      <c r="N122" s="9" t="str">
        <f>IF(NOT(ISERROR(VLOOKUP(B122,Deflatores!G$42:H$64,2,FALSE))),VLOOKUP(B122,Deflatores!G$42:H$64,2,FALSE),IF(OR(ISBLANK(C122),ISBLANK(B122)),"",VLOOKUP(C122,Deflatores!G$4:H$38,2,FALSE)*J122+VLOOKUP(C122,Deflatores!G$4:I$38,3,FALSE)))</f>
        <v/>
      </c>
      <c r="O122" s="5"/>
      <c r="P122" s="5"/>
      <c r="Q122" s="6"/>
      <c r="R122" s="10"/>
      <c r="S122" s="104"/>
      <c r="T122" s="162"/>
      <c r="U122" s="10"/>
    </row>
    <row r="123" spans="1:21" ht="21.75" customHeight="1" x14ac:dyDescent="0.2">
      <c r="A123" s="102"/>
      <c r="B123" s="2"/>
      <c r="C123" s="2"/>
      <c r="D123" s="2"/>
      <c r="E123" s="5"/>
      <c r="F123" s="2"/>
      <c r="G123" s="5"/>
      <c r="H123" s="8" t="str">
        <f t="shared" si="11"/>
        <v/>
      </c>
      <c r="I123" s="7" t="str">
        <f t="shared" si="12"/>
        <v/>
      </c>
      <c r="J123" s="3" t="str">
        <f t="shared" si="13"/>
        <v/>
      </c>
      <c r="K123" s="4" t="str">
        <f t="shared" si="14"/>
        <v/>
      </c>
      <c r="L123" s="7" t="str">
        <f t="shared" si="15"/>
        <v/>
      </c>
      <c r="M123" s="9" t="str">
        <f t="shared" si="16"/>
        <v/>
      </c>
      <c r="N123" s="9" t="str">
        <f>IF(NOT(ISERROR(VLOOKUP(B123,Deflatores!G$42:H$64,2,FALSE))),VLOOKUP(B123,Deflatores!G$42:H$64,2,FALSE),IF(OR(ISBLANK(C123),ISBLANK(B123)),"",VLOOKUP(C123,Deflatores!G$4:H$38,2,FALSE)*J123+VLOOKUP(C123,Deflatores!G$4:I$38,3,FALSE)))</f>
        <v/>
      </c>
      <c r="O123" s="5"/>
      <c r="P123" s="5"/>
      <c r="Q123" s="6"/>
      <c r="R123" s="10"/>
      <c r="S123" s="104"/>
      <c r="T123" s="162"/>
      <c r="U123" s="10"/>
    </row>
    <row r="124" spans="1:21" ht="21.75" customHeight="1" x14ac:dyDescent="0.2">
      <c r="A124" s="102"/>
      <c r="B124" s="2"/>
      <c r="C124" s="2"/>
      <c r="D124" s="2"/>
      <c r="E124" s="5"/>
      <c r="F124" s="2"/>
      <c r="G124" s="5"/>
      <c r="H124" s="8" t="str">
        <f t="shared" si="11"/>
        <v/>
      </c>
      <c r="I124" s="7" t="str">
        <f t="shared" si="12"/>
        <v/>
      </c>
      <c r="J124" s="3" t="str">
        <f t="shared" si="13"/>
        <v/>
      </c>
      <c r="K124" s="4" t="str">
        <f t="shared" si="14"/>
        <v/>
      </c>
      <c r="L124" s="7" t="str">
        <f t="shared" si="15"/>
        <v/>
      </c>
      <c r="M124" s="9" t="str">
        <f t="shared" si="16"/>
        <v/>
      </c>
      <c r="N124" s="9" t="str">
        <f>IF(NOT(ISERROR(VLOOKUP(B124,Deflatores!G$42:H$64,2,FALSE))),VLOOKUP(B124,Deflatores!G$42:H$64,2,FALSE),IF(OR(ISBLANK(C124),ISBLANK(B124)),"",VLOOKUP(C124,Deflatores!G$4:H$38,2,FALSE)*J124+VLOOKUP(C124,Deflatores!G$4:I$38,3,FALSE)))</f>
        <v/>
      </c>
      <c r="O124" s="5"/>
      <c r="P124" s="5"/>
      <c r="Q124" s="6"/>
      <c r="R124" s="10"/>
      <c r="S124" s="104"/>
      <c r="T124" s="162"/>
      <c r="U124" s="10"/>
    </row>
    <row r="125" spans="1:21" ht="21.75" customHeight="1" x14ac:dyDescent="0.2">
      <c r="A125" s="102"/>
      <c r="B125" s="2"/>
      <c r="C125" s="2"/>
      <c r="D125" s="2"/>
      <c r="E125" s="5"/>
      <c r="F125" s="2"/>
      <c r="G125" s="5"/>
      <c r="H125" s="8" t="str">
        <f t="shared" si="11"/>
        <v/>
      </c>
      <c r="I125" s="7" t="str">
        <f t="shared" si="12"/>
        <v/>
      </c>
      <c r="J125" s="3" t="str">
        <f t="shared" si="13"/>
        <v/>
      </c>
      <c r="K125" s="4" t="str">
        <f t="shared" si="14"/>
        <v/>
      </c>
      <c r="L125" s="7" t="str">
        <f t="shared" si="15"/>
        <v/>
      </c>
      <c r="M125" s="9" t="str">
        <f t="shared" si="16"/>
        <v/>
      </c>
      <c r="N125" s="9" t="str">
        <f>IF(NOT(ISERROR(VLOOKUP(B125,Deflatores!G$42:H$64,2,FALSE))),VLOOKUP(B125,Deflatores!G$42:H$64,2,FALSE),IF(OR(ISBLANK(C125),ISBLANK(B125)),"",VLOOKUP(C125,Deflatores!G$4:H$38,2,FALSE)*J125+VLOOKUP(C125,Deflatores!G$4:I$38,3,FALSE)))</f>
        <v/>
      </c>
      <c r="O125" s="5"/>
      <c r="P125" s="5"/>
      <c r="Q125" s="6"/>
      <c r="R125" s="10"/>
      <c r="S125" s="104"/>
      <c r="T125" s="162"/>
      <c r="U125" s="10"/>
    </row>
    <row r="126" spans="1:21" ht="21.75" customHeight="1" x14ac:dyDescent="0.2">
      <c r="A126" s="102"/>
      <c r="B126" s="2"/>
      <c r="C126" s="2"/>
      <c r="D126" s="2"/>
      <c r="E126" s="5"/>
      <c r="F126" s="2"/>
      <c r="G126" s="5"/>
      <c r="H126" s="8" t="str">
        <f t="shared" si="11"/>
        <v/>
      </c>
      <c r="I126" s="7" t="str">
        <f t="shared" si="12"/>
        <v/>
      </c>
      <c r="J126" s="3" t="str">
        <f t="shared" si="13"/>
        <v/>
      </c>
      <c r="K126" s="4" t="str">
        <f t="shared" si="14"/>
        <v/>
      </c>
      <c r="L126" s="7" t="str">
        <f t="shared" si="15"/>
        <v/>
      </c>
      <c r="M126" s="9" t="str">
        <f t="shared" si="16"/>
        <v/>
      </c>
      <c r="N126" s="9" t="str">
        <f>IF(NOT(ISERROR(VLOOKUP(B126,Deflatores!G$42:H$64,2,FALSE))),VLOOKUP(B126,Deflatores!G$42:H$64,2,FALSE),IF(OR(ISBLANK(C126),ISBLANK(B126)),"",VLOOKUP(C126,Deflatores!G$4:H$38,2,FALSE)*J126+VLOOKUP(C126,Deflatores!G$4:I$38,3,FALSE)))</f>
        <v/>
      </c>
      <c r="O126" s="5"/>
      <c r="P126" s="5"/>
      <c r="Q126" s="6"/>
      <c r="R126" s="10"/>
      <c r="S126" s="104"/>
      <c r="T126" s="162"/>
      <c r="U126" s="10"/>
    </row>
    <row r="127" spans="1:21" ht="21.75" customHeight="1" x14ac:dyDescent="0.2">
      <c r="A127" s="102"/>
      <c r="B127" s="2"/>
      <c r="C127" s="2"/>
      <c r="D127" s="2"/>
      <c r="E127" s="5"/>
      <c r="F127" s="2"/>
      <c r="G127" s="5"/>
      <c r="H127" s="8" t="str">
        <f t="shared" si="11"/>
        <v/>
      </c>
      <c r="I127" s="7" t="str">
        <f t="shared" si="12"/>
        <v/>
      </c>
      <c r="J127" s="3" t="str">
        <f t="shared" si="13"/>
        <v/>
      </c>
      <c r="K127" s="4" t="str">
        <f t="shared" si="14"/>
        <v/>
      </c>
      <c r="L127" s="7" t="str">
        <f t="shared" si="15"/>
        <v/>
      </c>
      <c r="M127" s="9" t="str">
        <f t="shared" si="16"/>
        <v/>
      </c>
      <c r="N127" s="9" t="str">
        <f>IF(NOT(ISERROR(VLOOKUP(B127,Deflatores!G$42:H$64,2,FALSE))),VLOOKUP(B127,Deflatores!G$42:H$64,2,FALSE),IF(OR(ISBLANK(C127),ISBLANK(B127)),"",VLOOKUP(C127,Deflatores!G$4:H$38,2,FALSE)*J127+VLOOKUP(C127,Deflatores!G$4:I$38,3,FALSE)))</f>
        <v/>
      </c>
      <c r="O127" s="5"/>
      <c r="P127" s="5"/>
      <c r="Q127" s="6"/>
      <c r="R127" s="10"/>
      <c r="S127" s="104"/>
      <c r="T127" s="162"/>
      <c r="U127" s="10"/>
    </row>
    <row r="128" spans="1:21" ht="21.75" customHeight="1" x14ac:dyDescent="0.2">
      <c r="A128" s="102"/>
      <c r="B128" s="2"/>
      <c r="C128" s="2"/>
      <c r="D128" s="2"/>
      <c r="E128" s="5"/>
      <c r="F128" s="2"/>
      <c r="G128" s="5"/>
      <c r="H128" s="8" t="str">
        <f t="shared" si="11"/>
        <v/>
      </c>
      <c r="I128" s="7" t="str">
        <f t="shared" si="12"/>
        <v/>
      </c>
      <c r="J128" s="3" t="str">
        <f t="shared" si="13"/>
        <v/>
      </c>
      <c r="K128" s="4" t="str">
        <f t="shared" si="14"/>
        <v/>
      </c>
      <c r="L128" s="7" t="str">
        <f t="shared" si="15"/>
        <v/>
      </c>
      <c r="M128" s="9" t="str">
        <f t="shared" si="16"/>
        <v/>
      </c>
      <c r="N128" s="9" t="str">
        <f>IF(NOT(ISERROR(VLOOKUP(B128,Deflatores!G$42:H$64,2,FALSE))),VLOOKUP(B128,Deflatores!G$42:H$64,2,FALSE),IF(OR(ISBLANK(C128),ISBLANK(B128)),"",VLOOKUP(C128,Deflatores!G$4:H$38,2,FALSE)*J128+VLOOKUP(C128,Deflatores!G$4:I$38,3,FALSE)))</f>
        <v/>
      </c>
      <c r="O128" s="5"/>
      <c r="P128" s="5"/>
      <c r="Q128" s="6"/>
      <c r="R128" s="10"/>
      <c r="S128" s="104"/>
      <c r="T128" s="162"/>
      <c r="U128" s="10"/>
    </row>
    <row r="129" spans="1:21" ht="21.75" customHeight="1" x14ac:dyDescent="0.2">
      <c r="A129" s="102"/>
      <c r="B129" s="2"/>
      <c r="C129" s="2"/>
      <c r="D129" s="2"/>
      <c r="E129" s="5"/>
      <c r="F129" s="2"/>
      <c r="G129" s="5"/>
      <c r="H129" s="8" t="str">
        <f t="shared" si="11"/>
        <v/>
      </c>
      <c r="I129" s="7" t="str">
        <f t="shared" si="12"/>
        <v/>
      </c>
      <c r="J129" s="3" t="str">
        <f t="shared" si="13"/>
        <v/>
      </c>
      <c r="K129" s="4" t="str">
        <f t="shared" si="14"/>
        <v/>
      </c>
      <c r="L129" s="7" t="str">
        <f t="shared" si="15"/>
        <v/>
      </c>
      <c r="M129" s="9" t="str">
        <f t="shared" si="16"/>
        <v/>
      </c>
      <c r="N129" s="9" t="str">
        <f>IF(NOT(ISERROR(VLOOKUP(B129,Deflatores!G$42:H$64,2,FALSE))),VLOOKUP(B129,Deflatores!G$42:H$64,2,FALSE),IF(OR(ISBLANK(C129),ISBLANK(B129)),"",VLOOKUP(C129,Deflatores!G$4:H$38,2,FALSE)*J129+VLOOKUP(C129,Deflatores!G$4:I$38,3,FALSE)))</f>
        <v/>
      </c>
      <c r="O129" s="5"/>
      <c r="P129" s="5"/>
      <c r="Q129" s="6"/>
      <c r="R129" s="10"/>
      <c r="S129" s="104"/>
      <c r="T129" s="162"/>
      <c r="U129" s="10"/>
    </row>
    <row r="130" spans="1:21" ht="21.75" customHeight="1" x14ac:dyDescent="0.2">
      <c r="A130" s="102"/>
      <c r="B130" s="2"/>
      <c r="C130" s="2"/>
      <c r="D130" s="2"/>
      <c r="E130" s="5"/>
      <c r="F130" s="2"/>
      <c r="G130" s="5"/>
      <c r="H130" s="8" t="str">
        <f t="shared" si="11"/>
        <v/>
      </c>
      <c r="I130" s="7" t="str">
        <f t="shared" si="12"/>
        <v/>
      </c>
      <c r="J130" s="3" t="str">
        <f t="shared" si="13"/>
        <v/>
      </c>
      <c r="K130" s="4" t="str">
        <f t="shared" si="14"/>
        <v/>
      </c>
      <c r="L130" s="7" t="str">
        <f t="shared" si="15"/>
        <v/>
      </c>
      <c r="M130" s="9" t="str">
        <f t="shared" si="16"/>
        <v/>
      </c>
      <c r="N130" s="9" t="str">
        <f>IF(NOT(ISERROR(VLOOKUP(B130,Deflatores!G$42:H$64,2,FALSE))),VLOOKUP(B130,Deflatores!G$42:H$64,2,FALSE),IF(OR(ISBLANK(C130),ISBLANK(B130)),"",VLOOKUP(C130,Deflatores!G$4:H$38,2,FALSE)*J130+VLOOKUP(C130,Deflatores!G$4:I$38,3,FALSE)))</f>
        <v/>
      </c>
      <c r="O130" s="5"/>
      <c r="P130" s="5"/>
      <c r="Q130" s="6"/>
      <c r="R130" s="10"/>
      <c r="S130" s="104"/>
      <c r="T130" s="162"/>
      <c r="U130" s="10"/>
    </row>
    <row r="131" spans="1:21" ht="21.75" customHeight="1" x14ac:dyDescent="0.2">
      <c r="A131" s="102"/>
      <c r="B131" s="2"/>
      <c r="C131" s="2"/>
      <c r="D131" s="2"/>
      <c r="E131" s="5"/>
      <c r="F131" s="2"/>
      <c r="G131" s="5"/>
      <c r="H131" s="8" t="str">
        <f t="shared" si="11"/>
        <v/>
      </c>
      <c r="I131" s="7" t="str">
        <f t="shared" si="12"/>
        <v/>
      </c>
      <c r="J131" s="3" t="str">
        <f t="shared" si="13"/>
        <v/>
      </c>
      <c r="K131" s="4" t="str">
        <f t="shared" si="14"/>
        <v/>
      </c>
      <c r="L131" s="7" t="str">
        <f t="shared" si="15"/>
        <v/>
      </c>
      <c r="M131" s="9" t="str">
        <f t="shared" si="16"/>
        <v/>
      </c>
      <c r="N131" s="9" t="str">
        <f>IF(NOT(ISERROR(VLOOKUP(B131,Deflatores!G$42:H$64,2,FALSE))),VLOOKUP(B131,Deflatores!G$42:H$64,2,FALSE),IF(OR(ISBLANK(C131),ISBLANK(B131)),"",VLOOKUP(C131,Deflatores!G$4:H$38,2,FALSE)*J131+VLOOKUP(C131,Deflatores!G$4:I$38,3,FALSE)))</f>
        <v/>
      </c>
      <c r="O131" s="5"/>
      <c r="P131" s="5"/>
      <c r="Q131" s="6"/>
      <c r="R131" s="10"/>
      <c r="S131" s="104"/>
      <c r="T131" s="162"/>
      <c r="U131" s="10"/>
    </row>
    <row r="132" spans="1:21" ht="21.75" customHeight="1" x14ac:dyDescent="0.2">
      <c r="A132" s="102"/>
      <c r="B132" s="2"/>
      <c r="C132" s="2"/>
      <c r="D132" s="2"/>
      <c r="E132" s="5"/>
      <c r="F132" s="2"/>
      <c r="G132" s="5"/>
      <c r="H132" s="8" t="str">
        <f t="shared" si="11"/>
        <v/>
      </c>
      <c r="I132" s="7" t="str">
        <f t="shared" si="12"/>
        <v/>
      </c>
      <c r="J132" s="3" t="str">
        <f t="shared" si="13"/>
        <v/>
      </c>
      <c r="K132" s="4" t="str">
        <f t="shared" si="14"/>
        <v/>
      </c>
      <c r="L132" s="7" t="str">
        <f t="shared" si="15"/>
        <v/>
      </c>
      <c r="M132" s="9" t="str">
        <f t="shared" si="16"/>
        <v/>
      </c>
      <c r="N132" s="9" t="str">
        <f>IF(NOT(ISERROR(VLOOKUP(B132,Deflatores!G$42:H$64,2,FALSE))),VLOOKUP(B132,Deflatores!G$42:H$64,2,FALSE),IF(OR(ISBLANK(C132),ISBLANK(B132)),"",VLOOKUP(C132,Deflatores!G$4:H$38,2,FALSE)*J132+VLOOKUP(C132,Deflatores!G$4:I$38,3,FALSE)))</f>
        <v/>
      </c>
      <c r="O132" s="5"/>
      <c r="P132" s="5"/>
      <c r="Q132" s="6"/>
      <c r="R132" s="10"/>
      <c r="S132" s="104"/>
      <c r="T132" s="162"/>
      <c r="U132" s="10"/>
    </row>
    <row r="133" spans="1:21" ht="21.75" customHeight="1" x14ac:dyDescent="0.2">
      <c r="A133" s="102"/>
      <c r="B133" s="2"/>
      <c r="C133" s="2"/>
      <c r="D133" s="2"/>
      <c r="E133" s="5"/>
      <c r="F133" s="2"/>
      <c r="G133" s="5"/>
      <c r="H133" s="8" t="str">
        <f t="shared" si="11"/>
        <v/>
      </c>
      <c r="I133" s="7" t="str">
        <f t="shared" si="12"/>
        <v/>
      </c>
      <c r="J133" s="3" t="str">
        <f t="shared" si="13"/>
        <v/>
      </c>
      <c r="K133" s="4" t="str">
        <f t="shared" si="14"/>
        <v/>
      </c>
      <c r="L133" s="7" t="str">
        <f t="shared" si="15"/>
        <v/>
      </c>
      <c r="M133" s="9" t="str">
        <f t="shared" si="16"/>
        <v/>
      </c>
      <c r="N133" s="9" t="str">
        <f>IF(NOT(ISERROR(VLOOKUP(B133,Deflatores!G$42:H$64,2,FALSE))),VLOOKUP(B133,Deflatores!G$42:H$64,2,FALSE),IF(OR(ISBLANK(C133),ISBLANK(B133)),"",VLOOKUP(C133,Deflatores!G$4:H$38,2,FALSE)*J133+VLOOKUP(C133,Deflatores!G$4:I$38,3,FALSE)))</f>
        <v/>
      </c>
      <c r="O133" s="5"/>
      <c r="P133" s="5"/>
      <c r="Q133" s="6"/>
      <c r="R133" s="10"/>
      <c r="S133" s="104"/>
      <c r="T133" s="162"/>
      <c r="U133" s="10"/>
    </row>
    <row r="134" spans="1:21" ht="21.75" customHeight="1" x14ac:dyDescent="0.2">
      <c r="A134" s="102"/>
      <c r="B134" s="2"/>
      <c r="C134" s="2"/>
      <c r="D134" s="2"/>
      <c r="E134" s="5"/>
      <c r="F134" s="2"/>
      <c r="G134" s="5"/>
      <c r="H134" s="8" t="str">
        <f t="shared" si="11"/>
        <v/>
      </c>
      <c r="I134" s="7" t="str">
        <f t="shared" si="12"/>
        <v/>
      </c>
      <c r="J134" s="3" t="str">
        <f t="shared" si="13"/>
        <v/>
      </c>
      <c r="K134" s="4" t="str">
        <f t="shared" si="14"/>
        <v/>
      </c>
      <c r="L134" s="7" t="str">
        <f t="shared" si="15"/>
        <v/>
      </c>
      <c r="M134" s="9" t="str">
        <f t="shared" si="16"/>
        <v/>
      </c>
      <c r="N134" s="9" t="str">
        <f>IF(NOT(ISERROR(VLOOKUP(B134,Deflatores!G$42:H$64,2,FALSE))),VLOOKUP(B134,Deflatores!G$42:H$64,2,FALSE),IF(OR(ISBLANK(C134),ISBLANK(B134)),"",VLOOKUP(C134,Deflatores!G$4:H$38,2,FALSE)*J134+VLOOKUP(C134,Deflatores!G$4:I$38,3,FALSE)))</f>
        <v/>
      </c>
      <c r="O134" s="5"/>
      <c r="P134" s="5"/>
      <c r="Q134" s="6"/>
      <c r="R134" s="10"/>
      <c r="S134" s="104"/>
      <c r="T134" s="162"/>
      <c r="U134" s="10"/>
    </row>
    <row r="135" spans="1:21" ht="21.75" customHeight="1" x14ac:dyDescent="0.2">
      <c r="A135" s="102"/>
      <c r="B135" s="2"/>
      <c r="C135" s="2"/>
      <c r="D135" s="2"/>
      <c r="E135" s="5"/>
      <c r="F135" s="2"/>
      <c r="G135" s="5"/>
      <c r="H135" s="8" t="str">
        <f t="shared" si="11"/>
        <v/>
      </c>
      <c r="I135" s="7" t="str">
        <f t="shared" si="12"/>
        <v/>
      </c>
      <c r="J135" s="3" t="str">
        <f t="shared" si="13"/>
        <v/>
      </c>
      <c r="K135" s="4" t="str">
        <f t="shared" si="14"/>
        <v/>
      </c>
      <c r="L135" s="7" t="str">
        <f t="shared" si="15"/>
        <v/>
      </c>
      <c r="M135" s="9" t="str">
        <f t="shared" si="16"/>
        <v/>
      </c>
      <c r="N135" s="9" t="str">
        <f>IF(NOT(ISERROR(VLOOKUP(B135,Deflatores!G$42:H$64,2,FALSE))),VLOOKUP(B135,Deflatores!G$42:H$64,2,FALSE),IF(OR(ISBLANK(C135),ISBLANK(B135)),"",VLOOKUP(C135,Deflatores!G$4:H$38,2,FALSE)*J135+VLOOKUP(C135,Deflatores!G$4:I$38,3,FALSE)))</f>
        <v/>
      </c>
      <c r="O135" s="5"/>
      <c r="P135" s="5"/>
      <c r="Q135" s="6"/>
      <c r="R135" s="10"/>
      <c r="S135" s="104"/>
      <c r="T135" s="162"/>
      <c r="U135" s="10"/>
    </row>
    <row r="136" spans="1:21" ht="21.75" customHeight="1" x14ac:dyDescent="0.2">
      <c r="A136" s="102"/>
      <c r="B136" s="2"/>
      <c r="C136" s="2"/>
      <c r="D136" s="2"/>
      <c r="E136" s="5"/>
      <c r="F136" s="2"/>
      <c r="G136" s="5"/>
      <c r="H136" s="8" t="str">
        <f t="shared" si="11"/>
        <v/>
      </c>
      <c r="I136" s="7" t="str">
        <f t="shared" si="12"/>
        <v/>
      </c>
      <c r="J136" s="3" t="str">
        <f t="shared" si="13"/>
        <v/>
      </c>
      <c r="K136" s="4" t="str">
        <f t="shared" si="14"/>
        <v/>
      </c>
      <c r="L136" s="7" t="str">
        <f t="shared" si="15"/>
        <v/>
      </c>
      <c r="M136" s="9" t="str">
        <f t="shared" si="16"/>
        <v/>
      </c>
      <c r="N136" s="9" t="str">
        <f>IF(NOT(ISERROR(VLOOKUP(B136,Deflatores!G$42:H$64,2,FALSE))),VLOOKUP(B136,Deflatores!G$42:H$64,2,FALSE),IF(OR(ISBLANK(C136),ISBLANK(B136)),"",VLOOKUP(C136,Deflatores!G$4:H$38,2,FALSE)*J136+VLOOKUP(C136,Deflatores!G$4:I$38,3,FALSE)))</f>
        <v/>
      </c>
      <c r="O136" s="5"/>
      <c r="P136" s="5"/>
      <c r="Q136" s="6"/>
      <c r="R136" s="10"/>
      <c r="S136" s="104"/>
      <c r="T136" s="162"/>
      <c r="U136" s="10"/>
    </row>
    <row r="137" spans="1:21" ht="21.75" customHeight="1" x14ac:dyDescent="0.2">
      <c r="A137" s="102"/>
      <c r="B137" s="2"/>
      <c r="C137" s="2"/>
      <c r="D137" s="2"/>
      <c r="E137" s="5"/>
      <c r="F137" s="2"/>
      <c r="G137" s="5"/>
      <c r="H137" s="8" t="str">
        <f t="shared" ref="H137:H200" si="17">IF(ISBLANK(B137),"",IF(K137="L","Baixa",IF(K137="A","Média",IF(K137="","","Alta"))))</f>
        <v/>
      </c>
      <c r="I137" s="7" t="str">
        <f t="shared" ref="I137:I200" si="18">CONCATENATE(B137,K137)</f>
        <v/>
      </c>
      <c r="J137" s="3" t="str">
        <f t="shared" ref="J137:J200" si="19">IF(ISBLANK(B137),"",IF(B137="ALI",IF(K137="L",7,IF(K137="A",10,15)),IF(B137="AIE",IF(K137="L",5,IF(K137="A",7,10)),IF(B137="SE",IF(K137="L",4,IF(K137="A",5,7)),IF(OR(B137="EE",B137="CE"),IF(K137="L",3,IF(K137="A",4,6)),0)))))</f>
        <v/>
      </c>
      <c r="K137" s="4" t="str">
        <f t="shared" ref="K137:K200" si="20">IF(OR(ISBLANK(D137),ISBLANK(F137)),IF(OR(B137="ALI",B137="AIE"),"L",IF(OR(B137="EE",B137="SE",B137="CE"),"A","")),IF(B137="EE",IF(F137&gt;=3,IF(D137&gt;=5,"H","A"),IF(F137&gt;=2,IF(D137&gt;=16,"H",IF(D137&lt;=4,"L","A")),IF(D137&lt;=15,"L","A"))),IF(OR(B137="SE",B137="CE"),IF(F137&gt;=4,IF(D137&gt;=6,"H","A"),IF(F137&gt;=2,IF(D137&gt;=20,"H",IF(D137&lt;=5,"L","A")),IF(D137&lt;=19,"L","A"))),IF(OR(B137="ALI",B137="AIE"),IF(F137&gt;=6,IF(D137&gt;=20,"H","A"),IF(F137&gt;=2,IF(D137&gt;=51,"H",IF(D137&lt;=19,"L","A")),IF(D137&lt;=50,"L","A"))),""))))</f>
        <v/>
      </c>
      <c r="L137" s="7" t="str">
        <f t="shared" ref="L137:L200" si="21">CONCATENATE(B137,C137)</f>
        <v/>
      </c>
      <c r="M137" s="9" t="str">
        <f t="shared" ref="M137:M200" si="22">IF(OR(J137="",J137=0),N137,J137)</f>
        <v/>
      </c>
      <c r="N137" s="9" t="str">
        <f>IF(NOT(ISERROR(VLOOKUP(B137,Deflatores!G$42:H$64,2,FALSE))),VLOOKUP(B137,Deflatores!G$42:H$64,2,FALSE),IF(OR(ISBLANK(C137),ISBLANK(B137)),"",VLOOKUP(C137,Deflatores!G$4:H$38,2,FALSE)*J137+VLOOKUP(C137,Deflatores!G$4:I$38,3,FALSE)))</f>
        <v/>
      </c>
      <c r="O137" s="5"/>
      <c r="P137" s="5"/>
      <c r="Q137" s="6"/>
      <c r="R137" s="10"/>
      <c r="S137" s="104"/>
      <c r="T137" s="162"/>
      <c r="U137" s="10"/>
    </row>
    <row r="138" spans="1:21" ht="21.75" customHeight="1" x14ac:dyDescent="0.2">
      <c r="A138" s="102"/>
      <c r="B138" s="2"/>
      <c r="C138" s="2"/>
      <c r="D138" s="2"/>
      <c r="E138" s="5"/>
      <c r="F138" s="2"/>
      <c r="G138" s="5"/>
      <c r="H138" s="8" t="str">
        <f t="shared" si="17"/>
        <v/>
      </c>
      <c r="I138" s="7" t="str">
        <f t="shared" si="18"/>
        <v/>
      </c>
      <c r="J138" s="3" t="str">
        <f t="shared" si="19"/>
        <v/>
      </c>
      <c r="K138" s="4" t="str">
        <f t="shared" si="20"/>
        <v/>
      </c>
      <c r="L138" s="7" t="str">
        <f t="shared" si="21"/>
        <v/>
      </c>
      <c r="M138" s="9" t="str">
        <f t="shared" si="22"/>
        <v/>
      </c>
      <c r="N138" s="9" t="str">
        <f>IF(NOT(ISERROR(VLOOKUP(B138,Deflatores!G$42:H$64,2,FALSE))),VLOOKUP(B138,Deflatores!G$42:H$64,2,FALSE),IF(OR(ISBLANK(C138),ISBLANK(B138)),"",VLOOKUP(C138,Deflatores!G$4:H$38,2,FALSE)*J138+VLOOKUP(C138,Deflatores!G$4:I$38,3,FALSE)))</f>
        <v/>
      </c>
      <c r="O138" s="5"/>
      <c r="P138" s="5"/>
      <c r="Q138" s="6"/>
      <c r="R138" s="10"/>
      <c r="S138" s="104"/>
      <c r="T138" s="162"/>
      <c r="U138" s="10"/>
    </row>
    <row r="139" spans="1:21" ht="21.75" customHeight="1" x14ac:dyDescent="0.2">
      <c r="A139" s="102"/>
      <c r="B139" s="2"/>
      <c r="C139" s="2"/>
      <c r="D139" s="2"/>
      <c r="E139" s="5"/>
      <c r="F139" s="2"/>
      <c r="G139" s="5"/>
      <c r="H139" s="8" t="str">
        <f t="shared" si="17"/>
        <v/>
      </c>
      <c r="I139" s="7" t="str">
        <f t="shared" si="18"/>
        <v/>
      </c>
      <c r="J139" s="3" t="str">
        <f t="shared" si="19"/>
        <v/>
      </c>
      <c r="K139" s="4" t="str">
        <f t="shared" si="20"/>
        <v/>
      </c>
      <c r="L139" s="7" t="str">
        <f t="shared" si="21"/>
        <v/>
      </c>
      <c r="M139" s="9" t="str">
        <f t="shared" si="22"/>
        <v/>
      </c>
      <c r="N139" s="9" t="str">
        <f>IF(NOT(ISERROR(VLOOKUP(B139,Deflatores!G$42:H$64,2,FALSE))),VLOOKUP(B139,Deflatores!G$42:H$64,2,FALSE),IF(OR(ISBLANK(C139),ISBLANK(B139)),"",VLOOKUP(C139,Deflatores!G$4:H$38,2,FALSE)*J139+VLOOKUP(C139,Deflatores!G$4:I$38,3,FALSE)))</f>
        <v/>
      </c>
      <c r="O139" s="5"/>
      <c r="P139" s="5"/>
      <c r="Q139" s="6"/>
      <c r="R139" s="10"/>
      <c r="S139" s="104"/>
      <c r="T139" s="162"/>
      <c r="U139" s="10"/>
    </row>
    <row r="140" spans="1:21" ht="21.75" customHeight="1" x14ac:dyDescent="0.2">
      <c r="A140" s="102"/>
      <c r="B140" s="2"/>
      <c r="C140" s="2"/>
      <c r="D140" s="2"/>
      <c r="E140" s="5"/>
      <c r="F140" s="2"/>
      <c r="G140" s="5"/>
      <c r="H140" s="8" t="str">
        <f t="shared" si="17"/>
        <v/>
      </c>
      <c r="I140" s="7" t="str">
        <f t="shared" si="18"/>
        <v/>
      </c>
      <c r="J140" s="3" t="str">
        <f t="shared" si="19"/>
        <v/>
      </c>
      <c r="K140" s="4" t="str">
        <f t="shared" si="20"/>
        <v/>
      </c>
      <c r="L140" s="7" t="str">
        <f t="shared" si="21"/>
        <v/>
      </c>
      <c r="M140" s="9" t="str">
        <f t="shared" si="22"/>
        <v/>
      </c>
      <c r="N140" s="9" t="str">
        <f>IF(NOT(ISERROR(VLOOKUP(B140,Deflatores!G$42:H$64,2,FALSE))),VLOOKUP(B140,Deflatores!G$42:H$64,2,FALSE),IF(OR(ISBLANK(C140),ISBLANK(B140)),"",VLOOKUP(C140,Deflatores!G$4:H$38,2,FALSE)*J140+VLOOKUP(C140,Deflatores!G$4:I$38,3,FALSE)))</f>
        <v/>
      </c>
      <c r="O140" s="5"/>
      <c r="P140" s="5"/>
      <c r="Q140" s="6"/>
      <c r="R140" s="10"/>
      <c r="S140" s="104"/>
      <c r="T140" s="162"/>
      <c r="U140" s="10"/>
    </row>
    <row r="141" spans="1:21" ht="21.75" customHeight="1" x14ac:dyDescent="0.2">
      <c r="A141" s="102"/>
      <c r="B141" s="2"/>
      <c r="C141" s="2"/>
      <c r="D141" s="2"/>
      <c r="E141" s="5"/>
      <c r="F141" s="2"/>
      <c r="G141" s="5"/>
      <c r="H141" s="8" t="str">
        <f t="shared" si="17"/>
        <v/>
      </c>
      <c r="I141" s="7" t="str">
        <f t="shared" si="18"/>
        <v/>
      </c>
      <c r="J141" s="3" t="str">
        <f t="shared" si="19"/>
        <v/>
      </c>
      <c r="K141" s="4" t="str">
        <f t="shared" si="20"/>
        <v/>
      </c>
      <c r="L141" s="7" t="str">
        <f t="shared" si="21"/>
        <v/>
      </c>
      <c r="M141" s="9" t="str">
        <f t="shared" si="22"/>
        <v/>
      </c>
      <c r="N141" s="9" t="str">
        <f>IF(NOT(ISERROR(VLOOKUP(B141,Deflatores!G$42:H$64,2,FALSE))),VLOOKUP(B141,Deflatores!G$42:H$64,2,FALSE),IF(OR(ISBLANK(C141),ISBLANK(B141)),"",VLOOKUP(C141,Deflatores!G$4:H$38,2,FALSE)*J141+VLOOKUP(C141,Deflatores!G$4:I$38,3,FALSE)))</f>
        <v/>
      </c>
      <c r="O141" s="5"/>
      <c r="P141" s="5"/>
      <c r="Q141" s="6"/>
      <c r="R141" s="10"/>
      <c r="S141" s="104"/>
      <c r="T141" s="162"/>
      <c r="U141" s="10"/>
    </row>
    <row r="142" spans="1:21" ht="21.75" customHeight="1" x14ac:dyDescent="0.2">
      <c r="A142" s="102"/>
      <c r="B142" s="2"/>
      <c r="C142" s="2"/>
      <c r="D142" s="2"/>
      <c r="E142" s="5"/>
      <c r="F142" s="2"/>
      <c r="G142" s="5"/>
      <c r="H142" s="8" t="str">
        <f t="shared" si="17"/>
        <v/>
      </c>
      <c r="I142" s="7" t="str">
        <f t="shared" si="18"/>
        <v/>
      </c>
      <c r="J142" s="3" t="str">
        <f t="shared" si="19"/>
        <v/>
      </c>
      <c r="K142" s="4" t="str">
        <f t="shared" si="20"/>
        <v/>
      </c>
      <c r="L142" s="7" t="str">
        <f t="shared" si="21"/>
        <v/>
      </c>
      <c r="M142" s="9" t="str">
        <f t="shared" si="22"/>
        <v/>
      </c>
      <c r="N142" s="9" t="str">
        <f>IF(NOT(ISERROR(VLOOKUP(B142,Deflatores!G$42:H$64,2,FALSE))),VLOOKUP(B142,Deflatores!G$42:H$64,2,FALSE),IF(OR(ISBLANK(C142),ISBLANK(B142)),"",VLOOKUP(C142,Deflatores!G$4:H$38,2,FALSE)*J142+VLOOKUP(C142,Deflatores!G$4:I$38,3,FALSE)))</f>
        <v/>
      </c>
      <c r="O142" s="5"/>
      <c r="P142" s="5"/>
      <c r="Q142" s="6"/>
      <c r="R142" s="10"/>
      <c r="S142" s="104"/>
      <c r="T142" s="162"/>
      <c r="U142" s="10"/>
    </row>
    <row r="143" spans="1:21" ht="21.75" customHeight="1" x14ac:dyDescent="0.2">
      <c r="A143" s="102"/>
      <c r="B143" s="2"/>
      <c r="C143" s="2"/>
      <c r="D143" s="2"/>
      <c r="E143" s="5"/>
      <c r="F143" s="2"/>
      <c r="G143" s="5"/>
      <c r="H143" s="8" t="str">
        <f t="shared" si="17"/>
        <v/>
      </c>
      <c r="I143" s="7" t="str">
        <f t="shared" si="18"/>
        <v/>
      </c>
      <c r="J143" s="3" t="str">
        <f t="shared" si="19"/>
        <v/>
      </c>
      <c r="K143" s="4" t="str">
        <f t="shared" si="20"/>
        <v/>
      </c>
      <c r="L143" s="7" t="str">
        <f t="shared" si="21"/>
        <v/>
      </c>
      <c r="M143" s="9" t="str">
        <f t="shared" si="22"/>
        <v/>
      </c>
      <c r="N143" s="9" t="str">
        <f>IF(NOT(ISERROR(VLOOKUP(B143,Deflatores!G$42:H$64,2,FALSE))),VLOOKUP(B143,Deflatores!G$42:H$64,2,FALSE),IF(OR(ISBLANK(C143),ISBLANK(B143)),"",VLOOKUP(C143,Deflatores!G$4:H$38,2,FALSE)*J143+VLOOKUP(C143,Deflatores!G$4:I$38,3,FALSE)))</f>
        <v/>
      </c>
      <c r="O143" s="5"/>
      <c r="P143" s="5"/>
      <c r="Q143" s="6"/>
      <c r="R143" s="10"/>
      <c r="S143" s="104"/>
      <c r="T143" s="162"/>
      <c r="U143" s="10"/>
    </row>
    <row r="144" spans="1:21" ht="21.75" customHeight="1" x14ac:dyDescent="0.2">
      <c r="A144" s="102"/>
      <c r="B144" s="2"/>
      <c r="C144" s="2"/>
      <c r="D144" s="2"/>
      <c r="E144" s="5"/>
      <c r="F144" s="2"/>
      <c r="G144" s="5"/>
      <c r="H144" s="8" t="str">
        <f t="shared" si="17"/>
        <v/>
      </c>
      <c r="I144" s="7" t="str">
        <f t="shared" si="18"/>
        <v/>
      </c>
      <c r="J144" s="3" t="str">
        <f t="shared" si="19"/>
        <v/>
      </c>
      <c r="K144" s="4" t="str">
        <f t="shared" si="20"/>
        <v/>
      </c>
      <c r="L144" s="7" t="str">
        <f t="shared" si="21"/>
        <v/>
      </c>
      <c r="M144" s="9" t="str">
        <f t="shared" si="22"/>
        <v/>
      </c>
      <c r="N144" s="9" t="str">
        <f>IF(NOT(ISERROR(VLOOKUP(B144,Deflatores!G$42:H$64,2,FALSE))),VLOOKUP(B144,Deflatores!G$42:H$64,2,FALSE),IF(OR(ISBLANK(C144),ISBLANK(B144)),"",VLOOKUP(C144,Deflatores!G$4:H$38,2,FALSE)*J144+VLOOKUP(C144,Deflatores!G$4:I$38,3,FALSE)))</f>
        <v/>
      </c>
      <c r="O144" s="5"/>
      <c r="P144" s="5"/>
      <c r="Q144" s="6"/>
      <c r="R144" s="10"/>
      <c r="S144" s="104"/>
      <c r="T144" s="162"/>
      <c r="U144" s="10"/>
    </row>
    <row r="145" spans="1:21" ht="21.75" customHeight="1" x14ac:dyDescent="0.2">
      <c r="A145" s="102"/>
      <c r="B145" s="2"/>
      <c r="C145" s="2"/>
      <c r="D145" s="2"/>
      <c r="E145" s="5"/>
      <c r="F145" s="2"/>
      <c r="G145" s="5"/>
      <c r="H145" s="8" t="str">
        <f t="shared" si="17"/>
        <v/>
      </c>
      <c r="I145" s="7" t="str">
        <f t="shared" si="18"/>
        <v/>
      </c>
      <c r="J145" s="3" t="str">
        <f t="shared" si="19"/>
        <v/>
      </c>
      <c r="K145" s="4" t="str">
        <f t="shared" si="20"/>
        <v/>
      </c>
      <c r="L145" s="7" t="str">
        <f t="shared" si="21"/>
        <v/>
      </c>
      <c r="M145" s="9" t="str">
        <f t="shared" si="22"/>
        <v/>
      </c>
      <c r="N145" s="9" t="str">
        <f>IF(NOT(ISERROR(VLOOKUP(B145,Deflatores!G$42:H$64,2,FALSE))),VLOOKUP(B145,Deflatores!G$42:H$64,2,FALSE),IF(OR(ISBLANK(C145),ISBLANK(B145)),"",VLOOKUP(C145,Deflatores!G$4:H$38,2,FALSE)*J145+VLOOKUP(C145,Deflatores!G$4:I$38,3,FALSE)))</f>
        <v/>
      </c>
      <c r="O145" s="5"/>
      <c r="P145" s="5"/>
      <c r="Q145" s="6"/>
      <c r="R145" s="10"/>
      <c r="S145" s="104"/>
      <c r="T145" s="162"/>
      <c r="U145" s="10"/>
    </row>
    <row r="146" spans="1:21" ht="21.75" customHeight="1" x14ac:dyDescent="0.2">
      <c r="A146" s="102"/>
      <c r="B146" s="2"/>
      <c r="C146" s="2"/>
      <c r="D146" s="2"/>
      <c r="E146" s="5"/>
      <c r="F146" s="2"/>
      <c r="G146" s="5"/>
      <c r="H146" s="8" t="str">
        <f t="shared" si="17"/>
        <v/>
      </c>
      <c r="I146" s="7" t="str">
        <f t="shared" si="18"/>
        <v/>
      </c>
      <c r="J146" s="3" t="str">
        <f t="shared" si="19"/>
        <v/>
      </c>
      <c r="K146" s="4" t="str">
        <f t="shared" si="20"/>
        <v/>
      </c>
      <c r="L146" s="7" t="str">
        <f t="shared" si="21"/>
        <v/>
      </c>
      <c r="M146" s="9" t="str">
        <f t="shared" si="22"/>
        <v/>
      </c>
      <c r="N146" s="9" t="str">
        <f>IF(NOT(ISERROR(VLOOKUP(B146,Deflatores!G$42:H$64,2,FALSE))),VLOOKUP(B146,Deflatores!G$42:H$64,2,FALSE),IF(OR(ISBLANK(C146),ISBLANK(B146)),"",VLOOKUP(C146,Deflatores!G$4:H$38,2,FALSE)*J146+VLOOKUP(C146,Deflatores!G$4:I$38,3,FALSE)))</f>
        <v/>
      </c>
      <c r="O146" s="5"/>
      <c r="P146" s="5"/>
      <c r="Q146" s="6"/>
      <c r="R146" s="10"/>
      <c r="S146" s="104"/>
      <c r="T146" s="162"/>
      <c r="U146" s="10"/>
    </row>
    <row r="147" spans="1:21" ht="21.75" customHeight="1" x14ac:dyDescent="0.2">
      <c r="A147" s="102"/>
      <c r="B147" s="2"/>
      <c r="C147" s="2"/>
      <c r="D147" s="2"/>
      <c r="E147" s="5"/>
      <c r="F147" s="2"/>
      <c r="G147" s="5"/>
      <c r="H147" s="8" t="str">
        <f t="shared" si="17"/>
        <v/>
      </c>
      <c r="I147" s="7" t="str">
        <f t="shared" si="18"/>
        <v/>
      </c>
      <c r="J147" s="3" t="str">
        <f t="shared" si="19"/>
        <v/>
      </c>
      <c r="K147" s="4" t="str">
        <f t="shared" si="20"/>
        <v/>
      </c>
      <c r="L147" s="7" t="str">
        <f t="shared" si="21"/>
        <v/>
      </c>
      <c r="M147" s="9" t="str">
        <f t="shared" si="22"/>
        <v/>
      </c>
      <c r="N147" s="9" t="str">
        <f>IF(NOT(ISERROR(VLOOKUP(B147,Deflatores!G$42:H$64,2,FALSE))),VLOOKUP(B147,Deflatores!G$42:H$64,2,FALSE),IF(OR(ISBLANK(C147),ISBLANK(B147)),"",VLOOKUP(C147,Deflatores!G$4:H$38,2,FALSE)*J147+VLOOKUP(C147,Deflatores!G$4:I$38,3,FALSE)))</f>
        <v/>
      </c>
      <c r="O147" s="5"/>
      <c r="P147" s="5"/>
      <c r="Q147" s="6"/>
      <c r="R147" s="10"/>
      <c r="S147" s="104"/>
      <c r="T147" s="162"/>
      <c r="U147" s="10"/>
    </row>
    <row r="148" spans="1:21" ht="21.75" customHeight="1" x14ac:dyDescent="0.2">
      <c r="A148" s="102"/>
      <c r="B148" s="2"/>
      <c r="C148" s="2"/>
      <c r="D148" s="2"/>
      <c r="E148" s="5"/>
      <c r="F148" s="2"/>
      <c r="G148" s="5"/>
      <c r="H148" s="8" t="str">
        <f t="shared" si="17"/>
        <v/>
      </c>
      <c r="I148" s="7" t="str">
        <f t="shared" si="18"/>
        <v/>
      </c>
      <c r="J148" s="3" t="str">
        <f t="shared" si="19"/>
        <v/>
      </c>
      <c r="K148" s="4" t="str">
        <f t="shared" si="20"/>
        <v/>
      </c>
      <c r="L148" s="7" t="str">
        <f t="shared" si="21"/>
        <v/>
      </c>
      <c r="M148" s="9" t="str">
        <f t="shared" si="22"/>
        <v/>
      </c>
      <c r="N148" s="9" t="str">
        <f>IF(NOT(ISERROR(VLOOKUP(B148,Deflatores!G$42:H$64,2,FALSE))),VLOOKUP(B148,Deflatores!G$42:H$64,2,FALSE),IF(OR(ISBLANK(C148),ISBLANK(B148)),"",VLOOKUP(C148,Deflatores!G$4:H$38,2,FALSE)*J148+VLOOKUP(C148,Deflatores!G$4:I$38,3,FALSE)))</f>
        <v/>
      </c>
      <c r="O148" s="5"/>
      <c r="P148" s="5"/>
      <c r="Q148" s="6"/>
      <c r="R148" s="10"/>
      <c r="S148" s="104"/>
      <c r="T148" s="162"/>
      <c r="U148" s="10"/>
    </row>
    <row r="149" spans="1:21" ht="21.75" customHeight="1" x14ac:dyDescent="0.2">
      <c r="A149" s="102"/>
      <c r="B149" s="2"/>
      <c r="C149" s="2"/>
      <c r="D149" s="2"/>
      <c r="E149" s="5"/>
      <c r="F149" s="2"/>
      <c r="G149" s="5"/>
      <c r="H149" s="8" t="str">
        <f t="shared" si="17"/>
        <v/>
      </c>
      <c r="I149" s="7" t="str">
        <f t="shared" si="18"/>
        <v/>
      </c>
      <c r="J149" s="3" t="str">
        <f t="shared" si="19"/>
        <v/>
      </c>
      <c r="K149" s="4" t="str">
        <f t="shared" si="20"/>
        <v/>
      </c>
      <c r="L149" s="7" t="str">
        <f t="shared" si="21"/>
        <v/>
      </c>
      <c r="M149" s="9" t="str">
        <f t="shared" si="22"/>
        <v/>
      </c>
      <c r="N149" s="9" t="str">
        <f>IF(NOT(ISERROR(VLOOKUP(B149,Deflatores!G$42:H$64,2,FALSE))),VLOOKUP(B149,Deflatores!G$42:H$64,2,FALSE),IF(OR(ISBLANK(C149),ISBLANK(B149)),"",VLOOKUP(C149,Deflatores!G$4:H$38,2,FALSE)*J149+VLOOKUP(C149,Deflatores!G$4:I$38,3,FALSE)))</f>
        <v/>
      </c>
      <c r="O149" s="5"/>
      <c r="P149" s="5"/>
      <c r="Q149" s="6"/>
      <c r="R149" s="10"/>
      <c r="S149" s="104"/>
      <c r="T149" s="162"/>
      <c r="U149" s="10"/>
    </row>
    <row r="150" spans="1:21" ht="21.75" customHeight="1" x14ac:dyDescent="0.2">
      <c r="A150" s="102"/>
      <c r="B150" s="2"/>
      <c r="C150" s="2"/>
      <c r="D150" s="2"/>
      <c r="E150" s="5"/>
      <c r="F150" s="2"/>
      <c r="G150" s="5"/>
      <c r="H150" s="8" t="str">
        <f t="shared" si="17"/>
        <v/>
      </c>
      <c r="I150" s="7" t="str">
        <f t="shared" si="18"/>
        <v/>
      </c>
      <c r="J150" s="3" t="str">
        <f t="shared" si="19"/>
        <v/>
      </c>
      <c r="K150" s="4" t="str">
        <f t="shared" si="20"/>
        <v/>
      </c>
      <c r="L150" s="7" t="str">
        <f t="shared" si="21"/>
        <v/>
      </c>
      <c r="M150" s="9" t="str">
        <f t="shared" si="22"/>
        <v/>
      </c>
      <c r="N150" s="9" t="str">
        <f>IF(NOT(ISERROR(VLOOKUP(B150,Deflatores!G$42:H$64,2,FALSE))),VLOOKUP(B150,Deflatores!G$42:H$64,2,FALSE),IF(OR(ISBLANK(C150),ISBLANK(B150)),"",VLOOKUP(C150,Deflatores!G$4:H$38,2,FALSE)*J150+VLOOKUP(C150,Deflatores!G$4:I$38,3,FALSE)))</f>
        <v/>
      </c>
      <c r="O150" s="5"/>
      <c r="P150" s="5"/>
      <c r="Q150" s="6"/>
      <c r="R150" s="10"/>
      <c r="S150" s="104"/>
      <c r="T150" s="162"/>
      <c r="U150" s="10"/>
    </row>
    <row r="151" spans="1:21" ht="21.75" customHeight="1" x14ac:dyDescent="0.2">
      <c r="A151" s="102"/>
      <c r="B151" s="2"/>
      <c r="C151" s="2"/>
      <c r="D151" s="2"/>
      <c r="E151" s="5"/>
      <c r="F151" s="2"/>
      <c r="G151" s="5"/>
      <c r="H151" s="8" t="str">
        <f t="shared" si="17"/>
        <v/>
      </c>
      <c r="I151" s="7" t="str">
        <f t="shared" si="18"/>
        <v/>
      </c>
      <c r="J151" s="3" t="str">
        <f t="shared" si="19"/>
        <v/>
      </c>
      <c r="K151" s="4" t="str">
        <f t="shared" si="20"/>
        <v/>
      </c>
      <c r="L151" s="7" t="str">
        <f t="shared" si="21"/>
        <v/>
      </c>
      <c r="M151" s="9" t="str">
        <f t="shared" si="22"/>
        <v/>
      </c>
      <c r="N151" s="9" t="str">
        <f>IF(NOT(ISERROR(VLOOKUP(B151,Deflatores!G$42:H$64,2,FALSE))),VLOOKUP(B151,Deflatores!G$42:H$64,2,FALSE),IF(OR(ISBLANK(C151),ISBLANK(B151)),"",VLOOKUP(C151,Deflatores!G$4:H$38,2,FALSE)*J151+VLOOKUP(C151,Deflatores!G$4:I$38,3,FALSE)))</f>
        <v/>
      </c>
      <c r="O151" s="5"/>
      <c r="P151" s="5"/>
      <c r="Q151" s="6"/>
      <c r="R151" s="10"/>
      <c r="S151" s="104"/>
      <c r="T151" s="162"/>
      <c r="U151" s="10"/>
    </row>
    <row r="152" spans="1:21" ht="21.75" customHeight="1" x14ac:dyDescent="0.2">
      <c r="A152" s="102"/>
      <c r="B152" s="2"/>
      <c r="C152" s="2"/>
      <c r="D152" s="2"/>
      <c r="E152" s="5"/>
      <c r="F152" s="2"/>
      <c r="G152" s="5"/>
      <c r="H152" s="8" t="str">
        <f t="shared" si="17"/>
        <v/>
      </c>
      <c r="I152" s="7" t="str">
        <f t="shared" si="18"/>
        <v/>
      </c>
      <c r="J152" s="3" t="str">
        <f t="shared" si="19"/>
        <v/>
      </c>
      <c r="K152" s="4" t="str">
        <f t="shared" si="20"/>
        <v/>
      </c>
      <c r="L152" s="7" t="str">
        <f t="shared" si="21"/>
        <v/>
      </c>
      <c r="M152" s="9" t="str">
        <f t="shared" si="22"/>
        <v/>
      </c>
      <c r="N152" s="9" t="str">
        <f>IF(NOT(ISERROR(VLOOKUP(B152,Deflatores!G$42:H$64,2,FALSE))),VLOOKUP(B152,Deflatores!G$42:H$64,2,FALSE),IF(OR(ISBLANK(C152),ISBLANK(B152)),"",VLOOKUP(C152,Deflatores!G$4:H$38,2,FALSE)*J152+VLOOKUP(C152,Deflatores!G$4:I$38,3,FALSE)))</f>
        <v/>
      </c>
      <c r="O152" s="5"/>
      <c r="P152" s="5"/>
      <c r="Q152" s="6"/>
      <c r="R152" s="10"/>
      <c r="S152" s="104"/>
      <c r="T152" s="162"/>
      <c r="U152" s="10"/>
    </row>
    <row r="153" spans="1:21" ht="21.75" customHeight="1" x14ac:dyDescent="0.2">
      <c r="A153" s="102"/>
      <c r="B153" s="2"/>
      <c r="C153" s="2"/>
      <c r="D153" s="2"/>
      <c r="E153" s="5"/>
      <c r="F153" s="2"/>
      <c r="G153" s="5"/>
      <c r="H153" s="8" t="str">
        <f t="shared" si="17"/>
        <v/>
      </c>
      <c r="I153" s="7" t="str">
        <f t="shared" si="18"/>
        <v/>
      </c>
      <c r="J153" s="3" t="str">
        <f t="shared" si="19"/>
        <v/>
      </c>
      <c r="K153" s="4" t="str">
        <f t="shared" si="20"/>
        <v/>
      </c>
      <c r="L153" s="7" t="str">
        <f t="shared" si="21"/>
        <v/>
      </c>
      <c r="M153" s="9" t="str">
        <f t="shared" si="22"/>
        <v/>
      </c>
      <c r="N153" s="9" t="str">
        <f>IF(NOT(ISERROR(VLOOKUP(B153,Deflatores!G$42:H$64,2,FALSE))),VLOOKUP(B153,Deflatores!G$42:H$64,2,FALSE),IF(OR(ISBLANK(C153),ISBLANK(B153)),"",VLOOKUP(C153,Deflatores!G$4:H$38,2,FALSE)*J153+VLOOKUP(C153,Deflatores!G$4:I$38,3,FALSE)))</f>
        <v/>
      </c>
      <c r="O153" s="5"/>
      <c r="P153" s="5"/>
      <c r="Q153" s="6"/>
      <c r="R153" s="10"/>
      <c r="S153" s="104"/>
      <c r="T153" s="162"/>
      <c r="U153" s="10"/>
    </row>
    <row r="154" spans="1:21" ht="21.75" customHeight="1" x14ac:dyDescent="0.2">
      <c r="A154" s="102"/>
      <c r="B154" s="2"/>
      <c r="C154" s="2"/>
      <c r="D154" s="2"/>
      <c r="E154" s="5"/>
      <c r="F154" s="2"/>
      <c r="G154" s="5"/>
      <c r="H154" s="8" t="str">
        <f t="shared" si="17"/>
        <v/>
      </c>
      <c r="I154" s="7" t="str">
        <f t="shared" si="18"/>
        <v/>
      </c>
      <c r="J154" s="3" t="str">
        <f t="shared" si="19"/>
        <v/>
      </c>
      <c r="K154" s="4" t="str">
        <f t="shared" si="20"/>
        <v/>
      </c>
      <c r="L154" s="7" t="str">
        <f t="shared" si="21"/>
        <v/>
      </c>
      <c r="M154" s="9" t="str">
        <f t="shared" si="22"/>
        <v/>
      </c>
      <c r="N154" s="9" t="str">
        <f>IF(NOT(ISERROR(VLOOKUP(B154,Deflatores!G$42:H$64,2,FALSE))),VLOOKUP(B154,Deflatores!G$42:H$64,2,FALSE),IF(OR(ISBLANK(C154),ISBLANK(B154)),"",VLOOKUP(C154,Deflatores!G$4:H$38,2,FALSE)*J154+VLOOKUP(C154,Deflatores!G$4:I$38,3,FALSE)))</f>
        <v/>
      </c>
      <c r="O154" s="5"/>
      <c r="P154" s="5"/>
      <c r="Q154" s="6"/>
      <c r="R154" s="10"/>
      <c r="S154" s="104"/>
      <c r="T154" s="162"/>
      <c r="U154" s="10"/>
    </row>
    <row r="155" spans="1:21" ht="21.75" customHeight="1" x14ac:dyDescent="0.2">
      <c r="A155" s="102"/>
      <c r="B155" s="2"/>
      <c r="C155" s="2"/>
      <c r="D155" s="2"/>
      <c r="E155" s="5"/>
      <c r="F155" s="2"/>
      <c r="G155" s="5"/>
      <c r="H155" s="8" t="str">
        <f t="shared" si="17"/>
        <v/>
      </c>
      <c r="I155" s="7" t="str">
        <f t="shared" si="18"/>
        <v/>
      </c>
      <c r="J155" s="3" t="str">
        <f t="shared" si="19"/>
        <v/>
      </c>
      <c r="K155" s="4" t="str">
        <f t="shared" si="20"/>
        <v/>
      </c>
      <c r="L155" s="7" t="str">
        <f t="shared" si="21"/>
        <v/>
      </c>
      <c r="M155" s="9" t="str">
        <f t="shared" si="22"/>
        <v/>
      </c>
      <c r="N155" s="9" t="str">
        <f>IF(NOT(ISERROR(VLOOKUP(B155,Deflatores!G$42:H$64,2,FALSE))),VLOOKUP(B155,Deflatores!G$42:H$64,2,FALSE),IF(OR(ISBLANK(C155),ISBLANK(B155)),"",VLOOKUP(C155,Deflatores!G$4:H$38,2,FALSE)*J155+VLOOKUP(C155,Deflatores!G$4:I$38,3,FALSE)))</f>
        <v/>
      </c>
      <c r="O155" s="5"/>
      <c r="P155" s="5"/>
      <c r="Q155" s="6"/>
      <c r="R155" s="10"/>
      <c r="S155" s="104"/>
      <c r="T155" s="162"/>
      <c r="U155" s="10"/>
    </row>
    <row r="156" spans="1:21" ht="21.75" customHeight="1" x14ac:dyDescent="0.2">
      <c r="A156" s="102"/>
      <c r="B156" s="2"/>
      <c r="C156" s="2"/>
      <c r="D156" s="2"/>
      <c r="E156" s="5"/>
      <c r="F156" s="2"/>
      <c r="G156" s="5"/>
      <c r="H156" s="8" t="str">
        <f t="shared" si="17"/>
        <v/>
      </c>
      <c r="I156" s="7" t="str">
        <f t="shared" si="18"/>
        <v/>
      </c>
      <c r="J156" s="3" t="str">
        <f t="shared" si="19"/>
        <v/>
      </c>
      <c r="K156" s="4" t="str">
        <f t="shared" si="20"/>
        <v/>
      </c>
      <c r="L156" s="7" t="str">
        <f t="shared" si="21"/>
        <v/>
      </c>
      <c r="M156" s="9" t="str">
        <f t="shared" si="22"/>
        <v/>
      </c>
      <c r="N156" s="9" t="str">
        <f>IF(NOT(ISERROR(VLOOKUP(B156,Deflatores!G$42:H$64,2,FALSE))),VLOOKUP(B156,Deflatores!G$42:H$64,2,FALSE),IF(OR(ISBLANK(C156),ISBLANK(B156)),"",VLOOKUP(C156,Deflatores!G$4:H$38,2,FALSE)*J156+VLOOKUP(C156,Deflatores!G$4:I$38,3,FALSE)))</f>
        <v/>
      </c>
      <c r="O156" s="5"/>
      <c r="P156" s="5"/>
      <c r="Q156" s="6"/>
      <c r="R156" s="10"/>
      <c r="S156" s="104"/>
      <c r="T156" s="162"/>
      <c r="U156" s="10"/>
    </row>
    <row r="157" spans="1:21" ht="21.75" customHeight="1" x14ac:dyDescent="0.2">
      <c r="A157" s="102"/>
      <c r="B157" s="2"/>
      <c r="C157" s="2"/>
      <c r="D157" s="2"/>
      <c r="E157" s="5"/>
      <c r="F157" s="2"/>
      <c r="G157" s="5"/>
      <c r="H157" s="8" t="str">
        <f t="shared" si="17"/>
        <v/>
      </c>
      <c r="I157" s="7" t="str">
        <f t="shared" si="18"/>
        <v/>
      </c>
      <c r="J157" s="3" t="str">
        <f t="shared" si="19"/>
        <v/>
      </c>
      <c r="K157" s="4" t="str">
        <f t="shared" si="20"/>
        <v/>
      </c>
      <c r="L157" s="7" t="str">
        <f t="shared" si="21"/>
        <v/>
      </c>
      <c r="M157" s="9" t="str">
        <f t="shared" si="22"/>
        <v/>
      </c>
      <c r="N157" s="9" t="str">
        <f>IF(NOT(ISERROR(VLOOKUP(B157,Deflatores!G$42:H$64,2,FALSE))),VLOOKUP(B157,Deflatores!G$42:H$64,2,FALSE),IF(OR(ISBLANK(C157),ISBLANK(B157)),"",VLOOKUP(C157,Deflatores!G$4:H$38,2,FALSE)*J157+VLOOKUP(C157,Deflatores!G$4:I$38,3,FALSE)))</f>
        <v/>
      </c>
      <c r="O157" s="5"/>
      <c r="P157" s="5"/>
      <c r="Q157" s="6"/>
      <c r="R157" s="10"/>
      <c r="S157" s="104"/>
      <c r="T157" s="162"/>
      <c r="U157" s="10"/>
    </row>
    <row r="158" spans="1:21" ht="21.75" customHeight="1" x14ac:dyDescent="0.2">
      <c r="A158" s="102"/>
      <c r="B158" s="2"/>
      <c r="C158" s="2"/>
      <c r="D158" s="2"/>
      <c r="E158" s="5"/>
      <c r="F158" s="2"/>
      <c r="G158" s="5"/>
      <c r="H158" s="8" t="str">
        <f t="shared" si="17"/>
        <v/>
      </c>
      <c r="I158" s="7" t="str">
        <f t="shared" si="18"/>
        <v/>
      </c>
      <c r="J158" s="3" t="str">
        <f t="shared" si="19"/>
        <v/>
      </c>
      <c r="K158" s="4" t="str">
        <f t="shared" si="20"/>
        <v/>
      </c>
      <c r="L158" s="7" t="str">
        <f t="shared" si="21"/>
        <v/>
      </c>
      <c r="M158" s="9" t="str">
        <f t="shared" si="22"/>
        <v/>
      </c>
      <c r="N158" s="9" t="str">
        <f>IF(NOT(ISERROR(VLOOKUP(B158,Deflatores!G$42:H$64,2,FALSE))),VLOOKUP(B158,Deflatores!G$42:H$64,2,FALSE),IF(OR(ISBLANK(C158),ISBLANK(B158)),"",VLOOKUP(C158,Deflatores!G$4:H$38,2,FALSE)*J158+VLOOKUP(C158,Deflatores!G$4:I$38,3,FALSE)))</f>
        <v/>
      </c>
      <c r="O158" s="5"/>
      <c r="P158" s="5"/>
      <c r="Q158" s="6"/>
      <c r="R158" s="10"/>
      <c r="S158" s="104"/>
      <c r="T158" s="162"/>
      <c r="U158" s="10"/>
    </row>
    <row r="159" spans="1:21" ht="21.75" customHeight="1" x14ac:dyDescent="0.2">
      <c r="A159" s="102"/>
      <c r="B159" s="2"/>
      <c r="C159" s="2"/>
      <c r="D159" s="2"/>
      <c r="E159" s="5"/>
      <c r="F159" s="2"/>
      <c r="G159" s="5"/>
      <c r="H159" s="8" t="str">
        <f t="shared" si="17"/>
        <v/>
      </c>
      <c r="I159" s="7" t="str">
        <f t="shared" si="18"/>
        <v/>
      </c>
      <c r="J159" s="3" t="str">
        <f t="shared" si="19"/>
        <v/>
      </c>
      <c r="K159" s="4" t="str">
        <f t="shared" si="20"/>
        <v/>
      </c>
      <c r="L159" s="7" t="str">
        <f t="shared" si="21"/>
        <v/>
      </c>
      <c r="M159" s="9" t="str">
        <f t="shared" si="22"/>
        <v/>
      </c>
      <c r="N159" s="9" t="str">
        <f>IF(NOT(ISERROR(VLOOKUP(B159,Deflatores!G$42:H$64,2,FALSE))),VLOOKUP(B159,Deflatores!G$42:H$64,2,FALSE),IF(OR(ISBLANK(C159),ISBLANK(B159)),"",VLOOKUP(C159,Deflatores!G$4:H$38,2,FALSE)*J159+VLOOKUP(C159,Deflatores!G$4:I$38,3,FALSE)))</f>
        <v/>
      </c>
      <c r="O159" s="5"/>
      <c r="P159" s="5"/>
      <c r="Q159" s="6"/>
      <c r="R159" s="10"/>
      <c r="S159" s="104"/>
      <c r="T159" s="162"/>
      <c r="U159" s="10"/>
    </row>
    <row r="160" spans="1:21" ht="21.75" customHeight="1" x14ac:dyDescent="0.2">
      <c r="A160" s="102"/>
      <c r="B160" s="2"/>
      <c r="C160" s="2"/>
      <c r="D160" s="2"/>
      <c r="E160" s="5"/>
      <c r="F160" s="2"/>
      <c r="G160" s="5"/>
      <c r="H160" s="8" t="str">
        <f t="shared" si="17"/>
        <v/>
      </c>
      <c r="I160" s="7" t="str">
        <f t="shared" si="18"/>
        <v/>
      </c>
      <c r="J160" s="3" t="str">
        <f t="shared" si="19"/>
        <v/>
      </c>
      <c r="K160" s="4" t="str">
        <f t="shared" si="20"/>
        <v/>
      </c>
      <c r="L160" s="7" t="str">
        <f t="shared" si="21"/>
        <v/>
      </c>
      <c r="M160" s="9" t="str">
        <f t="shared" si="22"/>
        <v/>
      </c>
      <c r="N160" s="9" t="str">
        <f>IF(NOT(ISERROR(VLOOKUP(B160,Deflatores!G$42:H$64,2,FALSE))),VLOOKUP(B160,Deflatores!G$42:H$64,2,FALSE),IF(OR(ISBLANK(C160),ISBLANK(B160)),"",VLOOKUP(C160,Deflatores!G$4:H$38,2,FALSE)*J160+VLOOKUP(C160,Deflatores!G$4:I$38,3,FALSE)))</f>
        <v/>
      </c>
      <c r="O160" s="5"/>
      <c r="P160" s="5"/>
      <c r="Q160" s="6"/>
      <c r="R160" s="10"/>
      <c r="S160" s="104"/>
      <c r="T160" s="162"/>
      <c r="U160" s="10"/>
    </row>
    <row r="161" spans="1:21" ht="21.75" customHeight="1" x14ac:dyDescent="0.2">
      <c r="A161" s="102"/>
      <c r="B161" s="2"/>
      <c r="C161" s="2"/>
      <c r="D161" s="2"/>
      <c r="E161" s="5"/>
      <c r="F161" s="2"/>
      <c r="G161" s="5"/>
      <c r="H161" s="8" t="str">
        <f t="shared" si="17"/>
        <v/>
      </c>
      <c r="I161" s="7" t="str">
        <f t="shared" si="18"/>
        <v/>
      </c>
      <c r="J161" s="3" t="str">
        <f t="shared" si="19"/>
        <v/>
      </c>
      <c r="K161" s="4" t="str">
        <f t="shared" si="20"/>
        <v/>
      </c>
      <c r="L161" s="7" t="str">
        <f t="shared" si="21"/>
        <v/>
      </c>
      <c r="M161" s="9" t="str">
        <f t="shared" si="22"/>
        <v/>
      </c>
      <c r="N161" s="9" t="str">
        <f>IF(NOT(ISERROR(VLOOKUP(B161,Deflatores!G$42:H$64,2,FALSE))),VLOOKUP(B161,Deflatores!G$42:H$64,2,FALSE),IF(OR(ISBLANK(C161),ISBLANK(B161)),"",VLOOKUP(C161,Deflatores!G$4:H$38,2,FALSE)*J161+VLOOKUP(C161,Deflatores!G$4:I$38,3,FALSE)))</f>
        <v/>
      </c>
      <c r="O161" s="5"/>
      <c r="P161" s="5"/>
      <c r="Q161" s="6"/>
      <c r="R161" s="10"/>
      <c r="S161" s="104"/>
      <c r="T161" s="162"/>
      <c r="U161" s="10"/>
    </row>
    <row r="162" spans="1:21" ht="21.75" customHeight="1" x14ac:dyDescent="0.2">
      <c r="A162" s="102"/>
      <c r="B162" s="2"/>
      <c r="C162" s="2"/>
      <c r="D162" s="2"/>
      <c r="E162" s="5"/>
      <c r="F162" s="2"/>
      <c r="G162" s="5"/>
      <c r="H162" s="8" t="str">
        <f t="shared" si="17"/>
        <v/>
      </c>
      <c r="I162" s="7" t="str">
        <f t="shared" si="18"/>
        <v/>
      </c>
      <c r="J162" s="3" t="str">
        <f t="shared" si="19"/>
        <v/>
      </c>
      <c r="K162" s="4" t="str">
        <f t="shared" si="20"/>
        <v/>
      </c>
      <c r="L162" s="7" t="str">
        <f t="shared" si="21"/>
        <v/>
      </c>
      <c r="M162" s="9" t="str">
        <f t="shared" si="22"/>
        <v/>
      </c>
      <c r="N162" s="9" t="str">
        <f>IF(NOT(ISERROR(VLOOKUP(B162,Deflatores!G$42:H$64,2,FALSE))),VLOOKUP(B162,Deflatores!G$42:H$64,2,FALSE),IF(OR(ISBLANK(C162),ISBLANK(B162)),"",VLOOKUP(C162,Deflatores!G$4:H$38,2,FALSE)*J162+VLOOKUP(C162,Deflatores!G$4:I$38,3,FALSE)))</f>
        <v/>
      </c>
      <c r="O162" s="5"/>
      <c r="P162" s="5"/>
      <c r="Q162" s="6"/>
      <c r="R162" s="10"/>
      <c r="S162" s="104"/>
      <c r="T162" s="162"/>
      <c r="U162" s="10"/>
    </row>
    <row r="163" spans="1:21" ht="21.75" customHeight="1" x14ac:dyDescent="0.2">
      <c r="A163" s="102"/>
      <c r="B163" s="2"/>
      <c r="C163" s="2"/>
      <c r="D163" s="2"/>
      <c r="E163" s="5"/>
      <c r="F163" s="2"/>
      <c r="G163" s="5"/>
      <c r="H163" s="8" t="str">
        <f t="shared" si="17"/>
        <v/>
      </c>
      <c r="I163" s="7" t="str">
        <f t="shared" si="18"/>
        <v/>
      </c>
      <c r="J163" s="3" t="str">
        <f t="shared" si="19"/>
        <v/>
      </c>
      <c r="K163" s="4" t="str">
        <f t="shared" si="20"/>
        <v/>
      </c>
      <c r="L163" s="7" t="str">
        <f t="shared" si="21"/>
        <v/>
      </c>
      <c r="M163" s="9" t="str">
        <f t="shared" si="22"/>
        <v/>
      </c>
      <c r="N163" s="9" t="str">
        <f>IF(NOT(ISERROR(VLOOKUP(B163,Deflatores!G$42:H$64,2,FALSE))),VLOOKUP(B163,Deflatores!G$42:H$64,2,FALSE),IF(OR(ISBLANK(C163),ISBLANK(B163)),"",VLOOKUP(C163,Deflatores!G$4:H$38,2,FALSE)*J163+VLOOKUP(C163,Deflatores!G$4:I$38,3,FALSE)))</f>
        <v/>
      </c>
      <c r="O163" s="5"/>
      <c r="P163" s="5"/>
      <c r="Q163" s="6"/>
      <c r="R163" s="10"/>
      <c r="S163" s="104"/>
      <c r="T163" s="162"/>
      <c r="U163" s="10"/>
    </row>
    <row r="164" spans="1:21" ht="21.75" customHeight="1" x14ac:dyDescent="0.2">
      <c r="A164" s="102"/>
      <c r="B164" s="2"/>
      <c r="C164" s="2"/>
      <c r="D164" s="2"/>
      <c r="E164" s="5"/>
      <c r="F164" s="2"/>
      <c r="G164" s="5"/>
      <c r="H164" s="8" t="str">
        <f t="shared" si="17"/>
        <v/>
      </c>
      <c r="I164" s="7" t="str">
        <f t="shared" si="18"/>
        <v/>
      </c>
      <c r="J164" s="3" t="str">
        <f t="shared" si="19"/>
        <v/>
      </c>
      <c r="K164" s="4" t="str">
        <f t="shared" si="20"/>
        <v/>
      </c>
      <c r="L164" s="7" t="str">
        <f t="shared" si="21"/>
        <v/>
      </c>
      <c r="M164" s="9" t="str">
        <f t="shared" si="22"/>
        <v/>
      </c>
      <c r="N164" s="9" t="str">
        <f>IF(NOT(ISERROR(VLOOKUP(B164,Deflatores!G$42:H$64,2,FALSE))),VLOOKUP(B164,Deflatores!G$42:H$64,2,FALSE),IF(OR(ISBLANK(C164),ISBLANK(B164)),"",VLOOKUP(C164,Deflatores!G$4:H$38,2,FALSE)*J164+VLOOKUP(C164,Deflatores!G$4:I$38,3,FALSE)))</f>
        <v/>
      </c>
      <c r="O164" s="5"/>
      <c r="P164" s="5"/>
      <c r="Q164" s="6"/>
      <c r="R164" s="10"/>
      <c r="S164" s="104"/>
      <c r="T164" s="162"/>
      <c r="U164" s="10"/>
    </row>
    <row r="165" spans="1:21" ht="21.75" customHeight="1" x14ac:dyDescent="0.2">
      <c r="A165" s="102"/>
      <c r="B165" s="2"/>
      <c r="C165" s="2"/>
      <c r="D165" s="2"/>
      <c r="E165" s="5"/>
      <c r="F165" s="2"/>
      <c r="G165" s="5"/>
      <c r="H165" s="8" t="str">
        <f t="shared" si="17"/>
        <v/>
      </c>
      <c r="I165" s="7" t="str">
        <f t="shared" si="18"/>
        <v/>
      </c>
      <c r="J165" s="3" t="str">
        <f t="shared" si="19"/>
        <v/>
      </c>
      <c r="K165" s="4" t="str">
        <f t="shared" si="20"/>
        <v/>
      </c>
      <c r="L165" s="7" t="str">
        <f t="shared" si="21"/>
        <v/>
      </c>
      <c r="M165" s="9" t="str">
        <f t="shared" si="22"/>
        <v/>
      </c>
      <c r="N165" s="9" t="str">
        <f>IF(NOT(ISERROR(VLOOKUP(B165,Deflatores!G$42:H$64,2,FALSE))),VLOOKUP(B165,Deflatores!G$42:H$64,2,FALSE),IF(OR(ISBLANK(C165),ISBLANK(B165)),"",VLOOKUP(C165,Deflatores!G$4:H$38,2,FALSE)*J165+VLOOKUP(C165,Deflatores!G$4:I$38,3,FALSE)))</f>
        <v/>
      </c>
      <c r="O165" s="5"/>
      <c r="P165" s="5"/>
      <c r="Q165" s="6"/>
      <c r="R165" s="10"/>
      <c r="S165" s="104"/>
      <c r="T165" s="162"/>
      <c r="U165" s="10"/>
    </row>
    <row r="166" spans="1:21" ht="21.75" customHeight="1" x14ac:dyDescent="0.2">
      <c r="A166" s="102"/>
      <c r="B166" s="2"/>
      <c r="C166" s="2"/>
      <c r="D166" s="2"/>
      <c r="E166" s="5"/>
      <c r="F166" s="2"/>
      <c r="G166" s="5"/>
      <c r="H166" s="8" t="str">
        <f t="shared" si="17"/>
        <v/>
      </c>
      <c r="I166" s="7" t="str">
        <f t="shared" si="18"/>
        <v/>
      </c>
      <c r="J166" s="3" t="str">
        <f t="shared" si="19"/>
        <v/>
      </c>
      <c r="K166" s="4" t="str">
        <f t="shared" si="20"/>
        <v/>
      </c>
      <c r="L166" s="7" t="str">
        <f t="shared" si="21"/>
        <v/>
      </c>
      <c r="M166" s="9" t="str">
        <f t="shared" si="22"/>
        <v/>
      </c>
      <c r="N166" s="9" t="str">
        <f>IF(NOT(ISERROR(VLOOKUP(B166,Deflatores!G$42:H$64,2,FALSE))),VLOOKUP(B166,Deflatores!G$42:H$64,2,FALSE),IF(OR(ISBLANK(C166),ISBLANK(B166)),"",VLOOKUP(C166,Deflatores!G$4:H$38,2,FALSE)*J166+VLOOKUP(C166,Deflatores!G$4:I$38,3,FALSE)))</f>
        <v/>
      </c>
      <c r="O166" s="5"/>
      <c r="P166" s="5"/>
      <c r="Q166" s="6"/>
      <c r="R166" s="10"/>
      <c r="S166" s="104"/>
      <c r="T166" s="162"/>
      <c r="U166" s="10"/>
    </row>
    <row r="167" spans="1:21" ht="21.75" customHeight="1" x14ac:dyDescent="0.2">
      <c r="A167" s="102"/>
      <c r="B167" s="2"/>
      <c r="C167" s="2"/>
      <c r="D167" s="2"/>
      <c r="E167" s="5"/>
      <c r="F167" s="2"/>
      <c r="G167" s="5"/>
      <c r="H167" s="8" t="str">
        <f t="shared" si="17"/>
        <v/>
      </c>
      <c r="I167" s="7" t="str">
        <f t="shared" si="18"/>
        <v/>
      </c>
      <c r="J167" s="3" t="str">
        <f t="shared" si="19"/>
        <v/>
      </c>
      <c r="K167" s="4" t="str">
        <f t="shared" si="20"/>
        <v/>
      </c>
      <c r="L167" s="7" t="str">
        <f t="shared" si="21"/>
        <v/>
      </c>
      <c r="M167" s="9" t="str">
        <f t="shared" si="22"/>
        <v/>
      </c>
      <c r="N167" s="9" t="str">
        <f>IF(NOT(ISERROR(VLOOKUP(B167,Deflatores!G$42:H$64,2,FALSE))),VLOOKUP(B167,Deflatores!G$42:H$64,2,FALSE),IF(OR(ISBLANK(C167),ISBLANK(B167)),"",VLOOKUP(C167,Deflatores!G$4:H$38,2,FALSE)*J167+VLOOKUP(C167,Deflatores!G$4:I$38,3,FALSE)))</f>
        <v/>
      </c>
      <c r="O167" s="5"/>
      <c r="P167" s="5"/>
      <c r="Q167" s="6"/>
      <c r="R167" s="10"/>
      <c r="S167" s="104"/>
      <c r="T167" s="162"/>
      <c r="U167" s="10"/>
    </row>
    <row r="168" spans="1:21" ht="21.75" customHeight="1" x14ac:dyDescent="0.2">
      <c r="A168" s="102"/>
      <c r="B168" s="2"/>
      <c r="C168" s="2"/>
      <c r="D168" s="2"/>
      <c r="E168" s="5"/>
      <c r="F168" s="2"/>
      <c r="G168" s="5"/>
      <c r="H168" s="8" t="str">
        <f t="shared" si="17"/>
        <v/>
      </c>
      <c r="I168" s="7" t="str">
        <f t="shared" si="18"/>
        <v/>
      </c>
      <c r="J168" s="3" t="str">
        <f t="shared" si="19"/>
        <v/>
      </c>
      <c r="K168" s="4" t="str">
        <f t="shared" si="20"/>
        <v/>
      </c>
      <c r="L168" s="7" t="str">
        <f t="shared" si="21"/>
        <v/>
      </c>
      <c r="M168" s="9" t="str">
        <f t="shared" si="22"/>
        <v/>
      </c>
      <c r="N168" s="9" t="str">
        <f>IF(NOT(ISERROR(VLOOKUP(B168,Deflatores!G$42:H$64,2,FALSE))),VLOOKUP(B168,Deflatores!G$42:H$64,2,FALSE),IF(OR(ISBLANK(C168),ISBLANK(B168)),"",VLOOKUP(C168,Deflatores!G$4:H$38,2,FALSE)*J168+VLOOKUP(C168,Deflatores!G$4:I$38,3,FALSE)))</f>
        <v/>
      </c>
      <c r="O168" s="5"/>
      <c r="P168" s="5"/>
      <c r="Q168" s="6"/>
      <c r="R168" s="10"/>
      <c r="S168" s="104"/>
      <c r="T168" s="162"/>
      <c r="U168" s="10"/>
    </row>
    <row r="169" spans="1:21" ht="21.75" customHeight="1" x14ac:dyDescent="0.2">
      <c r="A169" s="102"/>
      <c r="B169" s="2"/>
      <c r="C169" s="2"/>
      <c r="D169" s="2"/>
      <c r="E169" s="5"/>
      <c r="F169" s="2"/>
      <c r="G169" s="5"/>
      <c r="H169" s="8" t="str">
        <f t="shared" si="17"/>
        <v/>
      </c>
      <c r="I169" s="7" t="str">
        <f t="shared" si="18"/>
        <v/>
      </c>
      <c r="J169" s="3" t="str">
        <f t="shared" si="19"/>
        <v/>
      </c>
      <c r="K169" s="4" t="str">
        <f t="shared" si="20"/>
        <v/>
      </c>
      <c r="L169" s="7" t="str">
        <f t="shared" si="21"/>
        <v/>
      </c>
      <c r="M169" s="9" t="str">
        <f t="shared" si="22"/>
        <v/>
      </c>
      <c r="N169" s="9" t="str">
        <f>IF(NOT(ISERROR(VLOOKUP(B169,Deflatores!G$42:H$64,2,FALSE))),VLOOKUP(B169,Deflatores!G$42:H$64,2,FALSE),IF(OR(ISBLANK(C169),ISBLANK(B169)),"",VLOOKUP(C169,Deflatores!G$4:H$38,2,FALSE)*J169+VLOOKUP(C169,Deflatores!G$4:I$38,3,FALSE)))</f>
        <v/>
      </c>
      <c r="O169" s="5"/>
      <c r="P169" s="5"/>
      <c r="Q169" s="6"/>
      <c r="R169" s="10"/>
      <c r="S169" s="104"/>
      <c r="T169" s="162"/>
      <c r="U169" s="10"/>
    </row>
    <row r="170" spans="1:21" ht="21.75" customHeight="1" x14ac:dyDescent="0.2">
      <c r="A170" s="102"/>
      <c r="B170" s="2"/>
      <c r="C170" s="2"/>
      <c r="D170" s="2"/>
      <c r="E170" s="5"/>
      <c r="F170" s="2"/>
      <c r="G170" s="5"/>
      <c r="H170" s="8" t="str">
        <f t="shared" si="17"/>
        <v/>
      </c>
      <c r="I170" s="7" t="str">
        <f t="shared" si="18"/>
        <v/>
      </c>
      <c r="J170" s="3" t="str">
        <f t="shared" si="19"/>
        <v/>
      </c>
      <c r="K170" s="4" t="str">
        <f t="shared" si="20"/>
        <v/>
      </c>
      <c r="L170" s="7" t="str">
        <f t="shared" si="21"/>
        <v/>
      </c>
      <c r="M170" s="9" t="str">
        <f t="shared" si="22"/>
        <v/>
      </c>
      <c r="N170" s="9" t="str">
        <f>IF(NOT(ISERROR(VLOOKUP(B170,Deflatores!G$42:H$64,2,FALSE))),VLOOKUP(B170,Deflatores!G$42:H$64,2,FALSE),IF(OR(ISBLANK(C170),ISBLANK(B170)),"",VLOOKUP(C170,Deflatores!G$4:H$38,2,FALSE)*J170+VLOOKUP(C170,Deflatores!G$4:I$38,3,FALSE)))</f>
        <v/>
      </c>
      <c r="O170" s="5"/>
      <c r="P170" s="5"/>
      <c r="Q170" s="6"/>
      <c r="R170" s="10"/>
      <c r="S170" s="104"/>
      <c r="T170" s="162"/>
      <c r="U170" s="10"/>
    </row>
    <row r="171" spans="1:21" ht="21.75" customHeight="1" x14ac:dyDescent="0.2">
      <c r="A171" s="102"/>
      <c r="B171" s="2"/>
      <c r="C171" s="2"/>
      <c r="D171" s="2"/>
      <c r="E171" s="5"/>
      <c r="F171" s="2"/>
      <c r="G171" s="5"/>
      <c r="H171" s="8" t="str">
        <f t="shared" si="17"/>
        <v/>
      </c>
      <c r="I171" s="7" t="str">
        <f t="shared" si="18"/>
        <v/>
      </c>
      <c r="J171" s="3" t="str">
        <f t="shared" si="19"/>
        <v/>
      </c>
      <c r="K171" s="4" t="str">
        <f t="shared" si="20"/>
        <v/>
      </c>
      <c r="L171" s="7" t="str">
        <f t="shared" si="21"/>
        <v/>
      </c>
      <c r="M171" s="9" t="str">
        <f t="shared" si="22"/>
        <v/>
      </c>
      <c r="N171" s="9" t="str">
        <f>IF(NOT(ISERROR(VLOOKUP(B171,Deflatores!G$42:H$64,2,FALSE))),VLOOKUP(B171,Deflatores!G$42:H$64,2,FALSE),IF(OR(ISBLANK(C171),ISBLANK(B171)),"",VLOOKUP(C171,Deflatores!G$4:H$38,2,FALSE)*J171+VLOOKUP(C171,Deflatores!G$4:I$38,3,FALSE)))</f>
        <v/>
      </c>
      <c r="O171" s="5"/>
      <c r="P171" s="5"/>
      <c r="Q171" s="6"/>
      <c r="R171" s="10"/>
      <c r="S171" s="104"/>
      <c r="T171" s="162"/>
      <c r="U171" s="10"/>
    </row>
    <row r="172" spans="1:21" ht="21.75" customHeight="1" x14ac:dyDescent="0.2">
      <c r="A172" s="102"/>
      <c r="B172" s="2"/>
      <c r="C172" s="2"/>
      <c r="D172" s="2"/>
      <c r="E172" s="5"/>
      <c r="F172" s="2"/>
      <c r="G172" s="5"/>
      <c r="H172" s="8" t="str">
        <f t="shared" si="17"/>
        <v/>
      </c>
      <c r="I172" s="7" t="str">
        <f t="shared" si="18"/>
        <v/>
      </c>
      <c r="J172" s="3" t="str">
        <f t="shared" si="19"/>
        <v/>
      </c>
      <c r="K172" s="4" t="str">
        <f t="shared" si="20"/>
        <v/>
      </c>
      <c r="L172" s="7" t="str">
        <f t="shared" si="21"/>
        <v/>
      </c>
      <c r="M172" s="9" t="str">
        <f t="shared" si="22"/>
        <v/>
      </c>
      <c r="N172" s="9" t="str">
        <f>IF(NOT(ISERROR(VLOOKUP(B172,Deflatores!G$42:H$64,2,FALSE))),VLOOKUP(B172,Deflatores!G$42:H$64,2,FALSE),IF(OR(ISBLANK(C172),ISBLANK(B172)),"",VLOOKUP(C172,Deflatores!G$4:H$38,2,FALSE)*J172+VLOOKUP(C172,Deflatores!G$4:I$38,3,FALSE)))</f>
        <v/>
      </c>
      <c r="O172" s="5"/>
      <c r="P172" s="5"/>
      <c r="Q172" s="6"/>
      <c r="R172" s="10"/>
      <c r="S172" s="104"/>
      <c r="T172" s="162"/>
      <c r="U172" s="10"/>
    </row>
    <row r="173" spans="1:21" ht="21.75" customHeight="1" x14ac:dyDescent="0.2">
      <c r="A173" s="102"/>
      <c r="B173" s="2"/>
      <c r="C173" s="2"/>
      <c r="D173" s="2"/>
      <c r="E173" s="5"/>
      <c r="F173" s="2"/>
      <c r="G173" s="5"/>
      <c r="H173" s="8" t="str">
        <f t="shared" si="17"/>
        <v/>
      </c>
      <c r="I173" s="7" t="str">
        <f t="shared" si="18"/>
        <v/>
      </c>
      <c r="J173" s="3" t="str">
        <f t="shared" si="19"/>
        <v/>
      </c>
      <c r="K173" s="4" t="str">
        <f t="shared" si="20"/>
        <v/>
      </c>
      <c r="L173" s="7" t="str">
        <f t="shared" si="21"/>
        <v/>
      </c>
      <c r="M173" s="9" t="str">
        <f t="shared" si="22"/>
        <v/>
      </c>
      <c r="N173" s="9" t="str">
        <f>IF(NOT(ISERROR(VLOOKUP(B173,Deflatores!G$42:H$64,2,FALSE))),VLOOKUP(B173,Deflatores!G$42:H$64,2,FALSE),IF(OR(ISBLANK(C173),ISBLANK(B173)),"",VLOOKUP(C173,Deflatores!G$4:H$38,2,FALSE)*J173+VLOOKUP(C173,Deflatores!G$4:I$38,3,FALSE)))</f>
        <v/>
      </c>
      <c r="O173" s="5"/>
      <c r="P173" s="5"/>
      <c r="Q173" s="6"/>
      <c r="R173" s="10"/>
      <c r="S173" s="104"/>
      <c r="T173" s="162"/>
      <c r="U173" s="10"/>
    </row>
    <row r="174" spans="1:21" ht="21.75" customHeight="1" x14ac:dyDescent="0.2">
      <c r="A174" s="102"/>
      <c r="B174" s="2"/>
      <c r="C174" s="2"/>
      <c r="D174" s="2"/>
      <c r="E174" s="5"/>
      <c r="F174" s="2"/>
      <c r="G174" s="5"/>
      <c r="H174" s="8" t="str">
        <f t="shared" si="17"/>
        <v/>
      </c>
      <c r="I174" s="7" t="str">
        <f t="shared" si="18"/>
        <v/>
      </c>
      <c r="J174" s="3" t="str">
        <f t="shared" si="19"/>
        <v/>
      </c>
      <c r="K174" s="4" t="str">
        <f t="shared" si="20"/>
        <v/>
      </c>
      <c r="L174" s="7" t="str">
        <f t="shared" si="21"/>
        <v/>
      </c>
      <c r="M174" s="9" t="str">
        <f t="shared" si="22"/>
        <v/>
      </c>
      <c r="N174" s="9" t="str">
        <f>IF(NOT(ISERROR(VLOOKUP(B174,Deflatores!G$42:H$64,2,FALSE))),VLOOKUP(B174,Deflatores!G$42:H$64,2,FALSE),IF(OR(ISBLANK(C174),ISBLANK(B174)),"",VLOOKUP(C174,Deflatores!G$4:H$38,2,FALSE)*J174+VLOOKUP(C174,Deflatores!G$4:I$38,3,FALSE)))</f>
        <v/>
      </c>
      <c r="O174" s="5"/>
      <c r="P174" s="5"/>
      <c r="Q174" s="6"/>
      <c r="R174" s="10"/>
      <c r="S174" s="104"/>
      <c r="T174" s="162"/>
      <c r="U174" s="10"/>
    </row>
    <row r="175" spans="1:21" ht="21.75" customHeight="1" x14ac:dyDescent="0.2">
      <c r="A175" s="102"/>
      <c r="B175" s="2"/>
      <c r="C175" s="2"/>
      <c r="D175" s="2"/>
      <c r="E175" s="5"/>
      <c r="F175" s="2"/>
      <c r="G175" s="5"/>
      <c r="H175" s="8" t="str">
        <f t="shared" si="17"/>
        <v/>
      </c>
      <c r="I175" s="7" t="str">
        <f t="shared" si="18"/>
        <v/>
      </c>
      <c r="J175" s="3" t="str">
        <f t="shared" si="19"/>
        <v/>
      </c>
      <c r="K175" s="4" t="str">
        <f t="shared" si="20"/>
        <v/>
      </c>
      <c r="L175" s="7" t="str">
        <f t="shared" si="21"/>
        <v/>
      </c>
      <c r="M175" s="9" t="str">
        <f t="shared" si="22"/>
        <v/>
      </c>
      <c r="N175" s="9" t="str">
        <f>IF(NOT(ISERROR(VLOOKUP(B175,Deflatores!G$42:H$64,2,FALSE))),VLOOKUP(B175,Deflatores!G$42:H$64,2,FALSE),IF(OR(ISBLANK(C175),ISBLANK(B175)),"",VLOOKUP(C175,Deflatores!G$4:H$38,2,FALSE)*J175+VLOOKUP(C175,Deflatores!G$4:I$38,3,FALSE)))</f>
        <v/>
      </c>
      <c r="O175" s="5"/>
      <c r="P175" s="5"/>
      <c r="Q175" s="6"/>
      <c r="R175" s="10"/>
      <c r="S175" s="104"/>
      <c r="T175" s="162"/>
      <c r="U175" s="10"/>
    </row>
    <row r="176" spans="1:21" ht="21.75" customHeight="1" x14ac:dyDescent="0.2">
      <c r="A176" s="102"/>
      <c r="B176" s="2"/>
      <c r="C176" s="2"/>
      <c r="D176" s="2"/>
      <c r="E176" s="5"/>
      <c r="F176" s="2"/>
      <c r="G176" s="5"/>
      <c r="H176" s="8" t="str">
        <f t="shared" si="17"/>
        <v/>
      </c>
      <c r="I176" s="7" t="str">
        <f t="shared" si="18"/>
        <v/>
      </c>
      <c r="J176" s="3" t="str">
        <f t="shared" si="19"/>
        <v/>
      </c>
      <c r="K176" s="4" t="str">
        <f t="shared" si="20"/>
        <v/>
      </c>
      <c r="L176" s="7" t="str">
        <f t="shared" si="21"/>
        <v/>
      </c>
      <c r="M176" s="9" t="str">
        <f t="shared" si="22"/>
        <v/>
      </c>
      <c r="N176" s="9" t="str">
        <f>IF(NOT(ISERROR(VLOOKUP(B176,Deflatores!G$42:H$64,2,FALSE))),VLOOKUP(B176,Deflatores!G$42:H$64,2,FALSE),IF(OR(ISBLANK(C176),ISBLANK(B176)),"",VLOOKUP(C176,Deflatores!G$4:H$38,2,FALSE)*J176+VLOOKUP(C176,Deflatores!G$4:I$38,3,FALSE)))</f>
        <v/>
      </c>
      <c r="O176" s="5"/>
      <c r="P176" s="5"/>
      <c r="Q176" s="6"/>
      <c r="R176" s="10"/>
      <c r="S176" s="104"/>
      <c r="T176" s="162"/>
      <c r="U176" s="10"/>
    </row>
    <row r="177" spans="1:21" ht="21.75" customHeight="1" x14ac:dyDescent="0.2">
      <c r="A177" s="102"/>
      <c r="B177" s="2"/>
      <c r="C177" s="2"/>
      <c r="D177" s="2"/>
      <c r="E177" s="5"/>
      <c r="F177" s="2"/>
      <c r="G177" s="5"/>
      <c r="H177" s="8" t="str">
        <f t="shared" si="17"/>
        <v/>
      </c>
      <c r="I177" s="7" t="str">
        <f t="shared" si="18"/>
        <v/>
      </c>
      <c r="J177" s="3" t="str">
        <f t="shared" si="19"/>
        <v/>
      </c>
      <c r="K177" s="4" t="str">
        <f t="shared" si="20"/>
        <v/>
      </c>
      <c r="L177" s="7" t="str">
        <f t="shared" si="21"/>
        <v/>
      </c>
      <c r="M177" s="9" t="str">
        <f t="shared" si="22"/>
        <v/>
      </c>
      <c r="N177" s="9" t="str">
        <f>IF(NOT(ISERROR(VLOOKUP(B177,Deflatores!G$42:H$64,2,FALSE))),VLOOKUP(B177,Deflatores!G$42:H$64,2,FALSE),IF(OR(ISBLANK(C177),ISBLANK(B177)),"",VLOOKUP(C177,Deflatores!G$4:H$38,2,FALSE)*J177+VLOOKUP(C177,Deflatores!G$4:I$38,3,FALSE)))</f>
        <v/>
      </c>
      <c r="O177" s="5"/>
      <c r="P177" s="5"/>
      <c r="Q177" s="6"/>
      <c r="R177" s="10"/>
      <c r="S177" s="104"/>
      <c r="T177" s="162"/>
      <c r="U177" s="10"/>
    </row>
    <row r="178" spans="1:21" ht="21.75" customHeight="1" x14ac:dyDescent="0.2">
      <c r="A178" s="102"/>
      <c r="B178" s="2"/>
      <c r="C178" s="2"/>
      <c r="D178" s="2"/>
      <c r="E178" s="5"/>
      <c r="F178" s="2"/>
      <c r="G178" s="5"/>
      <c r="H178" s="8" t="str">
        <f t="shared" si="17"/>
        <v/>
      </c>
      <c r="I178" s="7" t="str">
        <f t="shared" si="18"/>
        <v/>
      </c>
      <c r="J178" s="3" t="str">
        <f t="shared" si="19"/>
        <v/>
      </c>
      <c r="K178" s="4" t="str">
        <f t="shared" si="20"/>
        <v/>
      </c>
      <c r="L178" s="7" t="str">
        <f t="shared" si="21"/>
        <v/>
      </c>
      <c r="M178" s="9" t="str">
        <f t="shared" si="22"/>
        <v/>
      </c>
      <c r="N178" s="9" t="str">
        <f>IF(NOT(ISERROR(VLOOKUP(B178,Deflatores!G$42:H$64,2,FALSE))),VLOOKUP(B178,Deflatores!G$42:H$64,2,FALSE),IF(OR(ISBLANK(C178),ISBLANK(B178)),"",VLOOKUP(C178,Deflatores!G$4:H$38,2,FALSE)*J178+VLOOKUP(C178,Deflatores!G$4:I$38,3,FALSE)))</f>
        <v/>
      </c>
      <c r="O178" s="5"/>
      <c r="P178" s="5"/>
      <c r="Q178" s="6"/>
      <c r="R178" s="10"/>
      <c r="S178" s="104"/>
      <c r="T178" s="162"/>
      <c r="U178" s="10"/>
    </row>
    <row r="179" spans="1:21" ht="21.75" customHeight="1" x14ac:dyDescent="0.2">
      <c r="A179" s="102"/>
      <c r="B179" s="2"/>
      <c r="C179" s="2"/>
      <c r="D179" s="2"/>
      <c r="E179" s="5"/>
      <c r="F179" s="2"/>
      <c r="G179" s="5"/>
      <c r="H179" s="8" t="str">
        <f t="shared" si="17"/>
        <v/>
      </c>
      <c r="I179" s="7" t="str">
        <f t="shared" si="18"/>
        <v/>
      </c>
      <c r="J179" s="3" t="str">
        <f t="shared" si="19"/>
        <v/>
      </c>
      <c r="K179" s="4" t="str">
        <f t="shared" si="20"/>
        <v/>
      </c>
      <c r="L179" s="7" t="str">
        <f t="shared" si="21"/>
        <v/>
      </c>
      <c r="M179" s="9" t="str">
        <f t="shared" si="22"/>
        <v/>
      </c>
      <c r="N179" s="9" t="str">
        <f>IF(NOT(ISERROR(VLOOKUP(B179,Deflatores!G$42:H$64,2,FALSE))),VLOOKUP(B179,Deflatores!G$42:H$64,2,FALSE),IF(OR(ISBLANK(C179),ISBLANK(B179)),"",VLOOKUP(C179,Deflatores!G$4:H$38,2,FALSE)*J179+VLOOKUP(C179,Deflatores!G$4:I$38,3,FALSE)))</f>
        <v/>
      </c>
      <c r="O179" s="5"/>
      <c r="P179" s="5"/>
      <c r="Q179" s="6"/>
      <c r="R179" s="10"/>
      <c r="S179" s="104"/>
      <c r="T179" s="162"/>
      <c r="U179" s="10"/>
    </row>
    <row r="180" spans="1:21" ht="21.75" customHeight="1" x14ac:dyDescent="0.2">
      <c r="A180" s="102"/>
      <c r="B180" s="2"/>
      <c r="C180" s="2"/>
      <c r="D180" s="2"/>
      <c r="E180" s="5"/>
      <c r="F180" s="2"/>
      <c r="G180" s="5"/>
      <c r="H180" s="8" t="str">
        <f t="shared" si="17"/>
        <v/>
      </c>
      <c r="I180" s="7" t="str">
        <f t="shared" si="18"/>
        <v/>
      </c>
      <c r="J180" s="3" t="str">
        <f t="shared" si="19"/>
        <v/>
      </c>
      <c r="K180" s="4" t="str">
        <f t="shared" si="20"/>
        <v/>
      </c>
      <c r="L180" s="7" t="str">
        <f t="shared" si="21"/>
        <v/>
      </c>
      <c r="M180" s="9" t="str">
        <f t="shared" si="22"/>
        <v/>
      </c>
      <c r="N180" s="9" t="str">
        <f>IF(NOT(ISERROR(VLOOKUP(B180,Deflatores!G$42:H$64,2,FALSE))),VLOOKUP(B180,Deflatores!G$42:H$64,2,FALSE),IF(OR(ISBLANK(C180),ISBLANK(B180)),"",VLOOKUP(C180,Deflatores!G$4:H$38,2,FALSE)*J180+VLOOKUP(C180,Deflatores!G$4:I$38,3,FALSE)))</f>
        <v/>
      </c>
      <c r="O180" s="5"/>
      <c r="P180" s="5"/>
      <c r="Q180" s="6"/>
      <c r="R180" s="10"/>
      <c r="S180" s="104"/>
      <c r="T180" s="162"/>
      <c r="U180" s="10"/>
    </row>
    <row r="181" spans="1:21" ht="21.75" customHeight="1" x14ac:dyDescent="0.2">
      <c r="A181" s="102"/>
      <c r="B181" s="2"/>
      <c r="C181" s="2"/>
      <c r="D181" s="2"/>
      <c r="E181" s="5"/>
      <c r="F181" s="2"/>
      <c r="G181" s="5"/>
      <c r="H181" s="8" t="str">
        <f t="shared" si="17"/>
        <v/>
      </c>
      <c r="I181" s="7" t="str">
        <f t="shared" si="18"/>
        <v/>
      </c>
      <c r="J181" s="3" t="str">
        <f t="shared" si="19"/>
        <v/>
      </c>
      <c r="K181" s="4" t="str">
        <f t="shared" si="20"/>
        <v/>
      </c>
      <c r="L181" s="7" t="str">
        <f t="shared" si="21"/>
        <v/>
      </c>
      <c r="M181" s="9" t="str">
        <f t="shared" si="22"/>
        <v/>
      </c>
      <c r="N181" s="9" t="str">
        <f>IF(NOT(ISERROR(VLOOKUP(B181,Deflatores!G$42:H$64,2,FALSE))),VLOOKUP(B181,Deflatores!G$42:H$64,2,FALSE),IF(OR(ISBLANK(C181),ISBLANK(B181)),"",VLOOKUP(C181,Deflatores!G$4:H$38,2,FALSE)*J181+VLOOKUP(C181,Deflatores!G$4:I$38,3,FALSE)))</f>
        <v/>
      </c>
      <c r="O181" s="5"/>
      <c r="P181" s="5"/>
      <c r="Q181" s="6"/>
      <c r="R181" s="10"/>
      <c r="S181" s="104"/>
      <c r="T181" s="162"/>
      <c r="U181" s="10"/>
    </row>
    <row r="182" spans="1:21" ht="21.75" customHeight="1" x14ac:dyDescent="0.2">
      <c r="A182" s="102"/>
      <c r="B182" s="2"/>
      <c r="C182" s="2"/>
      <c r="D182" s="2"/>
      <c r="E182" s="5"/>
      <c r="F182" s="2"/>
      <c r="G182" s="5"/>
      <c r="H182" s="8" t="str">
        <f t="shared" si="17"/>
        <v/>
      </c>
      <c r="I182" s="7" t="str">
        <f t="shared" si="18"/>
        <v/>
      </c>
      <c r="J182" s="3" t="str">
        <f t="shared" si="19"/>
        <v/>
      </c>
      <c r="K182" s="4" t="str">
        <f t="shared" si="20"/>
        <v/>
      </c>
      <c r="L182" s="7" t="str">
        <f t="shared" si="21"/>
        <v/>
      </c>
      <c r="M182" s="9" t="str">
        <f t="shared" si="22"/>
        <v/>
      </c>
      <c r="N182" s="9" t="str">
        <f>IF(NOT(ISERROR(VLOOKUP(B182,Deflatores!G$42:H$64,2,FALSE))),VLOOKUP(B182,Deflatores!G$42:H$64,2,FALSE),IF(OR(ISBLANK(C182),ISBLANK(B182)),"",VLOOKUP(C182,Deflatores!G$4:H$38,2,FALSE)*J182+VLOOKUP(C182,Deflatores!G$4:I$38,3,FALSE)))</f>
        <v/>
      </c>
      <c r="O182" s="5"/>
      <c r="P182" s="5"/>
      <c r="Q182" s="6"/>
      <c r="R182" s="10"/>
      <c r="S182" s="104"/>
      <c r="T182" s="162"/>
      <c r="U182" s="10"/>
    </row>
    <row r="183" spans="1:21" ht="21.75" customHeight="1" x14ac:dyDescent="0.2">
      <c r="A183" s="102"/>
      <c r="B183" s="2"/>
      <c r="C183" s="2"/>
      <c r="D183" s="2"/>
      <c r="E183" s="5"/>
      <c r="F183" s="2"/>
      <c r="G183" s="5"/>
      <c r="H183" s="8" t="str">
        <f t="shared" si="17"/>
        <v/>
      </c>
      <c r="I183" s="7" t="str">
        <f t="shared" si="18"/>
        <v/>
      </c>
      <c r="J183" s="3" t="str">
        <f t="shared" si="19"/>
        <v/>
      </c>
      <c r="K183" s="4" t="str">
        <f t="shared" si="20"/>
        <v/>
      </c>
      <c r="L183" s="7" t="str">
        <f t="shared" si="21"/>
        <v/>
      </c>
      <c r="M183" s="9" t="str">
        <f t="shared" si="22"/>
        <v/>
      </c>
      <c r="N183" s="9" t="str">
        <f>IF(NOT(ISERROR(VLOOKUP(B183,Deflatores!G$42:H$64,2,FALSE))),VLOOKUP(B183,Deflatores!G$42:H$64,2,FALSE),IF(OR(ISBLANK(C183),ISBLANK(B183)),"",VLOOKUP(C183,Deflatores!G$4:H$38,2,FALSE)*J183+VLOOKUP(C183,Deflatores!G$4:I$38,3,FALSE)))</f>
        <v/>
      </c>
      <c r="O183" s="5"/>
      <c r="P183" s="5"/>
      <c r="Q183" s="6"/>
      <c r="R183" s="10"/>
      <c r="S183" s="104"/>
      <c r="T183" s="162"/>
      <c r="U183" s="10"/>
    </row>
    <row r="184" spans="1:21" ht="21.75" customHeight="1" x14ac:dyDescent="0.2">
      <c r="A184" s="102"/>
      <c r="B184" s="2"/>
      <c r="C184" s="2"/>
      <c r="D184" s="2"/>
      <c r="E184" s="5"/>
      <c r="F184" s="2"/>
      <c r="G184" s="5"/>
      <c r="H184" s="8" t="str">
        <f t="shared" si="17"/>
        <v/>
      </c>
      <c r="I184" s="7" t="str">
        <f t="shared" si="18"/>
        <v/>
      </c>
      <c r="J184" s="3" t="str">
        <f t="shared" si="19"/>
        <v/>
      </c>
      <c r="K184" s="4" t="str">
        <f t="shared" si="20"/>
        <v/>
      </c>
      <c r="L184" s="7" t="str">
        <f t="shared" si="21"/>
        <v/>
      </c>
      <c r="M184" s="9" t="str">
        <f t="shared" si="22"/>
        <v/>
      </c>
      <c r="N184" s="9" t="str">
        <f>IF(NOT(ISERROR(VLOOKUP(B184,Deflatores!G$42:H$64,2,FALSE))),VLOOKUP(B184,Deflatores!G$42:H$64,2,FALSE),IF(OR(ISBLANK(C184),ISBLANK(B184)),"",VLOOKUP(C184,Deflatores!G$4:H$38,2,FALSE)*J184+VLOOKUP(C184,Deflatores!G$4:I$38,3,FALSE)))</f>
        <v/>
      </c>
      <c r="O184" s="5"/>
      <c r="P184" s="5"/>
      <c r="Q184" s="6"/>
      <c r="R184" s="10"/>
      <c r="S184" s="104"/>
      <c r="T184" s="162"/>
      <c r="U184" s="10"/>
    </row>
    <row r="185" spans="1:21" ht="21.75" customHeight="1" x14ac:dyDescent="0.2">
      <c r="A185" s="102"/>
      <c r="B185" s="2"/>
      <c r="C185" s="2"/>
      <c r="D185" s="2"/>
      <c r="E185" s="5"/>
      <c r="F185" s="2"/>
      <c r="G185" s="5"/>
      <c r="H185" s="8" t="str">
        <f t="shared" si="17"/>
        <v/>
      </c>
      <c r="I185" s="7" t="str">
        <f t="shared" si="18"/>
        <v/>
      </c>
      <c r="J185" s="3" t="str">
        <f t="shared" si="19"/>
        <v/>
      </c>
      <c r="K185" s="4" t="str">
        <f t="shared" si="20"/>
        <v/>
      </c>
      <c r="L185" s="7" t="str">
        <f t="shared" si="21"/>
        <v/>
      </c>
      <c r="M185" s="9" t="str">
        <f t="shared" si="22"/>
        <v/>
      </c>
      <c r="N185" s="9" t="str">
        <f>IF(NOT(ISERROR(VLOOKUP(B185,Deflatores!G$42:H$64,2,FALSE))),VLOOKUP(B185,Deflatores!G$42:H$64,2,FALSE),IF(OR(ISBLANK(C185),ISBLANK(B185)),"",VLOOKUP(C185,Deflatores!G$4:H$38,2,FALSE)*J185+VLOOKUP(C185,Deflatores!G$4:I$38,3,FALSE)))</f>
        <v/>
      </c>
      <c r="O185" s="5"/>
      <c r="P185" s="5"/>
      <c r="Q185" s="6"/>
      <c r="R185" s="10"/>
      <c r="S185" s="104"/>
      <c r="T185" s="162"/>
      <c r="U185" s="10"/>
    </row>
    <row r="186" spans="1:21" ht="21.75" customHeight="1" x14ac:dyDescent="0.2">
      <c r="A186" s="102"/>
      <c r="B186" s="2"/>
      <c r="C186" s="2"/>
      <c r="D186" s="2"/>
      <c r="E186" s="5"/>
      <c r="F186" s="2"/>
      <c r="G186" s="5"/>
      <c r="H186" s="8" t="str">
        <f t="shared" si="17"/>
        <v/>
      </c>
      <c r="I186" s="7" t="str">
        <f t="shared" si="18"/>
        <v/>
      </c>
      <c r="J186" s="3" t="str">
        <f t="shared" si="19"/>
        <v/>
      </c>
      <c r="K186" s="4" t="str">
        <f t="shared" si="20"/>
        <v/>
      </c>
      <c r="L186" s="7" t="str">
        <f t="shared" si="21"/>
        <v/>
      </c>
      <c r="M186" s="9" t="str">
        <f t="shared" si="22"/>
        <v/>
      </c>
      <c r="N186" s="9" t="str">
        <f>IF(NOT(ISERROR(VLOOKUP(B186,Deflatores!G$42:H$64,2,FALSE))),VLOOKUP(B186,Deflatores!G$42:H$64,2,FALSE),IF(OR(ISBLANK(C186),ISBLANK(B186)),"",VLOOKUP(C186,Deflatores!G$4:H$38,2,FALSE)*J186+VLOOKUP(C186,Deflatores!G$4:I$38,3,FALSE)))</f>
        <v/>
      </c>
      <c r="O186" s="5"/>
      <c r="P186" s="5"/>
      <c r="Q186" s="6"/>
      <c r="R186" s="10"/>
      <c r="S186" s="104"/>
      <c r="T186" s="162"/>
      <c r="U186" s="10"/>
    </row>
    <row r="187" spans="1:21" ht="21.75" customHeight="1" x14ac:dyDescent="0.2">
      <c r="A187" s="102"/>
      <c r="B187" s="2"/>
      <c r="C187" s="2"/>
      <c r="D187" s="2"/>
      <c r="E187" s="5"/>
      <c r="F187" s="2"/>
      <c r="G187" s="5"/>
      <c r="H187" s="8" t="str">
        <f t="shared" si="17"/>
        <v/>
      </c>
      <c r="I187" s="7" t="str">
        <f t="shared" si="18"/>
        <v/>
      </c>
      <c r="J187" s="3" t="str">
        <f t="shared" si="19"/>
        <v/>
      </c>
      <c r="K187" s="4" t="str">
        <f t="shared" si="20"/>
        <v/>
      </c>
      <c r="L187" s="7" t="str">
        <f t="shared" si="21"/>
        <v/>
      </c>
      <c r="M187" s="9" t="str">
        <f t="shared" si="22"/>
        <v/>
      </c>
      <c r="N187" s="9" t="str">
        <f>IF(NOT(ISERROR(VLOOKUP(B187,Deflatores!G$42:H$64,2,FALSE))),VLOOKUP(B187,Deflatores!G$42:H$64,2,FALSE),IF(OR(ISBLANK(C187),ISBLANK(B187)),"",VLOOKUP(C187,Deflatores!G$4:H$38,2,FALSE)*J187+VLOOKUP(C187,Deflatores!G$4:I$38,3,FALSE)))</f>
        <v/>
      </c>
      <c r="O187" s="5"/>
      <c r="P187" s="5"/>
      <c r="Q187" s="6"/>
      <c r="R187" s="10"/>
      <c r="S187" s="104"/>
      <c r="T187" s="162"/>
      <c r="U187" s="10"/>
    </row>
    <row r="188" spans="1:21" ht="21.75" customHeight="1" x14ac:dyDescent="0.2">
      <c r="A188" s="102"/>
      <c r="B188" s="2"/>
      <c r="C188" s="2"/>
      <c r="D188" s="2"/>
      <c r="E188" s="5"/>
      <c r="F188" s="2"/>
      <c r="G188" s="5"/>
      <c r="H188" s="8" t="str">
        <f t="shared" si="17"/>
        <v/>
      </c>
      <c r="I188" s="7" t="str">
        <f t="shared" si="18"/>
        <v/>
      </c>
      <c r="J188" s="3" t="str">
        <f t="shared" si="19"/>
        <v/>
      </c>
      <c r="K188" s="4" t="str">
        <f t="shared" si="20"/>
        <v/>
      </c>
      <c r="L188" s="7" t="str">
        <f t="shared" si="21"/>
        <v/>
      </c>
      <c r="M188" s="9" t="str">
        <f t="shared" si="22"/>
        <v/>
      </c>
      <c r="N188" s="9" t="str">
        <f>IF(NOT(ISERROR(VLOOKUP(B188,Deflatores!G$42:H$64,2,FALSE))),VLOOKUP(B188,Deflatores!G$42:H$64,2,FALSE),IF(OR(ISBLANK(C188),ISBLANK(B188)),"",VLOOKUP(C188,Deflatores!G$4:H$38,2,FALSE)*J188+VLOOKUP(C188,Deflatores!G$4:I$38,3,FALSE)))</f>
        <v/>
      </c>
      <c r="O188" s="5"/>
      <c r="P188" s="5"/>
      <c r="Q188" s="6"/>
      <c r="R188" s="10"/>
      <c r="S188" s="104"/>
      <c r="T188" s="162"/>
      <c r="U188" s="10"/>
    </row>
    <row r="189" spans="1:21" ht="21.75" customHeight="1" x14ac:dyDescent="0.2">
      <c r="A189" s="102"/>
      <c r="B189" s="2"/>
      <c r="C189" s="2"/>
      <c r="D189" s="2"/>
      <c r="E189" s="5"/>
      <c r="F189" s="2"/>
      <c r="G189" s="5"/>
      <c r="H189" s="8" t="str">
        <f t="shared" si="17"/>
        <v/>
      </c>
      <c r="I189" s="7" t="str">
        <f t="shared" si="18"/>
        <v/>
      </c>
      <c r="J189" s="3" t="str">
        <f t="shared" si="19"/>
        <v/>
      </c>
      <c r="K189" s="4" t="str">
        <f t="shared" si="20"/>
        <v/>
      </c>
      <c r="L189" s="7" t="str">
        <f t="shared" si="21"/>
        <v/>
      </c>
      <c r="M189" s="9" t="str">
        <f t="shared" si="22"/>
        <v/>
      </c>
      <c r="N189" s="9" t="str">
        <f>IF(NOT(ISERROR(VLOOKUP(B189,Deflatores!G$42:H$64,2,FALSE))),VLOOKUP(B189,Deflatores!G$42:H$64,2,FALSE),IF(OR(ISBLANK(C189),ISBLANK(B189)),"",VLOOKUP(C189,Deflatores!G$4:H$38,2,FALSE)*J189+VLOOKUP(C189,Deflatores!G$4:I$38,3,FALSE)))</f>
        <v/>
      </c>
      <c r="O189" s="5"/>
      <c r="P189" s="5"/>
      <c r="Q189" s="6"/>
      <c r="R189" s="10"/>
      <c r="S189" s="104"/>
      <c r="T189" s="162"/>
      <c r="U189" s="10"/>
    </row>
    <row r="190" spans="1:21" ht="21.75" customHeight="1" x14ac:dyDescent="0.2">
      <c r="A190" s="102"/>
      <c r="B190" s="2"/>
      <c r="C190" s="2"/>
      <c r="D190" s="2"/>
      <c r="E190" s="5"/>
      <c r="F190" s="2"/>
      <c r="G190" s="5"/>
      <c r="H190" s="8" t="str">
        <f t="shared" si="17"/>
        <v/>
      </c>
      <c r="I190" s="7" t="str">
        <f t="shared" si="18"/>
        <v/>
      </c>
      <c r="J190" s="3" t="str">
        <f t="shared" si="19"/>
        <v/>
      </c>
      <c r="K190" s="4" t="str">
        <f t="shared" si="20"/>
        <v/>
      </c>
      <c r="L190" s="7" t="str">
        <f t="shared" si="21"/>
        <v/>
      </c>
      <c r="M190" s="9" t="str">
        <f t="shared" si="22"/>
        <v/>
      </c>
      <c r="N190" s="9" t="str">
        <f>IF(NOT(ISERROR(VLOOKUP(B190,Deflatores!G$42:H$64,2,FALSE))),VLOOKUP(B190,Deflatores!G$42:H$64,2,FALSE),IF(OR(ISBLANK(C190),ISBLANK(B190)),"",VLOOKUP(C190,Deflatores!G$4:H$38,2,FALSE)*J190+VLOOKUP(C190,Deflatores!G$4:I$38,3,FALSE)))</f>
        <v/>
      </c>
      <c r="O190" s="5"/>
      <c r="P190" s="5"/>
      <c r="Q190" s="6"/>
      <c r="R190" s="10"/>
      <c r="S190" s="104"/>
      <c r="T190" s="162"/>
      <c r="U190" s="10"/>
    </row>
    <row r="191" spans="1:21" ht="21.75" customHeight="1" x14ac:dyDescent="0.2">
      <c r="A191" s="102"/>
      <c r="B191" s="2"/>
      <c r="C191" s="2"/>
      <c r="D191" s="2"/>
      <c r="E191" s="5"/>
      <c r="F191" s="2"/>
      <c r="G191" s="5"/>
      <c r="H191" s="8" t="str">
        <f t="shared" si="17"/>
        <v/>
      </c>
      <c r="I191" s="7" t="str">
        <f t="shared" si="18"/>
        <v/>
      </c>
      <c r="J191" s="3" t="str">
        <f t="shared" si="19"/>
        <v/>
      </c>
      <c r="K191" s="4" t="str">
        <f t="shared" si="20"/>
        <v/>
      </c>
      <c r="L191" s="7" t="str">
        <f t="shared" si="21"/>
        <v/>
      </c>
      <c r="M191" s="9" t="str">
        <f t="shared" si="22"/>
        <v/>
      </c>
      <c r="N191" s="9" t="str">
        <f>IF(NOT(ISERROR(VLOOKUP(B191,Deflatores!G$42:H$64,2,FALSE))),VLOOKUP(B191,Deflatores!G$42:H$64,2,FALSE),IF(OR(ISBLANK(C191),ISBLANK(B191)),"",VLOOKUP(C191,Deflatores!G$4:H$38,2,FALSE)*J191+VLOOKUP(C191,Deflatores!G$4:I$38,3,FALSE)))</f>
        <v/>
      </c>
      <c r="O191" s="5"/>
      <c r="P191" s="5"/>
      <c r="Q191" s="6"/>
      <c r="R191" s="10"/>
      <c r="S191" s="104"/>
      <c r="T191" s="162"/>
      <c r="U191" s="10"/>
    </row>
    <row r="192" spans="1:21" ht="21.75" customHeight="1" x14ac:dyDescent="0.2">
      <c r="A192" s="102"/>
      <c r="B192" s="2"/>
      <c r="C192" s="2"/>
      <c r="D192" s="2"/>
      <c r="E192" s="5"/>
      <c r="F192" s="2"/>
      <c r="G192" s="5"/>
      <c r="H192" s="8" t="str">
        <f t="shared" si="17"/>
        <v/>
      </c>
      <c r="I192" s="7" t="str">
        <f t="shared" si="18"/>
        <v/>
      </c>
      <c r="J192" s="3" t="str">
        <f t="shared" si="19"/>
        <v/>
      </c>
      <c r="K192" s="4" t="str">
        <f t="shared" si="20"/>
        <v/>
      </c>
      <c r="L192" s="7" t="str">
        <f t="shared" si="21"/>
        <v/>
      </c>
      <c r="M192" s="9" t="str">
        <f t="shared" si="22"/>
        <v/>
      </c>
      <c r="N192" s="9" t="str">
        <f>IF(NOT(ISERROR(VLOOKUP(B192,Deflatores!G$42:H$64,2,FALSE))),VLOOKUP(B192,Deflatores!G$42:H$64,2,FALSE),IF(OR(ISBLANK(C192),ISBLANK(B192)),"",VLOOKUP(C192,Deflatores!G$4:H$38,2,FALSE)*J192+VLOOKUP(C192,Deflatores!G$4:I$38,3,FALSE)))</f>
        <v/>
      </c>
      <c r="O192" s="5"/>
      <c r="P192" s="5"/>
      <c r="Q192" s="6"/>
      <c r="R192" s="10"/>
      <c r="S192" s="104"/>
      <c r="T192" s="162"/>
      <c r="U192" s="10"/>
    </row>
    <row r="193" spans="1:21" ht="21.75" customHeight="1" x14ac:dyDescent="0.2">
      <c r="A193" s="102"/>
      <c r="B193" s="2"/>
      <c r="C193" s="2"/>
      <c r="D193" s="2"/>
      <c r="E193" s="5"/>
      <c r="F193" s="2"/>
      <c r="G193" s="5"/>
      <c r="H193" s="8" t="str">
        <f t="shared" si="17"/>
        <v/>
      </c>
      <c r="I193" s="7" t="str">
        <f t="shared" si="18"/>
        <v/>
      </c>
      <c r="J193" s="3" t="str">
        <f t="shared" si="19"/>
        <v/>
      </c>
      <c r="K193" s="4" t="str">
        <f t="shared" si="20"/>
        <v/>
      </c>
      <c r="L193" s="7" t="str">
        <f t="shared" si="21"/>
        <v/>
      </c>
      <c r="M193" s="9" t="str">
        <f t="shared" si="22"/>
        <v/>
      </c>
      <c r="N193" s="9" t="str">
        <f>IF(NOT(ISERROR(VLOOKUP(B193,Deflatores!G$42:H$64,2,FALSE))),VLOOKUP(B193,Deflatores!G$42:H$64,2,FALSE),IF(OR(ISBLANK(C193),ISBLANK(B193)),"",VLOOKUP(C193,Deflatores!G$4:H$38,2,FALSE)*J193+VLOOKUP(C193,Deflatores!G$4:I$38,3,FALSE)))</f>
        <v/>
      </c>
      <c r="O193" s="5"/>
      <c r="P193" s="5"/>
      <c r="Q193" s="6"/>
      <c r="R193" s="10"/>
      <c r="S193" s="104"/>
      <c r="T193" s="162"/>
      <c r="U193" s="10"/>
    </row>
    <row r="194" spans="1:21" ht="21.75" customHeight="1" x14ac:dyDescent="0.2">
      <c r="A194" s="102"/>
      <c r="B194" s="2"/>
      <c r="C194" s="2"/>
      <c r="D194" s="2"/>
      <c r="E194" s="5"/>
      <c r="F194" s="2"/>
      <c r="G194" s="5"/>
      <c r="H194" s="8" t="str">
        <f t="shared" si="17"/>
        <v/>
      </c>
      <c r="I194" s="7" t="str">
        <f t="shared" si="18"/>
        <v/>
      </c>
      <c r="J194" s="3" t="str">
        <f t="shared" si="19"/>
        <v/>
      </c>
      <c r="K194" s="4" t="str">
        <f t="shared" si="20"/>
        <v/>
      </c>
      <c r="L194" s="7" t="str">
        <f t="shared" si="21"/>
        <v/>
      </c>
      <c r="M194" s="9" t="str">
        <f t="shared" si="22"/>
        <v/>
      </c>
      <c r="N194" s="9" t="str">
        <f>IF(NOT(ISERROR(VLOOKUP(B194,Deflatores!G$42:H$64,2,FALSE))),VLOOKUP(B194,Deflatores!G$42:H$64,2,FALSE),IF(OR(ISBLANK(C194),ISBLANK(B194)),"",VLOOKUP(C194,Deflatores!G$4:H$38,2,FALSE)*J194+VLOOKUP(C194,Deflatores!G$4:I$38,3,FALSE)))</f>
        <v/>
      </c>
      <c r="O194" s="5"/>
      <c r="P194" s="5"/>
      <c r="Q194" s="6"/>
      <c r="R194" s="10"/>
      <c r="S194" s="104"/>
      <c r="T194" s="162"/>
      <c r="U194" s="10"/>
    </row>
    <row r="195" spans="1:21" ht="21.75" customHeight="1" x14ac:dyDescent="0.2">
      <c r="A195" s="102"/>
      <c r="B195" s="2"/>
      <c r="C195" s="2"/>
      <c r="D195" s="2"/>
      <c r="E195" s="5"/>
      <c r="F195" s="2"/>
      <c r="G195" s="5"/>
      <c r="H195" s="8" t="str">
        <f t="shared" si="17"/>
        <v/>
      </c>
      <c r="I195" s="7" t="str">
        <f t="shared" si="18"/>
        <v/>
      </c>
      <c r="J195" s="3" t="str">
        <f t="shared" si="19"/>
        <v/>
      </c>
      <c r="K195" s="4" t="str">
        <f t="shared" si="20"/>
        <v/>
      </c>
      <c r="L195" s="7" t="str">
        <f t="shared" si="21"/>
        <v/>
      </c>
      <c r="M195" s="9" t="str">
        <f t="shared" si="22"/>
        <v/>
      </c>
      <c r="N195" s="9" t="str">
        <f>IF(NOT(ISERROR(VLOOKUP(B195,Deflatores!G$42:H$64,2,FALSE))),VLOOKUP(B195,Deflatores!G$42:H$64,2,FALSE),IF(OR(ISBLANK(C195),ISBLANK(B195)),"",VLOOKUP(C195,Deflatores!G$4:H$38,2,FALSE)*J195+VLOOKUP(C195,Deflatores!G$4:I$38,3,FALSE)))</f>
        <v/>
      </c>
      <c r="O195" s="5"/>
      <c r="P195" s="5"/>
      <c r="Q195" s="6"/>
      <c r="R195" s="10"/>
      <c r="S195" s="104"/>
      <c r="T195" s="162"/>
      <c r="U195" s="10"/>
    </row>
    <row r="196" spans="1:21" ht="21.75" customHeight="1" x14ac:dyDescent="0.2">
      <c r="A196" s="102"/>
      <c r="B196" s="2"/>
      <c r="C196" s="2"/>
      <c r="D196" s="2"/>
      <c r="E196" s="5"/>
      <c r="F196" s="2"/>
      <c r="G196" s="5"/>
      <c r="H196" s="8" t="str">
        <f t="shared" si="17"/>
        <v/>
      </c>
      <c r="I196" s="7" t="str">
        <f t="shared" si="18"/>
        <v/>
      </c>
      <c r="J196" s="3" t="str">
        <f t="shared" si="19"/>
        <v/>
      </c>
      <c r="K196" s="4" t="str">
        <f t="shared" si="20"/>
        <v/>
      </c>
      <c r="L196" s="7" t="str">
        <f t="shared" si="21"/>
        <v/>
      </c>
      <c r="M196" s="9" t="str">
        <f t="shared" si="22"/>
        <v/>
      </c>
      <c r="N196" s="9" t="str">
        <f>IF(NOT(ISERROR(VLOOKUP(B196,Deflatores!G$42:H$64,2,FALSE))),VLOOKUP(B196,Deflatores!G$42:H$64,2,FALSE),IF(OR(ISBLANK(C196),ISBLANK(B196)),"",VLOOKUP(C196,Deflatores!G$4:H$38,2,FALSE)*J196+VLOOKUP(C196,Deflatores!G$4:I$38,3,FALSE)))</f>
        <v/>
      </c>
      <c r="O196" s="5"/>
      <c r="P196" s="5"/>
      <c r="Q196" s="6"/>
      <c r="R196" s="10"/>
      <c r="S196" s="104"/>
      <c r="T196" s="162"/>
      <c r="U196" s="10"/>
    </row>
    <row r="197" spans="1:21" ht="21.75" customHeight="1" x14ac:dyDescent="0.2">
      <c r="A197" s="102"/>
      <c r="B197" s="2"/>
      <c r="C197" s="2"/>
      <c r="D197" s="2"/>
      <c r="E197" s="5"/>
      <c r="F197" s="2"/>
      <c r="G197" s="5"/>
      <c r="H197" s="8" t="str">
        <f t="shared" si="17"/>
        <v/>
      </c>
      <c r="I197" s="7" t="str">
        <f t="shared" si="18"/>
        <v/>
      </c>
      <c r="J197" s="3" t="str">
        <f t="shared" si="19"/>
        <v/>
      </c>
      <c r="K197" s="4" t="str">
        <f t="shared" si="20"/>
        <v/>
      </c>
      <c r="L197" s="7" t="str">
        <f t="shared" si="21"/>
        <v/>
      </c>
      <c r="M197" s="9" t="str">
        <f t="shared" si="22"/>
        <v/>
      </c>
      <c r="N197" s="9" t="str">
        <f>IF(NOT(ISERROR(VLOOKUP(B197,Deflatores!G$42:H$64,2,FALSE))),VLOOKUP(B197,Deflatores!G$42:H$64,2,FALSE),IF(OR(ISBLANK(C197),ISBLANK(B197)),"",VLOOKUP(C197,Deflatores!G$4:H$38,2,FALSE)*J197+VLOOKUP(C197,Deflatores!G$4:I$38,3,FALSE)))</f>
        <v/>
      </c>
      <c r="O197" s="5"/>
      <c r="P197" s="5"/>
      <c r="Q197" s="6"/>
      <c r="R197" s="10"/>
      <c r="S197" s="104"/>
      <c r="T197" s="162"/>
      <c r="U197" s="10"/>
    </row>
    <row r="198" spans="1:21" ht="21.75" customHeight="1" x14ac:dyDescent="0.2">
      <c r="A198" s="102"/>
      <c r="B198" s="2"/>
      <c r="C198" s="2"/>
      <c r="D198" s="2"/>
      <c r="E198" s="5"/>
      <c r="F198" s="2"/>
      <c r="G198" s="5"/>
      <c r="H198" s="8" t="str">
        <f t="shared" si="17"/>
        <v/>
      </c>
      <c r="I198" s="7" t="str">
        <f t="shared" si="18"/>
        <v/>
      </c>
      <c r="J198" s="3" t="str">
        <f t="shared" si="19"/>
        <v/>
      </c>
      <c r="K198" s="4" t="str">
        <f t="shared" si="20"/>
        <v/>
      </c>
      <c r="L198" s="7" t="str">
        <f t="shared" si="21"/>
        <v/>
      </c>
      <c r="M198" s="9" t="str">
        <f t="shared" si="22"/>
        <v/>
      </c>
      <c r="N198" s="9" t="str">
        <f>IF(NOT(ISERROR(VLOOKUP(B198,Deflatores!G$42:H$64,2,FALSE))),VLOOKUP(B198,Deflatores!G$42:H$64,2,FALSE),IF(OR(ISBLANK(C198),ISBLANK(B198)),"",VLOOKUP(C198,Deflatores!G$4:H$38,2,FALSE)*J198+VLOOKUP(C198,Deflatores!G$4:I$38,3,FALSE)))</f>
        <v/>
      </c>
      <c r="O198" s="5"/>
      <c r="P198" s="5"/>
      <c r="Q198" s="6"/>
      <c r="R198" s="10"/>
      <c r="S198" s="104"/>
      <c r="T198" s="162"/>
      <c r="U198" s="10"/>
    </row>
    <row r="199" spans="1:21" ht="21.75" customHeight="1" x14ac:dyDescent="0.2">
      <c r="A199" s="102"/>
      <c r="B199" s="2"/>
      <c r="C199" s="2"/>
      <c r="D199" s="2"/>
      <c r="E199" s="5"/>
      <c r="F199" s="2"/>
      <c r="G199" s="5"/>
      <c r="H199" s="8" t="str">
        <f t="shared" si="17"/>
        <v/>
      </c>
      <c r="I199" s="7" t="str">
        <f t="shared" si="18"/>
        <v/>
      </c>
      <c r="J199" s="3" t="str">
        <f t="shared" si="19"/>
        <v/>
      </c>
      <c r="K199" s="4" t="str">
        <f t="shared" si="20"/>
        <v/>
      </c>
      <c r="L199" s="7" t="str">
        <f t="shared" si="21"/>
        <v/>
      </c>
      <c r="M199" s="9" t="str">
        <f t="shared" si="22"/>
        <v/>
      </c>
      <c r="N199" s="9" t="str">
        <f>IF(NOT(ISERROR(VLOOKUP(B199,Deflatores!G$42:H$64,2,FALSE))),VLOOKUP(B199,Deflatores!G$42:H$64,2,FALSE),IF(OR(ISBLANK(C199),ISBLANK(B199)),"",VLOOKUP(C199,Deflatores!G$4:H$38,2,FALSE)*J199+VLOOKUP(C199,Deflatores!G$4:I$38,3,FALSE)))</f>
        <v/>
      </c>
      <c r="O199" s="5"/>
      <c r="P199" s="5"/>
      <c r="Q199" s="6"/>
      <c r="R199" s="10"/>
      <c r="S199" s="104"/>
      <c r="T199" s="162"/>
      <c r="U199" s="10"/>
    </row>
    <row r="200" spans="1:21" ht="21.75" customHeight="1" x14ac:dyDescent="0.2">
      <c r="A200" s="102"/>
      <c r="B200" s="2"/>
      <c r="C200" s="2"/>
      <c r="D200" s="2"/>
      <c r="E200" s="5"/>
      <c r="F200" s="2"/>
      <c r="G200" s="5"/>
      <c r="H200" s="8" t="str">
        <f t="shared" si="17"/>
        <v/>
      </c>
      <c r="I200" s="7" t="str">
        <f t="shared" si="18"/>
        <v/>
      </c>
      <c r="J200" s="3" t="str">
        <f t="shared" si="19"/>
        <v/>
      </c>
      <c r="K200" s="4" t="str">
        <f t="shared" si="20"/>
        <v/>
      </c>
      <c r="L200" s="7" t="str">
        <f t="shared" si="21"/>
        <v/>
      </c>
      <c r="M200" s="9" t="str">
        <f t="shared" si="22"/>
        <v/>
      </c>
      <c r="N200" s="9" t="str">
        <f>IF(NOT(ISERROR(VLOOKUP(B200,Deflatores!G$42:H$64,2,FALSE))),VLOOKUP(B200,Deflatores!G$42:H$64,2,FALSE),IF(OR(ISBLANK(C200),ISBLANK(B200)),"",VLOOKUP(C200,Deflatores!G$4:H$38,2,FALSE)*J200+VLOOKUP(C200,Deflatores!G$4:I$38,3,FALSE)))</f>
        <v/>
      </c>
      <c r="O200" s="5"/>
      <c r="P200" s="5"/>
      <c r="Q200" s="6"/>
      <c r="R200" s="10"/>
      <c r="S200" s="104"/>
      <c r="T200" s="162"/>
      <c r="U200" s="10"/>
    </row>
    <row r="201" spans="1:21" ht="21.75" customHeight="1" x14ac:dyDescent="0.2">
      <c r="A201" s="102"/>
      <c r="B201" s="2"/>
      <c r="C201" s="2"/>
      <c r="D201" s="2"/>
      <c r="E201" s="5"/>
      <c r="F201" s="2"/>
      <c r="G201" s="5"/>
      <c r="H201" s="8" t="str">
        <f t="shared" ref="H201:H264" si="23">IF(ISBLANK(B201),"",IF(K201="L","Baixa",IF(K201="A","Média",IF(K201="","","Alta"))))</f>
        <v/>
      </c>
      <c r="I201" s="7" t="str">
        <f t="shared" ref="I201:I264" si="24">CONCATENATE(B201,K201)</f>
        <v/>
      </c>
      <c r="J201" s="3" t="str">
        <f t="shared" ref="J201:J264" si="25">IF(ISBLANK(B201),"",IF(B201="ALI",IF(K201="L",7,IF(K201="A",10,15)),IF(B201="AIE",IF(K201="L",5,IF(K201="A",7,10)),IF(B201="SE",IF(K201="L",4,IF(K201="A",5,7)),IF(OR(B201="EE",B201="CE"),IF(K201="L",3,IF(K201="A",4,6)),0)))))</f>
        <v/>
      </c>
      <c r="K201" s="4" t="str">
        <f t="shared" ref="K201:K264" si="26">IF(OR(ISBLANK(D201),ISBLANK(F201)),IF(OR(B201="ALI",B201="AIE"),"L",IF(OR(B201="EE",B201="SE",B201="CE"),"A","")),IF(B201="EE",IF(F201&gt;=3,IF(D201&gt;=5,"H","A"),IF(F201&gt;=2,IF(D201&gt;=16,"H",IF(D201&lt;=4,"L","A")),IF(D201&lt;=15,"L","A"))),IF(OR(B201="SE",B201="CE"),IF(F201&gt;=4,IF(D201&gt;=6,"H","A"),IF(F201&gt;=2,IF(D201&gt;=20,"H",IF(D201&lt;=5,"L","A")),IF(D201&lt;=19,"L","A"))),IF(OR(B201="ALI",B201="AIE"),IF(F201&gt;=6,IF(D201&gt;=20,"H","A"),IF(F201&gt;=2,IF(D201&gt;=51,"H",IF(D201&lt;=19,"L","A")),IF(D201&lt;=50,"L","A"))),""))))</f>
        <v/>
      </c>
      <c r="L201" s="7" t="str">
        <f t="shared" ref="L201:L264" si="27">CONCATENATE(B201,C201)</f>
        <v/>
      </c>
      <c r="M201" s="9" t="str">
        <f t="shared" ref="M201:M264" si="28">IF(OR(J201="",J201=0),N201,J201)</f>
        <v/>
      </c>
      <c r="N201" s="9" t="str">
        <f>IF(NOT(ISERROR(VLOOKUP(B201,Deflatores!G$42:H$64,2,FALSE))),VLOOKUP(B201,Deflatores!G$42:H$64,2,FALSE),IF(OR(ISBLANK(C201),ISBLANK(B201)),"",VLOOKUP(C201,Deflatores!G$4:H$38,2,FALSE)*J201+VLOOKUP(C201,Deflatores!G$4:I$38,3,FALSE)))</f>
        <v/>
      </c>
      <c r="O201" s="5"/>
      <c r="P201" s="5"/>
      <c r="Q201" s="6"/>
      <c r="R201" s="10"/>
      <c r="S201" s="104"/>
      <c r="T201" s="162"/>
      <c r="U201" s="10"/>
    </row>
    <row r="202" spans="1:21" ht="21.75" customHeight="1" x14ac:dyDescent="0.2">
      <c r="A202" s="102"/>
      <c r="B202" s="2"/>
      <c r="C202" s="2"/>
      <c r="D202" s="2"/>
      <c r="E202" s="5"/>
      <c r="F202" s="2"/>
      <c r="G202" s="5"/>
      <c r="H202" s="8" t="str">
        <f t="shared" si="23"/>
        <v/>
      </c>
      <c r="I202" s="7" t="str">
        <f t="shared" si="24"/>
        <v/>
      </c>
      <c r="J202" s="3" t="str">
        <f t="shared" si="25"/>
        <v/>
      </c>
      <c r="K202" s="4" t="str">
        <f t="shared" si="26"/>
        <v/>
      </c>
      <c r="L202" s="7" t="str">
        <f t="shared" si="27"/>
        <v/>
      </c>
      <c r="M202" s="9" t="str">
        <f t="shared" si="28"/>
        <v/>
      </c>
      <c r="N202" s="9" t="str">
        <f>IF(NOT(ISERROR(VLOOKUP(B202,Deflatores!G$42:H$64,2,FALSE))),VLOOKUP(B202,Deflatores!G$42:H$64,2,FALSE),IF(OR(ISBLANK(C202),ISBLANK(B202)),"",VLOOKUP(C202,Deflatores!G$4:H$38,2,FALSE)*J202+VLOOKUP(C202,Deflatores!G$4:I$38,3,FALSE)))</f>
        <v/>
      </c>
      <c r="O202" s="5"/>
      <c r="P202" s="5"/>
      <c r="Q202" s="6"/>
      <c r="R202" s="10"/>
      <c r="S202" s="104"/>
      <c r="T202" s="162"/>
      <c r="U202" s="10"/>
    </row>
    <row r="203" spans="1:21" ht="21.75" customHeight="1" x14ac:dyDescent="0.2">
      <c r="A203" s="102"/>
      <c r="B203" s="2"/>
      <c r="C203" s="2"/>
      <c r="D203" s="2"/>
      <c r="E203" s="5"/>
      <c r="F203" s="2"/>
      <c r="G203" s="5"/>
      <c r="H203" s="8" t="str">
        <f t="shared" si="23"/>
        <v/>
      </c>
      <c r="I203" s="7" t="str">
        <f t="shared" si="24"/>
        <v/>
      </c>
      <c r="J203" s="3" t="str">
        <f t="shared" si="25"/>
        <v/>
      </c>
      <c r="K203" s="4" t="str">
        <f t="shared" si="26"/>
        <v/>
      </c>
      <c r="L203" s="7" t="str">
        <f t="shared" si="27"/>
        <v/>
      </c>
      <c r="M203" s="9" t="str">
        <f t="shared" si="28"/>
        <v/>
      </c>
      <c r="N203" s="9" t="str">
        <f>IF(NOT(ISERROR(VLOOKUP(B203,Deflatores!G$42:H$64,2,FALSE))),VLOOKUP(B203,Deflatores!G$42:H$64,2,FALSE),IF(OR(ISBLANK(C203),ISBLANK(B203)),"",VLOOKUP(C203,Deflatores!G$4:H$38,2,FALSE)*J203+VLOOKUP(C203,Deflatores!G$4:I$38,3,FALSE)))</f>
        <v/>
      </c>
      <c r="O203" s="5"/>
      <c r="P203" s="5"/>
      <c r="Q203" s="6"/>
      <c r="R203" s="10"/>
      <c r="S203" s="104"/>
      <c r="T203" s="162"/>
      <c r="U203" s="10"/>
    </row>
    <row r="204" spans="1:21" ht="21.75" customHeight="1" x14ac:dyDescent="0.2">
      <c r="A204" s="102"/>
      <c r="B204" s="2"/>
      <c r="C204" s="2"/>
      <c r="D204" s="2"/>
      <c r="E204" s="5"/>
      <c r="F204" s="2"/>
      <c r="G204" s="5"/>
      <c r="H204" s="8" t="str">
        <f t="shared" si="23"/>
        <v/>
      </c>
      <c r="I204" s="7" t="str">
        <f t="shared" si="24"/>
        <v/>
      </c>
      <c r="J204" s="3" t="str">
        <f t="shared" si="25"/>
        <v/>
      </c>
      <c r="K204" s="4" t="str">
        <f t="shared" si="26"/>
        <v/>
      </c>
      <c r="L204" s="7" t="str">
        <f t="shared" si="27"/>
        <v/>
      </c>
      <c r="M204" s="9" t="str">
        <f t="shared" si="28"/>
        <v/>
      </c>
      <c r="N204" s="9" t="str">
        <f>IF(NOT(ISERROR(VLOOKUP(B204,Deflatores!G$42:H$64,2,FALSE))),VLOOKUP(B204,Deflatores!G$42:H$64,2,FALSE),IF(OR(ISBLANK(C204),ISBLANK(B204)),"",VLOOKUP(C204,Deflatores!G$4:H$38,2,FALSE)*J204+VLOOKUP(C204,Deflatores!G$4:I$38,3,FALSE)))</f>
        <v/>
      </c>
      <c r="O204" s="5"/>
      <c r="P204" s="5"/>
      <c r="Q204" s="6"/>
      <c r="R204" s="10"/>
      <c r="S204" s="104"/>
      <c r="T204" s="162"/>
      <c r="U204" s="10"/>
    </row>
    <row r="205" spans="1:21" ht="21.75" customHeight="1" x14ac:dyDescent="0.2">
      <c r="A205" s="102"/>
      <c r="B205" s="2"/>
      <c r="C205" s="2"/>
      <c r="D205" s="2"/>
      <c r="E205" s="5"/>
      <c r="F205" s="2"/>
      <c r="G205" s="5"/>
      <c r="H205" s="8" t="str">
        <f t="shared" si="23"/>
        <v/>
      </c>
      <c r="I205" s="7" t="str">
        <f t="shared" si="24"/>
        <v/>
      </c>
      <c r="J205" s="3" t="str">
        <f t="shared" si="25"/>
        <v/>
      </c>
      <c r="K205" s="4" t="str">
        <f t="shared" si="26"/>
        <v/>
      </c>
      <c r="L205" s="7" t="str">
        <f t="shared" si="27"/>
        <v/>
      </c>
      <c r="M205" s="9" t="str">
        <f t="shared" si="28"/>
        <v/>
      </c>
      <c r="N205" s="9" t="str">
        <f>IF(NOT(ISERROR(VLOOKUP(B205,Deflatores!G$42:H$64,2,FALSE))),VLOOKUP(B205,Deflatores!G$42:H$64,2,FALSE),IF(OR(ISBLANK(C205),ISBLANK(B205)),"",VLOOKUP(C205,Deflatores!G$4:H$38,2,FALSE)*J205+VLOOKUP(C205,Deflatores!G$4:I$38,3,FALSE)))</f>
        <v/>
      </c>
      <c r="O205" s="5"/>
      <c r="P205" s="5"/>
      <c r="Q205" s="6"/>
      <c r="R205" s="10"/>
      <c r="S205" s="104"/>
      <c r="T205" s="162"/>
      <c r="U205" s="10"/>
    </row>
    <row r="206" spans="1:21" ht="21.75" customHeight="1" x14ac:dyDescent="0.2">
      <c r="A206" s="102"/>
      <c r="B206" s="2"/>
      <c r="C206" s="2"/>
      <c r="D206" s="2"/>
      <c r="E206" s="5"/>
      <c r="F206" s="2"/>
      <c r="G206" s="5"/>
      <c r="H206" s="8" t="str">
        <f t="shared" si="23"/>
        <v/>
      </c>
      <c r="I206" s="7" t="str">
        <f t="shared" si="24"/>
        <v/>
      </c>
      <c r="J206" s="3" t="str">
        <f t="shared" si="25"/>
        <v/>
      </c>
      <c r="K206" s="4" t="str">
        <f t="shared" si="26"/>
        <v/>
      </c>
      <c r="L206" s="7" t="str">
        <f t="shared" si="27"/>
        <v/>
      </c>
      <c r="M206" s="9" t="str">
        <f t="shared" si="28"/>
        <v/>
      </c>
      <c r="N206" s="9" t="str">
        <f>IF(NOT(ISERROR(VLOOKUP(B206,Deflatores!G$42:H$64,2,FALSE))),VLOOKUP(B206,Deflatores!G$42:H$64,2,FALSE),IF(OR(ISBLANK(C206),ISBLANK(B206)),"",VLOOKUP(C206,Deflatores!G$4:H$38,2,FALSE)*J206+VLOOKUP(C206,Deflatores!G$4:I$38,3,FALSE)))</f>
        <v/>
      </c>
      <c r="O206" s="5"/>
      <c r="P206" s="5"/>
      <c r="Q206" s="6"/>
      <c r="R206" s="10"/>
      <c r="S206" s="104"/>
      <c r="T206" s="162"/>
      <c r="U206" s="10"/>
    </row>
    <row r="207" spans="1:21" ht="21.75" customHeight="1" x14ac:dyDescent="0.2">
      <c r="A207" s="102"/>
      <c r="B207" s="2"/>
      <c r="C207" s="2"/>
      <c r="D207" s="2"/>
      <c r="E207" s="5"/>
      <c r="F207" s="2"/>
      <c r="G207" s="5"/>
      <c r="H207" s="8" t="str">
        <f t="shared" si="23"/>
        <v/>
      </c>
      <c r="I207" s="7" t="str">
        <f t="shared" si="24"/>
        <v/>
      </c>
      <c r="J207" s="3" t="str">
        <f t="shared" si="25"/>
        <v/>
      </c>
      <c r="K207" s="4" t="str">
        <f t="shared" si="26"/>
        <v/>
      </c>
      <c r="L207" s="7" t="str">
        <f t="shared" si="27"/>
        <v/>
      </c>
      <c r="M207" s="9" t="str">
        <f t="shared" si="28"/>
        <v/>
      </c>
      <c r="N207" s="9" t="str">
        <f>IF(NOT(ISERROR(VLOOKUP(B207,Deflatores!G$42:H$64,2,FALSE))),VLOOKUP(B207,Deflatores!G$42:H$64,2,FALSE),IF(OR(ISBLANK(C207),ISBLANK(B207)),"",VLOOKUP(C207,Deflatores!G$4:H$38,2,FALSE)*J207+VLOOKUP(C207,Deflatores!G$4:I$38,3,FALSE)))</f>
        <v/>
      </c>
      <c r="O207" s="5"/>
      <c r="P207" s="5"/>
      <c r="Q207" s="6"/>
      <c r="R207" s="10"/>
      <c r="S207" s="104"/>
      <c r="T207" s="162"/>
      <c r="U207" s="10"/>
    </row>
    <row r="208" spans="1:21" ht="21.75" customHeight="1" x14ac:dyDescent="0.2">
      <c r="A208" s="102"/>
      <c r="B208" s="2"/>
      <c r="C208" s="2"/>
      <c r="D208" s="2"/>
      <c r="E208" s="5"/>
      <c r="F208" s="2"/>
      <c r="G208" s="5"/>
      <c r="H208" s="8" t="str">
        <f t="shared" si="23"/>
        <v/>
      </c>
      <c r="I208" s="7" t="str">
        <f t="shared" si="24"/>
        <v/>
      </c>
      <c r="J208" s="3" t="str">
        <f t="shared" si="25"/>
        <v/>
      </c>
      <c r="K208" s="4" t="str">
        <f t="shared" si="26"/>
        <v/>
      </c>
      <c r="L208" s="7" t="str">
        <f t="shared" si="27"/>
        <v/>
      </c>
      <c r="M208" s="9" t="str">
        <f t="shared" si="28"/>
        <v/>
      </c>
      <c r="N208" s="9" t="str">
        <f>IF(NOT(ISERROR(VLOOKUP(B208,Deflatores!G$42:H$64,2,FALSE))),VLOOKUP(B208,Deflatores!G$42:H$64,2,FALSE),IF(OR(ISBLANK(C208),ISBLANK(B208)),"",VLOOKUP(C208,Deflatores!G$4:H$38,2,FALSE)*J208+VLOOKUP(C208,Deflatores!G$4:I$38,3,FALSE)))</f>
        <v/>
      </c>
      <c r="O208" s="5"/>
      <c r="P208" s="5"/>
      <c r="Q208" s="6"/>
      <c r="R208" s="10"/>
      <c r="S208" s="104"/>
      <c r="T208" s="162"/>
      <c r="U208" s="10"/>
    </row>
    <row r="209" spans="1:21" ht="21.75" customHeight="1" x14ac:dyDescent="0.2">
      <c r="A209" s="102"/>
      <c r="B209" s="2"/>
      <c r="C209" s="2"/>
      <c r="D209" s="2"/>
      <c r="E209" s="5"/>
      <c r="F209" s="2"/>
      <c r="G209" s="5"/>
      <c r="H209" s="8" t="str">
        <f t="shared" si="23"/>
        <v/>
      </c>
      <c r="I209" s="7" t="str">
        <f t="shared" si="24"/>
        <v/>
      </c>
      <c r="J209" s="3" t="str">
        <f t="shared" si="25"/>
        <v/>
      </c>
      <c r="K209" s="4" t="str">
        <f t="shared" si="26"/>
        <v/>
      </c>
      <c r="L209" s="7" t="str">
        <f t="shared" si="27"/>
        <v/>
      </c>
      <c r="M209" s="9" t="str">
        <f t="shared" si="28"/>
        <v/>
      </c>
      <c r="N209" s="9" t="str">
        <f>IF(NOT(ISERROR(VLOOKUP(B209,Deflatores!G$42:H$64,2,FALSE))),VLOOKUP(B209,Deflatores!G$42:H$64,2,FALSE),IF(OR(ISBLANK(C209),ISBLANK(B209)),"",VLOOKUP(C209,Deflatores!G$4:H$38,2,FALSE)*J209+VLOOKUP(C209,Deflatores!G$4:I$38,3,FALSE)))</f>
        <v/>
      </c>
      <c r="O209" s="5"/>
      <c r="P209" s="5"/>
      <c r="Q209" s="6"/>
      <c r="R209" s="10"/>
      <c r="S209" s="104"/>
      <c r="T209" s="162"/>
      <c r="U209" s="10"/>
    </row>
    <row r="210" spans="1:21" ht="21.75" customHeight="1" x14ac:dyDescent="0.2">
      <c r="A210" s="102"/>
      <c r="B210" s="2"/>
      <c r="C210" s="2"/>
      <c r="D210" s="2"/>
      <c r="E210" s="5"/>
      <c r="F210" s="2"/>
      <c r="G210" s="5"/>
      <c r="H210" s="8" t="str">
        <f t="shared" si="23"/>
        <v/>
      </c>
      <c r="I210" s="7" t="str">
        <f t="shared" si="24"/>
        <v/>
      </c>
      <c r="J210" s="3" t="str">
        <f t="shared" si="25"/>
        <v/>
      </c>
      <c r="K210" s="4" t="str">
        <f t="shared" si="26"/>
        <v/>
      </c>
      <c r="L210" s="7" t="str">
        <f t="shared" si="27"/>
        <v/>
      </c>
      <c r="M210" s="9" t="str">
        <f t="shared" si="28"/>
        <v/>
      </c>
      <c r="N210" s="9" t="str">
        <f>IF(NOT(ISERROR(VLOOKUP(B210,Deflatores!G$42:H$64,2,FALSE))),VLOOKUP(B210,Deflatores!G$42:H$64,2,FALSE),IF(OR(ISBLANK(C210),ISBLANK(B210)),"",VLOOKUP(C210,Deflatores!G$4:H$38,2,FALSE)*J210+VLOOKUP(C210,Deflatores!G$4:I$38,3,FALSE)))</f>
        <v/>
      </c>
      <c r="O210" s="5"/>
      <c r="P210" s="5"/>
      <c r="Q210" s="6"/>
      <c r="R210" s="10"/>
      <c r="S210" s="104"/>
      <c r="T210" s="162"/>
      <c r="U210" s="10"/>
    </row>
    <row r="211" spans="1:21" ht="21.75" customHeight="1" x14ac:dyDescent="0.2">
      <c r="A211" s="102"/>
      <c r="B211" s="2"/>
      <c r="C211" s="2"/>
      <c r="D211" s="2"/>
      <c r="E211" s="5"/>
      <c r="F211" s="2"/>
      <c r="G211" s="5"/>
      <c r="H211" s="8" t="str">
        <f t="shared" si="23"/>
        <v/>
      </c>
      <c r="I211" s="7" t="str">
        <f t="shared" si="24"/>
        <v/>
      </c>
      <c r="J211" s="3" t="str">
        <f t="shared" si="25"/>
        <v/>
      </c>
      <c r="K211" s="4" t="str">
        <f t="shared" si="26"/>
        <v/>
      </c>
      <c r="L211" s="7" t="str">
        <f t="shared" si="27"/>
        <v/>
      </c>
      <c r="M211" s="9" t="str">
        <f t="shared" si="28"/>
        <v/>
      </c>
      <c r="N211" s="9" t="str">
        <f>IF(NOT(ISERROR(VLOOKUP(B211,Deflatores!G$42:H$64,2,FALSE))),VLOOKUP(B211,Deflatores!G$42:H$64,2,FALSE),IF(OR(ISBLANK(C211),ISBLANK(B211)),"",VLOOKUP(C211,Deflatores!G$4:H$38,2,FALSE)*J211+VLOOKUP(C211,Deflatores!G$4:I$38,3,FALSE)))</f>
        <v/>
      </c>
      <c r="O211" s="5"/>
      <c r="P211" s="5"/>
      <c r="Q211" s="6"/>
      <c r="R211" s="10"/>
      <c r="S211" s="104"/>
      <c r="T211" s="162"/>
      <c r="U211" s="10"/>
    </row>
    <row r="212" spans="1:21" ht="21.75" customHeight="1" x14ac:dyDescent="0.2">
      <c r="A212" s="102"/>
      <c r="B212" s="2"/>
      <c r="C212" s="2"/>
      <c r="D212" s="2"/>
      <c r="E212" s="5"/>
      <c r="F212" s="2"/>
      <c r="G212" s="5"/>
      <c r="H212" s="8" t="str">
        <f t="shared" si="23"/>
        <v/>
      </c>
      <c r="I212" s="7" t="str">
        <f t="shared" si="24"/>
        <v/>
      </c>
      <c r="J212" s="3" t="str">
        <f t="shared" si="25"/>
        <v/>
      </c>
      <c r="K212" s="4" t="str">
        <f t="shared" si="26"/>
        <v/>
      </c>
      <c r="L212" s="7" t="str">
        <f t="shared" si="27"/>
        <v/>
      </c>
      <c r="M212" s="9" t="str">
        <f t="shared" si="28"/>
        <v/>
      </c>
      <c r="N212" s="9" t="str">
        <f>IF(NOT(ISERROR(VLOOKUP(B212,Deflatores!G$42:H$64,2,FALSE))),VLOOKUP(B212,Deflatores!G$42:H$64,2,FALSE),IF(OR(ISBLANK(C212),ISBLANK(B212)),"",VLOOKUP(C212,Deflatores!G$4:H$38,2,FALSE)*J212+VLOOKUP(C212,Deflatores!G$4:I$38,3,FALSE)))</f>
        <v/>
      </c>
      <c r="O212" s="5"/>
      <c r="P212" s="5"/>
      <c r="Q212" s="6"/>
      <c r="R212" s="10"/>
      <c r="S212" s="104"/>
      <c r="T212" s="162"/>
      <c r="U212" s="10"/>
    </row>
    <row r="213" spans="1:21" ht="21.75" customHeight="1" x14ac:dyDescent="0.2">
      <c r="A213" s="102"/>
      <c r="B213" s="2"/>
      <c r="C213" s="2"/>
      <c r="D213" s="2"/>
      <c r="E213" s="5"/>
      <c r="F213" s="2"/>
      <c r="G213" s="5"/>
      <c r="H213" s="8" t="str">
        <f t="shared" si="23"/>
        <v/>
      </c>
      <c r="I213" s="7" t="str">
        <f t="shared" si="24"/>
        <v/>
      </c>
      <c r="J213" s="3" t="str">
        <f t="shared" si="25"/>
        <v/>
      </c>
      <c r="K213" s="4" t="str">
        <f t="shared" si="26"/>
        <v/>
      </c>
      <c r="L213" s="7" t="str">
        <f t="shared" si="27"/>
        <v/>
      </c>
      <c r="M213" s="9" t="str">
        <f t="shared" si="28"/>
        <v/>
      </c>
      <c r="N213" s="9" t="str">
        <f>IF(NOT(ISERROR(VLOOKUP(B213,Deflatores!G$42:H$64,2,FALSE))),VLOOKUP(B213,Deflatores!G$42:H$64,2,FALSE),IF(OR(ISBLANK(C213),ISBLANK(B213)),"",VLOOKUP(C213,Deflatores!G$4:H$38,2,FALSE)*J213+VLOOKUP(C213,Deflatores!G$4:I$38,3,FALSE)))</f>
        <v/>
      </c>
      <c r="O213" s="5"/>
      <c r="P213" s="5"/>
      <c r="Q213" s="6"/>
      <c r="R213" s="10"/>
      <c r="S213" s="104"/>
      <c r="T213" s="162"/>
      <c r="U213" s="10"/>
    </row>
    <row r="214" spans="1:21" ht="21.75" customHeight="1" x14ac:dyDescent="0.2">
      <c r="A214" s="102"/>
      <c r="B214" s="2"/>
      <c r="C214" s="2"/>
      <c r="D214" s="2"/>
      <c r="E214" s="5"/>
      <c r="F214" s="2"/>
      <c r="G214" s="5"/>
      <c r="H214" s="8" t="str">
        <f t="shared" si="23"/>
        <v/>
      </c>
      <c r="I214" s="7" t="str">
        <f t="shared" si="24"/>
        <v/>
      </c>
      <c r="J214" s="3" t="str">
        <f t="shared" si="25"/>
        <v/>
      </c>
      <c r="K214" s="4" t="str">
        <f t="shared" si="26"/>
        <v/>
      </c>
      <c r="L214" s="7" t="str">
        <f t="shared" si="27"/>
        <v/>
      </c>
      <c r="M214" s="9" t="str">
        <f t="shared" si="28"/>
        <v/>
      </c>
      <c r="N214" s="9" t="str">
        <f>IF(NOT(ISERROR(VLOOKUP(B214,Deflatores!G$42:H$64,2,FALSE))),VLOOKUP(B214,Deflatores!G$42:H$64,2,FALSE),IF(OR(ISBLANK(C214),ISBLANK(B214)),"",VLOOKUP(C214,Deflatores!G$4:H$38,2,FALSE)*J214+VLOOKUP(C214,Deflatores!G$4:I$38,3,FALSE)))</f>
        <v/>
      </c>
      <c r="O214" s="5"/>
      <c r="P214" s="5"/>
      <c r="Q214" s="6"/>
      <c r="R214" s="10"/>
      <c r="S214" s="104"/>
      <c r="T214" s="162"/>
      <c r="U214" s="10"/>
    </row>
    <row r="215" spans="1:21" ht="21.75" customHeight="1" x14ac:dyDescent="0.2">
      <c r="A215" s="102"/>
      <c r="B215" s="2"/>
      <c r="C215" s="2"/>
      <c r="D215" s="2"/>
      <c r="E215" s="5"/>
      <c r="F215" s="2"/>
      <c r="G215" s="5"/>
      <c r="H215" s="8" t="str">
        <f t="shared" si="23"/>
        <v/>
      </c>
      <c r="I215" s="7" t="str">
        <f t="shared" si="24"/>
        <v/>
      </c>
      <c r="J215" s="3" t="str">
        <f t="shared" si="25"/>
        <v/>
      </c>
      <c r="K215" s="4" t="str">
        <f t="shared" si="26"/>
        <v/>
      </c>
      <c r="L215" s="7" t="str">
        <f t="shared" si="27"/>
        <v/>
      </c>
      <c r="M215" s="9" t="str">
        <f t="shared" si="28"/>
        <v/>
      </c>
      <c r="N215" s="9" t="str">
        <f>IF(NOT(ISERROR(VLOOKUP(B215,Deflatores!G$42:H$64,2,FALSE))),VLOOKUP(B215,Deflatores!G$42:H$64,2,FALSE),IF(OR(ISBLANK(C215),ISBLANK(B215)),"",VLOOKUP(C215,Deflatores!G$4:H$38,2,FALSE)*J215+VLOOKUP(C215,Deflatores!G$4:I$38,3,FALSE)))</f>
        <v/>
      </c>
      <c r="O215" s="5"/>
      <c r="P215" s="5"/>
      <c r="Q215" s="6"/>
      <c r="R215" s="10"/>
      <c r="S215" s="104"/>
      <c r="T215" s="162"/>
      <c r="U215" s="10"/>
    </row>
    <row r="216" spans="1:21" ht="21.75" customHeight="1" x14ac:dyDescent="0.2">
      <c r="A216" s="102"/>
      <c r="B216" s="2"/>
      <c r="C216" s="2"/>
      <c r="D216" s="2"/>
      <c r="E216" s="5"/>
      <c r="F216" s="2"/>
      <c r="G216" s="5"/>
      <c r="H216" s="8" t="str">
        <f t="shared" si="23"/>
        <v/>
      </c>
      <c r="I216" s="7" t="str">
        <f t="shared" si="24"/>
        <v/>
      </c>
      <c r="J216" s="3" t="str">
        <f t="shared" si="25"/>
        <v/>
      </c>
      <c r="K216" s="4" t="str">
        <f t="shared" si="26"/>
        <v/>
      </c>
      <c r="L216" s="7" t="str">
        <f t="shared" si="27"/>
        <v/>
      </c>
      <c r="M216" s="9" t="str">
        <f t="shared" si="28"/>
        <v/>
      </c>
      <c r="N216" s="9" t="str">
        <f>IF(NOT(ISERROR(VLOOKUP(B216,Deflatores!G$42:H$64,2,FALSE))),VLOOKUP(B216,Deflatores!G$42:H$64,2,FALSE),IF(OR(ISBLANK(C216),ISBLANK(B216)),"",VLOOKUP(C216,Deflatores!G$4:H$38,2,FALSE)*J216+VLOOKUP(C216,Deflatores!G$4:I$38,3,FALSE)))</f>
        <v/>
      </c>
      <c r="O216" s="5"/>
      <c r="P216" s="5"/>
      <c r="Q216" s="6"/>
      <c r="R216" s="10"/>
      <c r="S216" s="104"/>
      <c r="T216" s="162"/>
      <c r="U216" s="10"/>
    </row>
    <row r="217" spans="1:21" ht="21.75" customHeight="1" x14ac:dyDescent="0.2">
      <c r="A217" s="102"/>
      <c r="B217" s="2"/>
      <c r="C217" s="2"/>
      <c r="D217" s="2"/>
      <c r="E217" s="5"/>
      <c r="F217" s="2"/>
      <c r="G217" s="5"/>
      <c r="H217" s="8" t="str">
        <f t="shared" si="23"/>
        <v/>
      </c>
      <c r="I217" s="7" t="str">
        <f t="shared" si="24"/>
        <v/>
      </c>
      <c r="J217" s="3" t="str">
        <f t="shared" si="25"/>
        <v/>
      </c>
      <c r="K217" s="4" t="str">
        <f t="shared" si="26"/>
        <v/>
      </c>
      <c r="L217" s="7" t="str">
        <f t="shared" si="27"/>
        <v/>
      </c>
      <c r="M217" s="9" t="str">
        <f t="shared" si="28"/>
        <v/>
      </c>
      <c r="N217" s="9" t="str">
        <f>IF(NOT(ISERROR(VLOOKUP(B217,Deflatores!G$42:H$64,2,FALSE))),VLOOKUP(B217,Deflatores!G$42:H$64,2,FALSE),IF(OR(ISBLANK(C217),ISBLANK(B217)),"",VLOOKUP(C217,Deflatores!G$4:H$38,2,FALSE)*J217+VLOOKUP(C217,Deflatores!G$4:I$38,3,FALSE)))</f>
        <v/>
      </c>
      <c r="O217" s="5"/>
      <c r="P217" s="5"/>
      <c r="Q217" s="6"/>
      <c r="R217" s="10"/>
      <c r="S217" s="104"/>
      <c r="T217" s="162"/>
      <c r="U217" s="10"/>
    </row>
    <row r="218" spans="1:21" ht="21.75" customHeight="1" x14ac:dyDescent="0.2">
      <c r="A218" s="102"/>
      <c r="B218" s="2"/>
      <c r="C218" s="2"/>
      <c r="D218" s="2"/>
      <c r="E218" s="5"/>
      <c r="F218" s="2"/>
      <c r="G218" s="5"/>
      <c r="H218" s="8" t="str">
        <f t="shared" si="23"/>
        <v/>
      </c>
      <c r="I218" s="7" t="str">
        <f t="shared" si="24"/>
        <v/>
      </c>
      <c r="J218" s="3" t="str">
        <f t="shared" si="25"/>
        <v/>
      </c>
      <c r="K218" s="4" t="str">
        <f t="shared" si="26"/>
        <v/>
      </c>
      <c r="L218" s="7" t="str">
        <f t="shared" si="27"/>
        <v/>
      </c>
      <c r="M218" s="9" t="str">
        <f t="shared" si="28"/>
        <v/>
      </c>
      <c r="N218" s="9" t="str">
        <f>IF(NOT(ISERROR(VLOOKUP(B218,Deflatores!G$42:H$64,2,FALSE))),VLOOKUP(B218,Deflatores!G$42:H$64,2,FALSE),IF(OR(ISBLANK(C218),ISBLANK(B218)),"",VLOOKUP(C218,Deflatores!G$4:H$38,2,FALSE)*J218+VLOOKUP(C218,Deflatores!G$4:I$38,3,FALSE)))</f>
        <v/>
      </c>
      <c r="O218" s="5"/>
      <c r="P218" s="5"/>
      <c r="Q218" s="6"/>
      <c r="R218" s="10"/>
      <c r="S218" s="104"/>
      <c r="T218" s="162"/>
      <c r="U218" s="10"/>
    </row>
    <row r="219" spans="1:21" ht="21.75" customHeight="1" x14ac:dyDescent="0.2">
      <c r="A219" s="102"/>
      <c r="B219" s="2"/>
      <c r="C219" s="2"/>
      <c r="D219" s="2"/>
      <c r="E219" s="5"/>
      <c r="F219" s="2"/>
      <c r="G219" s="5"/>
      <c r="H219" s="8" t="str">
        <f t="shared" si="23"/>
        <v/>
      </c>
      <c r="I219" s="7" t="str">
        <f t="shared" si="24"/>
        <v/>
      </c>
      <c r="J219" s="3" t="str">
        <f t="shared" si="25"/>
        <v/>
      </c>
      <c r="K219" s="4" t="str">
        <f t="shared" si="26"/>
        <v/>
      </c>
      <c r="L219" s="7" t="str">
        <f t="shared" si="27"/>
        <v/>
      </c>
      <c r="M219" s="9" t="str">
        <f t="shared" si="28"/>
        <v/>
      </c>
      <c r="N219" s="9" t="str">
        <f>IF(NOT(ISERROR(VLOOKUP(B219,Deflatores!G$42:H$64,2,FALSE))),VLOOKUP(B219,Deflatores!G$42:H$64,2,FALSE),IF(OR(ISBLANK(C219),ISBLANK(B219)),"",VLOOKUP(C219,Deflatores!G$4:H$38,2,FALSE)*J219+VLOOKUP(C219,Deflatores!G$4:I$38,3,FALSE)))</f>
        <v/>
      </c>
      <c r="O219" s="5"/>
      <c r="P219" s="5"/>
      <c r="Q219" s="6"/>
      <c r="R219" s="10"/>
      <c r="S219" s="104"/>
      <c r="T219" s="162"/>
      <c r="U219" s="10"/>
    </row>
    <row r="220" spans="1:21" ht="21.75" customHeight="1" x14ac:dyDescent="0.2">
      <c r="A220" s="102"/>
      <c r="B220" s="2"/>
      <c r="C220" s="2"/>
      <c r="D220" s="2"/>
      <c r="E220" s="5"/>
      <c r="F220" s="2"/>
      <c r="G220" s="5"/>
      <c r="H220" s="8" t="str">
        <f t="shared" si="23"/>
        <v/>
      </c>
      <c r="I220" s="7" t="str">
        <f t="shared" si="24"/>
        <v/>
      </c>
      <c r="J220" s="3" t="str">
        <f t="shared" si="25"/>
        <v/>
      </c>
      <c r="K220" s="4" t="str">
        <f t="shared" si="26"/>
        <v/>
      </c>
      <c r="L220" s="7" t="str">
        <f t="shared" si="27"/>
        <v/>
      </c>
      <c r="M220" s="9" t="str">
        <f t="shared" si="28"/>
        <v/>
      </c>
      <c r="N220" s="9" t="str">
        <f>IF(NOT(ISERROR(VLOOKUP(B220,Deflatores!G$42:H$64,2,FALSE))),VLOOKUP(B220,Deflatores!G$42:H$64,2,FALSE),IF(OR(ISBLANK(C220),ISBLANK(B220)),"",VLOOKUP(C220,Deflatores!G$4:H$38,2,FALSE)*J220+VLOOKUP(C220,Deflatores!G$4:I$38,3,FALSE)))</f>
        <v/>
      </c>
      <c r="O220" s="5"/>
      <c r="P220" s="5"/>
      <c r="Q220" s="6"/>
      <c r="R220" s="10"/>
      <c r="S220" s="104"/>
      <c r="T220" s="162"/>
      <c r="U220" s="10"/>
    </row>
    <row r="221" spans="1:21" ht="21.75" customHeight="1" x14ac:dyDescent="0.2">
      <c r="A221" s="102"/>
      <c r="B221" s="2"/>
      <c r="C221" s="2"/>
      <c r="D221" s="2"/>
      <c r="E221" s="5"/>
      <c r="F221" s="2"/>
      <c r="G221" s="5"/>
      <c r="H221" s="8" t="str">
        <f t="shared" si="23"/>
        <v/>
      </c>
      <c r="I221" s="7" t="str">
        <f t="shared" si="24"/>
        <v/>
      </c>
      <c r="J221" s="3" t="str">
        <f t="shared" si="25"/>
        <v/>
      </c>
      <c r="K221" s="4" t="str">
        <f t="shared" si="26"/>
        <v/>
      </c>
      <c r="L221" s="7" t="str">
        <f t="shared" si="27"/>
        <v/>
      </c>
      <c r="M221" s="9" t="str">
        <f t="shared" si="28"/>
        <v/>
      </c>
      <c r="N221" s="9" t="str">
        <f>IF(NOT(ISERROR(VLOOKUP(B221,Deflatores!G$42:H$64,2,FALSE))),VLOOKUP(B221,Deflatores!G$42:H$64,2,FALSE),IF(OR(ISBLANK(C221),ISBLANK(B221)),"",VLOOKUP(C221,Deflatores!G$4:H$38,2,FALSE)*J221+VLOOKUP(C221,Deflatores!G$4:I$38,3,FALSE)))</f>
        <v/>
      </c>
      <c r="O221" s="5"/>
      <c r="P221" s="5"/>
      <c r="Q221" s="6"/>
      <c r="R221" s="10"/>
      <c r="S221" s="104"/>
      <c r="T221" s="162"/>
      <c r="U221" s="10"/>
    </row>
    <row r="222" spans="1:21" ht="21.75" customHeight="1" x14ac:dyDescent="0.2">
      <c r="A222" s="102"/>
      <c r="B222" s="2"/>
      <c r="C222" s="2"/>
      <c r="D222" s="2"/>
      <c r="E222" s="5"/>
      <c r="F222" s="2"/>
      <c r="G222" s="5"/>
      <c r="H222" s="8" t="str">
        <f t="shared" si="23"/>
        <v/>
      </c>
      <c r="I222" s="7" t="str">
        <f t="shared" si="24"/>
        <v/>
      </c>
      <c r="J222" s="3" t="str">
        <f t="shared" si="25"/>
        <v/>
      </c>
      <c r="K222" s="4" t="str">
        <f t="shared" si="26"/>
        <v/>
      </c>
      <c r="L222" s="7" t="str">
        <f t="shared" si="27"/>
        <v/>
      </c>
      <c r="M222" s="9" t="str">
        <f t="shared" si="28"/>
        <v/>
      </c>
      <c r="N222" s="9" t="str">
        <f>IF(NOT(ISERROR(VLOOKUP(B222,Deflatores!G$42:H$64,2,FALSE))),VLOOKUP(B222,Deflatores!G$42:H$64,2,FALSE),IF(OR(ISBLANK(C222),ISBLANK(B222)),"",VLOOKUP(C222,Deflatores!G$4:H$38,2,FALSE)*J222+VLOOKUP(C222,Deflatores!G$4:I$38,3,FALSE)))</f>
        <v/>
      </c>
      <c r="O222" s="5"/>
      <c r="P222" s="5"/>
      <c r="Q222" s="6"/>
      <c r="R222" s="10"/>
      <c r="S222" s="104"/>
      <c r="T222" s="162"/>
      <c r="U222" s="10"/>
    </row>
    <row r="223" spans="1:21" ht="21.75" customHeight="1" x14ac:dyDescent="0.2">
      <c r="A223" s="102"/>
      <c r="B223" s="2"/>
      <c r="C223" s="2"/>
      <c r="D223" s="2"/>
      <c r="E223" s="5"/>
      <c r="F223" s="2"/>
      <c r="G223" s="5"/>
      <c r="H223" s="8" t="str">
        <f t="shared" si="23"/>
        <v/>
      </c>
      <c r="I223" s="7" t="str">
        <f t="shared" si="24"/>
        <v/>
      </c>
      <c r="J223" s="3" t="str">
        <f t="shared" si="25"/>
        <v/>
      </c>
      <c r="K223" s="4" t="str">
        <f t="shared" si="26"/>
        <v/>
      </c>
      <c r="L223" s="7" t="str">
        <f t="shared" si="27"/>
        <v/>
      </c>
      <c r="M223" s="9" t="str">
        <f t="shared" si="28"/>
        <v/>
      </c>
      <c r="N223" s="9" t="str">
        <f>IF(NOT(ISERROR(VLOOKUP(B223,Deflatores!G$42:H$64,2,FALSE))),VLOOKUP(B223,Deflatores!G$42:H$64,2,FALSE),IF(OR(ISBLANK(C223),ISBLANK(B223)),"",VLOOKUP(C223,Deflatores!G$4:H$38,2,FALSE)*J223+VLOOKUP(C223,Deflatores!G$4:I$38,3,FALSE)))</f>
        <v/>
      </c>
      <c r="O223" s="5"/>
      <c r="P223" s="5"/>
      <c r="Q223" s="6"/>
      <c r="R223" s="10"/>
      <c r="S223" s="104"/>
      <c r="T223" s="162"/>
      <c r="U223" s="10"/>
    </row>
    <row r="224" spans="1:21" ht="21.75" customHeight="1" x14ac:dyDescent="0.2">
      <c r="A224" s="102"/>
      <c r="B224" s="2"/>
      <c r="C224" s="2"/>
      <c r="D224" s="2"/>
      <c r="E224" s="5"/>
      <c r="F224" s="2"/>
      <c r="G224" s="5"/>
      <c r="H224" s="8" t="str">
        <f t="shared" si="23"/>
        <v/>
      </c>
      <c r="I224" s="7" t="str">
        <f t="shared" si="24"/>
        <v/>
      </c>
      <c r="J224" s="3" t="str">
        <f t="shared" si="25"/>
        <v/>
      </c>
      <c r="K224" s="4" t="str">
        <f t="shared" si="26"/>
        <v/>
      </c>
      <c r="L224" s="7" t="str">
        <f t="shared" si="27"/>
        <v/>
      </c>
      <c r="M224" s="9" t="str">
        <f t="shared" si="28"/>
        <v/>
      </c>
      <c r="N224" s="9" t="str">
        <f>IF(NOT(ISERROR(VLOOKUP(B224,Deflatores!G$42:H$64,2,FALSE))),VLOOKUP(B224,Deflatores!G$42:H$64,2,FALSE),IF(OR(ISBLANK(C224),ISBLANK(B224)),"",VLOOKUP(C224,Deflatores!G$4:H$38,2,FALSE)*J224+VLOOKUP(C224,Deflatores!G$4:I$38,3,FALSE)))</f>
        <v/>
      </c>
      <c r="O224" s="5"/>
      <c r="P224" s="5"/>
      <c r="Q224" s="6"/>
      <c r="R224" s="10"/>
      <c r="S224" s="104"/>
      <c r="T224" s="162"/>
      <c r="U224" s="10"/>
    </row>
    <row r="225" spans="1:21" ht="21.75" customHeight="1" x14ac:dyDescent="0.2">
      <c r="A225" s="102"/>
      <c r="B225" s="2"/>
      <c r="C225" s="2"/>
      <c r="D225" s="2"/>
      <c r="E225" s="5"/>
      <c r="F225" s="2"/>
      <c r="G225" s="5"/>
      <c r="H225" s="8" t="str">
        <f t="shared" si="23"/>
        <v/>
      </c>
      <c r="I225" s="7" t="str">
        <f t="shared" si="24"/>
        <v/>
      </c>
      <c r="J225" s="3" t="str">
        <f t="shared" si="25"/>
        <v/>
      </c>
      <c r="K225" s="4" t="str">
        <f t="shared" si="26"/>
        <v/>
      </c>
      <c r="L225" s="7" t="str">
        <f t="shared" si="27"/>
        <v/>
      </c>
      <c r="M225" s="9" t="str">
        <f t="shared" si="28"/>
        <v/>
      </c>
      <c r="N225" s="9" t="str">
        <f>IF(NOT(ISERROR(VLOOKUP(B225,Deflatores!G$42:H$64,2,FALSE))),VLOOKUP(B225,Deflatores!G$42:H$64,2,FALSE),IF(OR(ISBLANK(C225),ISBLANK(B225)),"",VLOOKUP(C225,Deflatores!G$4:H$38,2,FALSE)*J225+VLOOKUP(C225,Deflatores!G$4:I$38,3,FALSE)))</f>
        <v/>
      </c>
      <c r="O225" s="5"/>
      <c r="P225" s="5"/>
      <c r="Q225" s="6"/>
      <c r="R225" s="10"/>
      <c r="S225" s="104"/>
      <c r="T225" s="162"/>
      <c r="U225" s="10"/>
    </row>
    <row r="226" spans="1:21" ht="21.75" customHeight="1" x14ac:dyDescent="0.2">
      <c r="A226" s="102"/>
      <c r="B226" s="2"/>
      <c r="C226" s="2"/>
      <c r="D226" s="2"/>
      <c r="E226" s="5"/>
      <c r="F226" s="2"/>
      <c r="G226" s="5"/>
      <c r="H226" s="8" t="str">
        <f t="shared" si="23"/>
        <v/>
      </c>
      <c r="I226" s="7" t="str">
        <f t="shared" si="24"/>
        <v/>
      </c>
      <c r="J226" s="3" t="str">
        <f t="shared" si="25"/>
        <v/>
      </c>
      <c r="K226" s="4" t="str">
        <f t="shared" si="26"/>
        <v/>
      </c>
      <c r="L226" s="7" t="str">
        <f t="shared" si="27"/>
        <v/>
      </c>
      <c r="M226" s="9" t="str">
        <f t="shared" si="28"/>
        <v/>
      </c>
      <c r="N226" s="9" t="str">
        <f>IF(NOT(ISERROR(VLOOKUP(B226,Deflatores!G$42:H$64,2,FALSE))),VLOOKUP(B226,Deflatores!G$42:H$64,2,FALSE),IF(OR(ISBLANK(C226),ISBLANK(B226)),"",VLOOKUP(C226,Deflatores!G$4:H$38,2,FALSE)*J226+VLOOKUP(C226,Deflatores!G$4:I$38,3,FALSE)))</f>
        <v/>
      </c>
      <c r="O226" s="5"/>
      <c r="P226" s="5"/>
      <c r="Q226" s="6"/>
      <c r="R226" s="10"/>
      <c r="S226" s="104"/>
      <c r="T226" s="162"/>
      <c r="U226" s="10"/>
    </row>
    <row r="227" spans="1:21" ht="21.75" customHeight="1" x14ac:dyDescent="0.2">
      <c r="A227" s="102"/>
      <c r="B227" s="2"/>
      <c r="C227" s="2"/>
      <c r="D227" s="2"/>
      <c r="E227" s="5"/>
      <c r="F227" s="2"/>
      <c r="G227" s="5"/>
      <c r="H227" s="8" t="str">
        <f t="shared" si="23"/>
        <v/>
      </c>
      <c r="I227" s="7" t="str">
        <f t="shared" si="24"/>
        <v/>
      </c>
      <c r="J227" s="3" t="str">
        <f t="shared" si="25"/>
        <v/>
      </c>
      <c r="K227" s="4" t="str">
        <f t="shared" si="26"/>
        <v/>
      </c>
      <c r="L227" s="7" t="str">
        <f t="shared" si="27"/>
        <v/>
      </c>
      <c r="M227" s="9" t="str">
        <f t="shared" si="28"/>
        <v/>
      </c>
      <c r="N227" s="9" t="str">
        <f>IF(NOT(ISERROR(VLOOKUP(B227,Deflatores!G$42:H$64,2,FALSE))),VLOOKUP(B227,Deflatores!G$42:H$64,2,FALSE),IF(OR(ISBLANK(C227),ISBLANK(B227)),"",VLOOKUP(C227,Deflatores!G$4:H$38,2,FALSE)*J227+VLOOKUP(C227,Deflatores!G$4:I$38,3,FALSE)))</f>
        <v/>
      </c>
      <c r="O227" s="5"/>
      <c r="P227" s="5"/>
      <c r="Q227" s="6"/>
      <c r="R227" s="10"/>
      <c r="S227" s="104"/>
      <c r="T227" s="162"/>
      <c r="U227" s="10"/>
    </row>
    <row r="228" spans="1:21" ht="21.75" customHeight="1" x14ac:dyDescent="0.2">
      <c r="A228" s="102"/>
      <c r="B228" s="2"/>
      <c r="C228" s="2"/>
      <c r="D228" s="2"/>
      <c r="E228" s="5"/>
      <c r="F228" s="2"/>
      <c r="G228" s="5"/>
      <c r="H228" s="8" t="str">
        <f t="shared" si="23"/>
        <v/>
      </c>
      <c r="I228" s="7" t="str">
        <f t="shared" si="24"/>
        <v/>
      </c>
      <c r="J228" s="3" t="str">
        <f t="shared" si="25"/>
        <v/>
      </c>
      <c r="K228" s="4" t="str">
        <f t="shared" si="26"/>
        <v/>
      </c>
      <c r="L228" s="7" t="str">
        <f t="shared" si="27"/>
        <v/>
      </c>
      <c r="M228" s="9" t="str">
        <f t="shared" si="28"/>
        <v/>
      </c>
      <c r="N228" s="9" t="str">
        <f>IF(NOT(ISERROR(VLOOKUP(B228,Deflatores!G$42:H$64,2,FALSE))),VLOOKUP(B228,Deflatores!G$42:H$64,2,FALSE),IF(OR(ISBLANK(C228),ISBLANK(B228)),"",VLOOKUP(C228,Deflatores!G$4:H$38,2,FALSE)*J228+VLOOKUP(C228,Deflatores!G$4:I$38,3,FALSE)))</f>
        <v/>
      </c>
      <c r="O228" s="5"/>
      <c r="P228" s="5"/>
      <c r="Q228" s="6"/>
      <c r="R228" s="10"/>
      <c r="S228" s="104"/>
      <c r="T228" s="162"/>
      <c r="U228" s="10"/>
    </row>
    <row r="229" spans="1:21" ht="21.75" customHeight="1" x14ac:dyDescent="0.2">
      <c r="A229" s="102"/>
      <c r="B229" s="2"/>
      <c r="C229" s="2"/>
      <c r="D229" s="2"/>
      <c r="E229" s="5"/>
      <c r="F229" s="2"/>
      <c r="G229" s="5"/>
      <c r="H229" s="8" t="str">
        <f t="shared" si="23"/>
        <v/>
      </c>
      <c r="I229" s="7" t="str">
        <f t="shared" si="24"/>
        <v/>
      </c>
      <c r="J229" s="3" t="str">
        <f t="shared" si="25"/>
        <v/>
      </c>
      <c r="K229" s="4" t="str">
        <f t="shared" si="26"/>
        <v/>
      </c>
      <c r="L229" s="7" t="str">
        <f t="shared" si="27"/>
        <v/>
      </c>
      <c r="M229" s="9" t="str">
        <f t="shared" si="28"/>
        <v/>
      </c>
      <c r="N229" s="9" t="str">
        <f>IF(NOT(ISERROR(VLOOKUP(B229,Deflatores!G$42:H$64,2,FALSE))),VLOOKUP(B229,Deflatores!G$42:H$64,2,FALSE),IF(OR(ISBLANK(C229),ISBLANK(B229)),"",VLOOKUP(C229,Deflatores!G$4:H$38,2,FALSE)*J229+VLOOKUP(C229,Deflatores!G$4:I$38,3,FALSE)))</f>
        <v/>
      </c>
      <c r="O229" s="5"/>
      <c r="P229" s="5"/>
      <c r="Q229" s="6"/>
      <c r="R229" s="10"/>
      <c r="S229" s="104"/>
      <c r="T229" s="162"/>
      <c r="U229" s="10"/>
    </row>
    <row r="230" spans="1:21" ht="21.75" customHeight="1" x14ac:dyDescent="0.2">
      <c r="A230" s="102"/>
      <c r="B230" s="2"/>
      <c r="C230" s="2"/>
      <c r="D230" s="2"/>
      <c r="E230" s="5"/>
      <c r="F230" s="2"/>
      <c r="G230" s="5"/>
      <c r="H230" s="8" t="str">
        <f t="shared" si="23"/>
        <v/>
      </c>
      <c r="I230" s="7" t="str">
        <f t="shared" si="24"/>
        <v/>
      </c>
      <c r="J230" s="3" t="str">
        <f t="shared" si="25"/>
        <v/>
      </c>
      <c r="K230" s="4" t="str">
        <f t="shared" si="26"/>
        <v/>
      </c>
      <c r="L230" s="7" t="str">
        <f t="shared" si="27"/>
        <v/>
      </c>
      <c r="M230" s="9" t="str">
        <f t="shared" si="28"/>
        <v/>
      </c>
      <c r="N230" s="9" t="str">
        <f>IF(NOT(ISERROR(VLOOKUP(B230,Deflatores!G$42:H$64,2,FALSE))),VLOOKUP(B230,Deflatores!G$42:H$64,2,FALSE),IF(OR(ISBLANK(C230),ISBLANK(B230)),"",VLOOKUP(C230,Deflatores!G$4:H$38,2,FALSE)*J230+VLOOKUP(C230,Deflatores!G$4:I$38,3,FALSE)))</f>
        <v/>
      </c>
      <c r="O230" s="5"/>
      <c r="P230" s="5"/>
      <c r="Q230" s="6"/>
      <c r="R230" s="10"/>
      <c r="S230" s="104"/>
      <c r="T230" s="162"/>
      <c r="U230" s="10"/>
    </row>
    <row r="231" spans="1:21" ht="21.75" customHeight="1" x14ac:dyDescent="0.2">
      <c r="A231" s="102"/>
      <c r="B231" s="2"/>
      <c r="C231" s="2"/>
      <c r="D231" s="2"/>
      <c r="E231" s="5"/>
      <c r="F231" s="2"/>
      <c r="G231" s="5"/>
      <c r="H231" s="8" t="str">
        <f t="shared" si="23"/>
        <v/>
      </c>
      <c r="I231" s="7" t="str">
        <f t="shared" si="24"/>
        <v/>
      </c>
      <c r="J231" s="3" t="str">
        <f t="shared" si="25"/>
        <v/>
      </c>
      <c r="K231" s="4" t="str">
        <f t="shared" si="26"/>
        <v/>
      </c>
      <c r="L231" s="7" t="str">
        <f t="shared" si="27"/>
        <v/>
      </c>
      <c r="M231" s="9" t="str">
        <f t="shared" si="28"/>
        <v/>
      </c>
      <c r="N231" s="9" t="str">
        <f>IF(NOT(ISERROR(VLOOKUP(B231,Deflatores!G$42:H$64,2,FALSE))),VLOOKUP(B231,Deflatores!G$42:H$64,2,FALSE),IF(OR(ISBLANK(C231),ISBLANK(B231)),"",VLOOKUP(C231,Deflatores!G$4:H$38,2,FALSE)*J231+VLOOKUP(C231,Deflatores!G$4:I$38,3,FALSE)))</f>
        <v/>
      </c>
      <c r="O231" s="5"/>
      <c r="P231" s="5"/>
      <c r="Q231" s="6"/>
      <c r="R231" s="10"/>
      <c r="S231" s="104"/>
      <c r="T231" s="162"/>
      <c r="U231" s="10"/>
    </row>
    <row r="232" spans="1:21" ht="21.75" customHeight="1" x14ac:dyDescent="0.2">
      <c r="A232" s="102"/>
      <c r="B232" s="2"/>
      <c r="C232" s="2"/>
      <c r="D232" s="2"/>
      <c r="E232" s="5"/>
      <c r="F232" s="2"/>
      <c r="G232" s="5"/>
      <c r="H232" s="8" t="str">
        <f t="shared" si="23"/>
        <v/>
      </c>
      <c r="I232" s="7" t="str">
        <f t="shared" si="24"/>
        <v/>
      </c>
      <c r="J232" s="3" t="str">
        <f t="shared" si="25"/>
        <v/>
      </c>
      <c r="K232" s="4" t="str">
        <f t="shared" si="26"/>
        <v/>
      </c>
      <c r="L232" s="7" t="str">
        <f t="shared" si="27"/>
        <v/>
      </c>
      <c r="M232" s="9" t="str">
        <f t="shared" si="28"/>
        <v/>
      </c>
      <c r="N232" s="9" t="str">
        <f>IF(NOT(ISERROR(VLOOKUP(B232,Deflatores!G$42:H$64,2,FALSE))),VLOOKUP(B232,Deflatores!G$42:H$64,2,FALSE),IF(OR(ISBLANK(C232),ISBLANK(B232)),"",VLOOKUP(C232,Deflatores!G$4:H$38,2,FALSE)*J232+VLOOKUP(C232,Deflatores!G$4:I$38,3,FALSE)))</f>
        <v/>
      </c>
      <c r="O232" s="5"/>
      <c r="P232" s="5"/>
      <c r="Q232" s="6"/>
      <c r="R232" s="10"/>
      <c r="S232" s="104"/>
      <c r="T232" s="162"/>
      <c r="U232" s="10"/>
    </row>
    <row r="233" spans="1:21" ht="21.75" customHeight="1" x14ac:dyDescent="0.2">
      <c r="A233" s="102"/>
      <c r="B233" s="2"/>
      <c r="C233" s="2"/>
      <c r="D233" s="2"/>
      <c r="E233" s="5"/>
      <c r="F233" s="2"/>
      <c r="G233" s="5"/>
      <c r="H233" s="8" t="str">
        <f t="shared" si="23"/>
        <v/>
      </c>
      <c r="I233" s="7" t="str">
        <f t="shared" si="24"/>
        <v/>
      </c>
      <c r="J233" s="3" t="str">
        <f t="shared" si="25"/>
        <v/>
      </c>
      <c r="K233" s="4" t="str">
        <f t="shared" si="26"/>
        <v/>
      </c>
      <c r="L233" s="7" t="str">
        <f t="shared" si="27"/>
        <v/>
      </c>
      <c r="M233" s="9" t="str">
        <f t="shared" si="28"/>
        <v/>
      </c>
      <c r="N233" s="9" t="str">
        <f>IF(NOT(ISERROR(VLOOKUP(B233,Deflatores!G$42:H$64,2,FALSE))),VLOOKUP(B233,Deflatores!G$42:H$64,2,FALSE),IF(OR(ISBLANK(C233),ISBLANK(B233)),"",VLOOKUP(C233,Deflatores!G$4:H$38,2,FALSE)*J233+VLOOKUP(C233,Deflatores!G$4:I$38,3,FALSE)))</f>
        <v/>
      </c>
      <c r="O233" s="5"/>
      <c r="P233" s="5"/>
      <c r="Q233" s="6"/>
      <c r="R233" s="10"/>
      <c r="S233" s="104"/>
      <c r="T233" s="162"/>
      <c r="U233" s="10"/>
    </row>
    <row r="234" spans="1:21" ht="21.75" customHeight="1" x14ac:dyDescent="0.2">
      <c r="A234" s="102"/>
      <c r="B234" s="2"/>
      <c r="C234" s="2"/>
      <c r="D234" s="2"/>
      <c r="E234" s="5"/>
      <c r="F234" s="2"/>
      <c r="G234" s="5"/>
      <c r="H234" s="8" t="str">
        <f t="shared" si="23"/>
        <v/>
      </c>
      <c r="I234" s="7" t="str">
        <f t="shared" si="24"/>
        <v/>
      </c>
      <c r="J234" s="3" t="str">
        <f t="shared" si="25"/>
        <v/>
      </c>
      <c r="K234" s="4" t="str">
        <f t="shared" si="26"/>
        <v/>
      </c>
      <c r="L234" s="7" t="str">
        <f t="shared" si="27"/>
        <v/>
      </c>
      <c r="M234" s="9" t="str">
        <f t="shared" si="28"/>
        <v/>
      </c>
      <c r="N234" s="9" t="str">
        <f>IF(NOT(ISERROR(VLOOKUP(B234,Deflatores!G$42:H$64,2,FALSE))),VLOOKUP(B234,Deflatores!G$42:H$64,2,FALSE),IF(OR(ISBLANK(C234),ISBLANK(B234)),"",VLOOKUP(C234,Deflatores!G$4:H$38,2,FALSE)*J234+VLOOKUP(C234,Deflatores!G$4:I$38,3,FALSE)))</f>
        <v/>
      </c>
      <c r="O234" s="5"/>
      <c r="P234" s="5"/>
      <c r="Q234" s="6"/>
      <c r="R234" s="10"/>
      <c r="S234" s="104"/>
      <c r="T234" s="162"/>
      <c r="U234" s="10"/>
    </row>
    <row r="235" spans="1:21" ht="21.75" customHeight="1" x14ac:dyDescent="0.2">
      <c r="A235" s="102"/>
      <c r="B235" s="2"/>
      <c r="C235" s="2"/>
      <c r="D235" s="2"/>
      <c r="E235" s="5"/>
      <c r="F235" s="2"/>
      <c r="G235" s="5"/>
      <c r="H235" s="8" t="str">
        <f t="shared" si="23"/>
        <v/>
      </c>
      <c r="I235" s="7" t="str">
        <f t="shared" si="24"/>
        <v/>
      </c>
      <c r="J235" s="3" t="str">
        <f t="shared" si="25"/>
        <v/>
      </c>
      <c r="K235" s="4" t="str">
        <f t="shared" si="26"/>
        <v/>
      </c>
      <c r="L235" s="7" t="str">
        <f t="shared" si="27"/>
        <v/>
      </c>
      <c r="M235" s="9" t="str">
        <f t="shared" si="28"/>
        <v/>
      </c>
      <c r="N235" s="9" t="str">
        <f>IF(NOT(ISERROR(VLOOKUP(B235,Deflatores!G$42:H$64,2,FALSE))),VLOOKUP(B235,Deflatores!G$42:H$64,2,FALSE),IF(OR(ISBLANK(C235),ISBLANK(B235)),"",VLOOKUP(C235,Deflatores!G$4:H$38,2,FALSE)*J235+VLOOKUP(C235,Deflatores!G$4:I$38,3,FALSE)))</f>
        <v/>
      </c>
      <c r="O235" s="5"/>
      <c r="P235" s="5"/>
      <c r="Q235" s="6"/>
      <c r="R235" s="10"/>
      <c r="S235" s="104"/>
      <c r="T235" s="162"/>
      <c r="U235" s="10"/>
    </row>
    <row r="236" spans="1:21" ht="21.75" customHeight="1" x14ac:dyDescent="0.2">
      <c r="A236" s="102"/>
      <c r="B236" s="2"/>
      <c r="C236" s="2"/>
      <c r="D236" s="2"/>
      <c r="E236" s="5"/>
      <c r="F236" s="2"/>
      <c r="G236" s="5"/>
      <c r="H236" s="8" t="str">
        <f t="shared" si="23"/>
        <v/>
      </c>
      <c r="I236" s="7" t="str">
        <f t="shared" si="24"/>
        <v/>
      </c>
      <c r="J236" s="3" t="str">
        <f t="shared" si="25"/>
        <v/>
      </c>
      <c r="K236" s="4" t="str">
        <f t="shared" si="26"/>
        <v/>
      </c>
      <c r="L236" s="7" t="str">
        <f t="shared" si="27"/>
        <v/>
      </c>
      <c r="M236" s="9" t="str">
        <f t="shared" si="28"/>
        <v/>
      </c>
      <c r="N236" s="9" t="str">
        <f>IF(NOT(ISERROR(VLOOKUP(B236,Deflatores!G$42:H$64,2,FALSE))),VLOOKUP(B236,Deflatores!G$42:H$64,2,FALSE),IF(OR(ISBLANK(C236),ISBLANK(B236)),"",VLOOKUP(C236,Deflatores!G$4:H$38,2,FALSE)*J236+VLOOKUP(C236,Deflatores!G$4:I$38,3,FALSE)))</f>
        <v/>
      </c>
      <c r="O236" s="5"/>
      <c r="P236" s="5"/>
      <c r="Q236" s="6"/>
      <c r="R236" s="10"/>
      <c r="S236" s="104"/>
      <c r="T236" s="162"/>
      <c r="U236" s="10"/>
    </row>
    <row r="237" spans="1:21" ht="21.75" customHeight="1" x14ac:dyDescent="0.2">
      <c r="A237" s="102"/>
      <c r="B237" s="2"/>
      <c r="C237" s="2"/>
      <c r="D237" s="2"/>
      <c r="E237" s="5"/>
      <c r="F237" s="2"/>
      <c r="G237" s="5"/>
      <c r="H237" s="8" t="str">
        <f t="shared" si="23"/>
        <v/>
      </c>
      <c r="I237" s="7" t="str">
        <f t="shared" si="24"/>
        <v/>
      </c>
      <c r="J237" s="3" t="str">
        <f t="shared" si="25"/>
        <v/>
      </c>
      <c r="K237" s="4" t="str">
        <f t="shared" si="26"/>
        <v/>
      </c>
      <c r="L237" s="7" t="str">
        <f t="shared" si="27"/>
        <v/>
      </c>
      <c r="M237" s="9" t="str">
        <f t="shared" si="28"/>
        <v/>
      </c>
      <c r="N237" s="9" t="str">
        <f>IF(NOT(ISERROR(VLOOKUP(B237,Deflatores!G$42:H$64,2,FALSE))),VLOOKUP(B237,Deflatores!G$42:H$64,2,FALSE),IF(OR(ISBLANK(C237),ISBLANK(B237)),"",VLOOKUP(C237,Deflatores!G$4:H$38,2,FALSE)*J237+VLOOKUP(C237,Deflatores!G$4:I$38,3,FALSE)))</f>
        <v/>
      </c>
      <c r="O237" s="5"/>
      <c r="P237" s="5"/>
      <c r="Q237" s="6"/>
      <c r="R237" s="10"/>
      <c r="S237" s="104"/>
      <c r="T237" s="162"/>
      <c r="U237" s="10"/>
    </row>
    <row r="238" spans="1:21" ht="21.75" customHeight="1" x14ac:dyDescent="0.2">
      <c r="A238" s="102"/>
      <c r="B238" s="2"/>
      <c r="C238" s="2"/>
      <c r="D238" s="2"/>
      <c r="E238" s="5"/>
      <c r="F238" s="2"/>
      <c r="G238" s="5"/>
      <c r="H238" s="8" t="str">
        <f t="shared" si="23"/>
        <v/>
      </c>
      <c r="I238" s="7" t="str">
        <f t="shared" si="24"/>
        <v/>
      </c>
      <c r="J238" s="3" t="str">
        <f t="shared" si="25"/>
        <v/>
      </c>
      <c r="K238" s="4" t="str">
        <f t="shared" si="26"/>
        <v/>
      </c>
      <c r="L238" s="7" t="str">
        <f t="shared" si="27"/>
        <v/>
      </c>
      <c r="M238" s="9" t="str">
        <f t="shared" si="28"/>
        <v/>
      </c>
      <c r="N238" s="9" t="str">
        <f>IF(NOT(ISERROR(VLOOKUP(B238,Deflatores!G$42:H$64,2,FALSE))),VLOOKUP(B238,Deflatores!G$42:H$64,2,FALSE),IF(OR(ISBLANK(C238),ISBLANK(B238)),"",VLOOKUP(C238,Deflatores!G$4:H$38,2,FALSE)*J238+VLOOKUP(C238,Deflatores!G$4:I$38,3,FALSE)))</f>
        <v/>
      </c>
      <c r="O238" s="5"/>
      <c r="P238" s="5"/>
      <c r="Q238" s="6"/>
      <c r="R238" s="10"/>
      <c r="S238" s="104"/>
      <c r="T238" s="162"/>
      <c r="U238" s="10"/>
    </row>
    <row r="239" spans="1:21" ht="21.75" customHeight="1" x14ac:dyDescent="0.2">
      <c r="A239" s="102"/>
      <c r="B239" s="2"/>
      <c r="C239" s="2"/>
      <c r="D239" s="2"/>
      <c r="E239" s="5"/>
      <c r="F239" s="2"/>
      <c r="G239" s="5"/>
      <c r="H239" s="8" t="str">
        <f t="shared" si="23"/>
        <v/>
      </c>
      <c r="I239" s="7" t="str">
        <f t="shared" si="24"/>
        <v/>
      </c>
      <c r="J239" s="3" t="str">
        <f t="shared" si="25"/>
        <v/>
      </c>
      <c r="K239" s="4" t="str">
        <f t="shared" si="26"/>
        <v/>
      </c>
      <c r="L239" s="7" t="str">
        <f t="shared" si="27"/>
        <v/>
      </c>
      <c r="M239" s="9" t="str">
        <f t="shared" si="28"/>
        <v/>
      </c>
      <c r="N239" s="9" t="str">
        <f>IF(NOT(ISERROR(VLOOKUP(B239,Deflatores!G$42:H$64,2,FALSE))),VLOOKUP(B239,Deflatores!G$42:H$64,2,FALSE),IF(OR(ISBLANK(C239),ISBLANK(B239)),"",VLOOKUP(C239,Deflatores!G$4:H$38,2,FALSE)*J239+VLOOKUP(C239,Deflatores!G$4:I$38,3,FALSE)))</f>
        <v/>
      </c>
      <c r="O239" s="5"/>
      <c r="P239" s="5"/>
      <c r="Q239" s="6"/>
      <c r="R239" s="10"/>
      <c r="S239" s="104"/>
      <c r="T239" s="162"/>
      <c r="U239" s="10"/>
    </row>
    <row r="240" spans="1:21" ht="21.75" customHeight="1" x14ac:dyDescent="0.2">
      <c r="A240" s="102"/>
      <c r="B240" s="2"/>
      <c r="C240" s="2"/>
      <c r="D240" s="2"/>
      <c r="E240" s="5"/>
      <c r="F240" s="2"/>
      <c r="G240" s="5"/>
      <c r="H240" s="8" t="str">
        <f t="shared" si="23"/>
        <v/>
      </c>
      <c r="I240" s="7" t="str">
        <f t="shared" si="24"/>
        <v/>
      </c>
      <c r="J240" s="3" t="str">
        <f t="shared" si="25"/>
        <v/>
      </c>
      <c r="K240" s="4" t="str">
        <f t="shared" si="26"/>
        <v/>
      </c>
      <c r="L240" s="7" t="str">
        <f t="shared" si="27"/>
        <v/>
      </c>
      <c r="M240" s="9" t="str">
        <f t="shared" si="28"/>
        <v/>
      </c>
      <c r="N240" s="9" t="str">
        <f>IF(NOT(ISERROR(VLOOKUP(B240,Deflatores!G$42:H$64,2,FALSE))),VLOOKUP(B240,Deflatores!G$42:H$64,2,FALSE),IF(OR(ISBLANK(C240),ISBLANK(B240)),"",VLOOKUP(C240,Deflatores!G$4:H$38,2,FALSE)*J240+VLOOKUP(C240,Deflatores!G$4:I$38,3,FALSE)))</f>
        <v/>
      </c>
      <c r="O240" s="5"/>
      <c r="P240" s="5"/>
      <c r="Q240" s="6"/>
      <c r="R240" s="10"/>
      <c r="S240" s="104"/>
      <c r="T240" s="162"/>
      <c r="U240" s="10"/>
    </row>
    <row r="241" spans="1:21" ht="21.75" customHeight="1" x14ac:dyDescent="0.2">
      <c r="A241" s="102"/>
      <c r="B241" s="2"/>
      <c r="C241" s="2"/>
      <c r="D241" s="2"/>
      <c r="E241" s="5"/>
      <c r="F241" s="2"/>
      <c r="G241" s="5"/>
      <c r="H241" s="8" t="str">
        <f t="shared" si="23"/>
        <v/>
      </c>
      <c r="I241" s="7" t="str">
        <f t="shared" si="24"/>
        <v/>
      </c>
      <c r="J241" s="3" t="str">
        <f t="shared" si="25"/>
        <v/>
      </c>
      <c r="K241" s="4" t="str">
        <f t="shared" si="26"/>
        <v/>
      </c>
      <c r="L241" s="7" t="str">
        <f t="shared" si="27"/>
        <v/>
      </c>
      <c r="M241" s="9" t="str">
        <f t="shared" si="28"/>
        <v/>
      </c>
      <c r="N241" s="9" t="str">
        <f>IF(NOT(ISERROR(VLOOKUP(B241,Deflatores!G$42:H$64,2,FALSE))),VLOOKUP(B241,Deflatores!G$42:H$64,2,FALSE),IF(OR(ISBLANK(C241),ISBLANK(B241)),"",VLOOKUP(C241,Deflatores!G$4:H$38,2,FALSE)*J241+VLOOKUP(C241,Deflatores!G$4:I$38,3,FALSE)))</f>
        <v/>
      </c>
      <c r="O241" s="5"/>
      <c r="P241" s="5"/>
      <c r="Q241" s="6"/>
      <c r="R241" s="10"/>
      <c r="S241" s="104"/>
      <c r="T241" s="162"/>
      <c r="U241" s="10"/>
    </row>
    <row r="242" spans="1:21" ht="21.75" customHeight="1" x14ac:dyDescent="0.2">
      <c r="A242" s="102"/>
      <c r="B242" s="2"/>
      <c r="C242" s="2"/>
      <c r="D242" s="2"/>
      <c r="E242" s="5"/>
      <c r="F242" s="2"/>
      <c r="G242" s="5"/>
      <c r="H242" s="8" t="str">
        <f t="shared" si="23"/>
        <v/>
      </c>
      <c r="I242" s="7" t="str">
        <f t="shared" si="24"/>
        <v/>
      </c>
      <c r="J242" s="3" t="str">
        <f t="shared" si="25"/>
        <v/>
      </c>
      <c r="K242" s="4" t="str">
        <f t="shared" si="26"/>
        <v/>
      </c>
      <c r="L242" s="7" t="str">
        <f t="shared" si="27"/>
        <v/>
      </c>
      <c r="M242" s="9" t="str">
        <f t="shared" si="28"/>
        <v/>
      </c>
      <c r="N242" s="9" t="str">
        <f>IF(NOT(ISERROR(VLOOKUP(B242,Deflatores!G$42:H$64,2,FALSE))),VLOOKUP(B242,Deflatores!G$42:H$64,2,FALSE),IF(OR(ISBLANK(C242),ISBLANK(B242)),"",VLOOKUP(C242,Deflatores!G$4:H$38,2,FALSE)*J242+VLOOKUP(C242,Deflatores!G$4:I$38,3,FALSE)))</f>
        <v/>
      </c>
      <c r="O242" s="5"/>
      <c r="P242" s="5"/>
      <c r="Q242" s="6"/>
      <c r="R242" s="10"/>
      <c r="S242" s="104"/>
      <c r="T242" s="162"/>
      <c r="U242" s="10"/>
    </row>
    <row r="243" spans="1:21" ht="21.75" customHeight="1" x14ac:dyDescent="0.2">
      <c r="A243" s="102"/>
      <c r="B243" s="2"/>
      <c r="C243" s="2"/>
      <c r="D243" s="2"/>
      <c r="E243" s="5"/>
      <c r="F243" s="2"/>
      <c r="G243" s="5"/>
      <c r="H243" s="8" t="str">
        <f t="shared" si="23"/>
        <v/>
      </c>
      <c r="I243" s="7" t="str">
        <f t="shared" si="24"/>
        <v/>
      </c>
      <c r="J243" s="3" t="str">
        <f t="shared" si="25"/>
        <v/>
      </c>
      <c r="K243" s="4" t="str">
        <f t="shared" si="26"/>
        <v/>
      </c>
      <c r="L243" s="7" t="str">
        <f t="shared" si="27"/>
        <v/>
      </c>
      <c r="M243" s="9" t="str">
        <f t="shared" si="28"/>
        <v/>
      </c>
      <c r="N243" s="9" t="str">
        <f>IF(NOT(ISERROR(VLOOKUP(B243,Deflatores!G$42:H$64,2,FALSE))),VLOOKUP(B243,Deflatores!G$42:H$64,2,FALSE),IF(OR(ISBLANK(C243),ISBLANK(B243)),"",VLOOKUP(C243,Deflatores!G$4:H$38,2,FALSE)*J243+VLOOKUP(C243,Deflatores!G$4:I$38,3,FALSE)))</f>
        <v/>
      </c>
      <c r="O243" s="5"/>
      <c r="P243" s="5"/>
      <c r="Q243" s="6"/>
      <c r="R243" s="10"/>
      <c r="S243" s="104"/>
      <c r="T243" s="162"/>
      <c r="U243" s="10"/>
    </row>
    <row r="244" spans="1:21" ht="21.75" customHeight="1" x14ac:dyDescent="0.2">
      <c r="A244" s="102"/>
      <c r="B244" s="2"/>
      <c r="C244" s="2"/>
      <c r="D244" s="2"/>
      <c r="E244" s="5"/>
      <c r="F244" s="2"/>
      <c r="G244" s="5"/>
      <c r="H244" s="8" t="str">
        <f t="shared" si="23"/>
        <v/>
      </c>
      <c r="I244" s="7" t="str">
        <f t="shared" si="24"/>
        <v/>
      </c>
      <c r="J244" s="3" t="str">
        <f t="shared" si="25"/>
        <v/>
      </c>
      <c r="K244" s="4" t="str">
        <f t="shared" si="26"/>
        <v/>
      </c>
      <c r="L244" s="7" t="str">
        <f t="shared" si="27"/>
        <v/>
      </c>
      <c r="M244" s="9" t="str">
        <f t="shared" si="28"/>
        <v/>
      </c>
      <c r="N244" s="9" t="str">
        <f>IF(NOT(ISERROR(VLOOKUP(B244,Deflatores!G$42:H$64,2,FALSE))),VLOOKUP(B244,Deflatores!G$42:H$64,2,FALSE),IF(OR(ISBLANK(C244),ISBLANK(B244)),"",VLOOKUP(C244,Deflatores!G$4:H$38,2,FALSE)*J244+VLOOKUP(C244,Deflatores!G$4:I$38,3,FALSE)))</f>
        <v/>
      </c>
      <c r="O244" s="5"/>
      <c r="P244" s="5"/>
      <c r="Q244" s="6"/>
      <c r="R244" s="10"/>
      <c r="S244" s="104"/>
      <c r="T244" s="162"/>
      <c r="U244" s="10"/>
    </row>
    <row r="245" spans="1:21" ht="21.75" customHeight="1" x14ac:dyDescent="0.2">
      <c r="A245" s="102"/>
      <c r="B245" s="2"/>
      <c r="C245" s="2"/>
      <c r="D245" s="2"/>
      <c r="E245" s="5"/>
      <c r="F245" s="2"/>
      <c r="G245" s="5"/>
      <c r="H245" s="8" t="str">
        <f t="shared" si="23"/>
        <v/>
      </c>
      <c r="I245" s="7" t="str">
        <f t="shared" si="24"/>
        <v/>
      </c>
      <c r="J245" s="3" t="str">
        <f t="shared" si="25"/>
        <v/>
      </c>
      <c r="K245" s="4" t="str">
        <f t="shared" si="26"/>
        <v/>
      </c>
      <c r="L245" s="7" t="str">
        <f t="shared" si="27"/>
        <v/>
      </c>
      <c r="M245" s="9" t="str">
        <f t="shared" si="28"/>
        <v/>
      </c>
      <c r="N245" s="9" t="str">
        <f>IF(NOT(ISERROR(VLOOKUP(B245,Deflatores!G$42:H$64,2,FALSE))),VLOOKUP(B245,Deflatores!G$42:H$64,2,FALSE),IF(OR(ISBLANK(C245),ISBLANK(B245)),"",VLOOKUP(C245,Deflatores!G$4:H$38,2,FALSE)*J245+VLOOKUP(C245,Deflatores!G$4:I$38,3,FALSE)))</f>
        <v/>
      </c>
      <c r="O245" s="5"/>
      <c r="P245" s="5"/>
      <c r="Q245" s="6"/>
      <c r="R245" s="10"/>
      <c r="S245" s="104"/>
      <c r="T245" s="162"/>
      <c r="U245" s="10"/>
    </row>
    <row r="246" spans="1:21" ht="21.75" customHeight="1" x14ac:dyDescent="0.2">
      <c r="A246" s="102"/>
      <c r="B246" s="2"/>
      <c r="C246" s="2"/>
      <c r="D246" s="2"/>
      <c r="E246" s="5"/>
      <c r="F246" s="2"/>
      <c r="G246" s="5"/>
      <c r="H246" s="8" t="str">
        <f t="shared" si="23"/>
        <v/>
      </c>
      <c r="I246" s="7" t="str">
        <f t="shared" si="24"/>
        <v/>
      </c>
      <c r="J246" s="3" t="str">
        <f t="shared" si="25"/>
        <v/>
      </c>
      <c r="K246" s="4" t="str">
        <f t="shared" si="26"/>
        <v/>
      </c>
      <c r="L246" s="7" t="str">
        <f t="shared" si="27"/>
        <v/>
      </c>
      <c r="M246" s="9" t="str">
        <f t="shared" si="28"/>
        <v/>
      </c>
      <c r="N246" s="9" t="str">
        <f>IF(NOT(ISERROR(VLOOKUP(B246,Deflatores!G$42:H$64,2,FALSE))),VLOOKUP(B246,Deflatores!G$42:H$64,2,FALSE),IF(OR(ISBLANK(C246),ISBLANK(B246)),"",VLOOKUP(C246,Deflatores!G$4:H$38,2,FALSE)*J246+VLOOKUP(C246,Deflatores!G$4:I$38,3,FALSE)))</f>
        <v/>
      </c>
      <c r="O246" s="5"/>
      <c r="P246" s="5"/>
      <c r="Q246" s="6"/>
      <c r="R246" s="10"/>
      <c r="S246" s="104"/>
      <c r="T246" s="162"/>
      <c r="U246" s="10"/>
    </row>
    <row r="247" spans="1:21" ht="21.75" customHeight="1" x14ac:dyDescent="0.2">
      <c r="A247" s="102"/>
      <c r="B247" s="2"/>
      <c r="C247" s="2"/>
      <c r="D247" s="2"/>
      <c r="E247" s="5"/>
      <c r="F247" s="2"/>
      <c r="G247" s="5"/>
      <c r="H247" s="8" t="str">
        <f t="shared" si="23"/>
        <v/>
      </c>
      <c r="I247" s="7" t="str">
        <f t="shared" si="24"/>
        <v/>
      </c>
      <c r="J247" s="3" t="str">
        <f t="shared" si="25"/>
        <v/>
      </c>
      <c r="K247" s="4" t="str">
        <f t="shared" si="26"/>
        <v/>
      </c>
      <c r="L247" s="7" t="str">
        <f t="shared" si="27"/>
        <v/>
      </c>
      <c r="M247" s="9" t="str">
        <f t="shared" si="28"/>
        <v/>
      </c>
      <c r="N247" s="9" t="str">
        <f>IF(NOT(ISERROR(VLOOKUP(B247,Deflatores!G$42:H$64,2,FALSE))),VLOOKUP(B247,Deflatores!G$42:H$64,2,FALSE),IF(OR(ISBLANK(C247),ISBLANK(B247)),"",VLOOKUP(C247,Deflatores!G$4:H$38,2,FALSE)*J247+VLOOKUP(C247,Deflatores!G$4:I$38,3,FALSE)))</f>
        <v/>
      </c>
      <c r="O247" s="5"/>
      <c r="P247" s="5"/>
      <c r="Q247" s="6"/>
      <c r="R247" s="10"/>
      <c r="S247" s="104"/>
      <c r="T247" s="162"/>
      <c r="U247" s="10"/>
    </row>
    <row r="248" spans="1:21" ht="21.75" customHeight="1" x14ac:dyDescent="0.2">
      <c r="A248" s="102"/>
      <c r="B248" s="2"/>
      <c r="C248" s="2"/>
      <c r="D248" s="2"/>
      <c r="E248" s="5"/>
      <c r="F248" s="2"/>
      <c r="G248" s="5"/>
      <c r="H248" s="8" t="str">
        <f t="shared" si="23"/>
        <v/>
      </c>
      <c r="I248" s="7" t="str">
        <f t="shared" si="24"/>
        <v/>
      </c>
      <c r="J248" s="3" t="str">
        <f t="shared" si="25"/>
        <v/>
      </c>
      <c r="K248" s="4" t="str">
        <f t="shared" si="26"/>
        <v/>
      </c>
      <c r="L248" s="7" t="str">
        <f t="shared" si="27"/>
        <v/>
      </c>
      <c r="M248" s="9" t="str">
        <f t="shared" si="28"/>
        <v/>
      </c>
      <c r="N248" s="9" t="str">
        <f>IF(NOT(ISERROR(VLOOKUP(B248,Deflatores!G$42:H$64,2,FALSE))),VLOOKUP(B248,Deflatores!G$42:H$64,2,FALSE),IF(OR(ISBLANK(C248),ISBLANK(B248)),"",VLOOKUP(C248,Deflatores!G$4:H$38,2,FALSE)*J248+VLOOKUP(C248,Deflatores!G$4:I$38,3,FALSE)))</f>
        <v/>
      </c>
      <c r="O248" s="5"/>
      <c r="P248" s="5"/>
      <c r="Q248" s="6"/>
      <c r="R248" s="10"/>
      <c r="S248" s="104"/>
      <c r="T248" s="162"/>
      <c r="U248" s="10"/>
    </row>
    <row r="249" spans="1:21" ht="21.75" customHeight="1" x14ac:dyDescent="0.2">
      <c r="A249" s="102"/>
      <c r="B249" s="2"/>
      <c r="C249" s="2"/>
      <c r="D249" s="2"/>
      <c r="E249" s="5"/>
      <c r="F249" s="2"/>
      <c r="G249" s="5"/>
      <c r="H249" s="8" t="str">
        <f t="shared" si="23"/>
        <v/>
      </c>
      <c r="I249" s="7" t="str">
        <f t="shared" si="24"/>
        <v/>
      </c>
      <c r="J249" s="3" t="str">
        <f t="shared" si="25"/>
        <v/>
      </c>
      <c r="K249" s="4" t="str">
        <f t="shared" si="26"/>
        <v/>
      </c>
      <c r="L249" s="7" t="str">
        <f t="shared" si="27"/>
        <v/>
      </c>
      <c r="M249" s="9" t="str">
        <f t="shared" si="28"/>
        <v/>
      </c>
      <c r="N249" s="9" t="str">
        <f>IF(NOT(ISERROR(VLOOKUP(B249,Deflatores!G$42:H$64,2,FALSE))),VLOOKUP(B249,Deflatores!G$42:H$64,2,FALSE),IF(OR(ISBLANK(C249),ISBLANK(B249)),"",VLOOKUP(C249,Deflatores!G$4:H$38,2,FALSE)*J249+VLOOKUP(C249,Deflatores!G$4:I$38,3,FALSE)))</f>
        <v/>
      </c>
      <c r="O249" s="5"/>
      <c r="P249" s="5"/>
      <c r="Q249" s="6"/>
      <c r="R249" s="10"/>
      <c r="S249" s="104"/>
      <c r="T249" s="162"/>
      <c r="U249" s="10"/>
    </row>
    <row r="250" spans="1:21" ht="21.75" customHeight="1" x14ac:dyDescent="0.2">
      <c r="A250" s="102"/>
      <c r="B250" s="2"/>
      <c r="C250" s="2"/>
      <c r="D250" s="2"/>
      <c r="E250" s="5"/>
      <c r="F250" s="2"/>
      <c r="G250" s="5"/>
      <c r="H250" s="8" t="str">
        <f t="shared" si="23"/>
        <v/>
      </c>
      <c r="I250" s="7" t="str">
        <f t="shared" si="24"/>
        <v/>
      </c>
      <c r="J250" s="3" t="str">
        <f t="shared" si="25"/>
        <v/>
      </c>
      <c r="K250" s="4" t="str">
        <f t="shared" si="26"/>
        <v/>
      </c>
      <c r="L250" s="7" t="str">
        <f t="shared" si="27"/>
        <v/>
      </c>
      <c r="M250" s="9" t="str">
        <f t="shared" si="28"/>
        <v/>
      </c>
      <c r="N250" s="9" t="str">
        <f>IF(NOT(ISERROR(VLOOKUP(B250,Deflatores!G$42:H$64,2,FALSE))),VLOOKUP(B250,Deflatores!G$42:H$64,2,FALSE),IF(OR(ISBLANK(C250),ISBLANK(B250)),"",VLOOKUP(C250,Deflatores!G$4:H$38,2,FALSE)*J250+VLOOKUP(C250,Deflatores!G$4:I$38,3,FALSE)))</f>
        <v/>
      </c>
      <c r="O250" s="5"/>
      <c r="P250" s="5"/>
      <c r="Q250" s="6"/>
      <c r="R250" s="10"/>
      <c r="S250" s="104"/>
      <c r="T250" s="162"/>
      <c r="U250" s="10"/>
    </row>
    <row r="251" spans="1:21" ht="21.75" customHeight="1" x14ac:dyDescent="0.2">
      <c r="A251" s="102"/>
      <c r="B251" s="2"/>
      <c r="C251" s="2"/>
      <c r="D251" s="2"/>
      <c r="E251" s="5"/>
      <c r="F251" s="2"/>
      <c r="G251" s="5"/>
      <c r="H251" s="8" t="str">
        <f t="shared" si="23"/>
        <v/>
      </c>
      <c r="I251" s="7" t="str">
        <f t="shared" si="24"/>
        <v/>
      </c>
      <c r="J251" s="3" t="str">
        <f t="shared" si="25"/>
        <v/>
      </c>
      <c r="K251" s="4" t="str">
        <f t="shared" si="26"/>
        <v/>
      </c>
      <c r="L251" s="7" t="str">
        <f t="shared" si="27"/>
        <v/>
      </c>
      <c r="M251" s="9" t="str">
        <f t="shared" si="28"/>
        <v/>
      </c>
      <c r="N251" s="9" t="str">
        <f>IF(NOT(ISERROR(VLOOKUP(B251,Deflatores!G$42:H$64,2,FALSE))),VLOOKUP(B251,Deflatores!G$42:H$64,2,FALSE),IF(OR(ISBLANK(C251),ISBLANK(B251)),"",VLOOKUP(C251,Deflatores!G$4:H$38,2,FALSE)*J251+VLOOKUP(C251,Deflatores!G$4:I$38,3,FALSE)))</f>
        <v/>
      </c>
      <c r="O251" s="5"/>
      <c r="P251" s="5"/>
      <c r="Q251" s="6"/>
      <c r="R251" s="10"/>
      <c r="S251" s="104"/>
      <c r="T251" s="162"/>
      <c r="U251" s="10"/>
    </row>
    <row r="252" spans="1:21" ht="21.75" customHeight="1" x14ac:dyDescent="0.2">
      <c r="A252" s="102"/>
      <c r="B252" s="2"/>
      <c r="C252" s="2"/>
      <c r="D252" s="2"/>
      <c r="E252" s="5"/>
      <c r="F252" s="2"/>
      <c r="G252" s="5"/>
      <c r="H252" s="8" t="str">
        <f t="shared" si="23"/>
        <v/>
      </c>
      <c r="I252" s="7" t="str">
        <f t="shared" si="24"/>
        <v/>
      </c>
      <c r="J252" s="3" t="str">
        <f t="shared" si="25"/>
        <v/>
      </c>
      <c r="K252" s="4" t="str">
        <f t="shared" si="26"/>
        <v/>
      </c>
      <c r="L252" s="7" t="str">
        <f t="shared" si="27"/>
        <v/>
      </c>
      <c r="M252" s="9" t="str">
        <f t="shared" si="28"/>
        <v/>
      </c>
      <c r="N252" s="9" t="str">
        <f>IF(NOT(ISERROR(VLOOKUP(B252,Deflatores!G$42:H$64,2,FALSE))),VLOOKUP(B252,Deflatores!G$42:H$64,2,FALSE),IF(OR(ISBLANK(C252),ISBLANK(B252)),"",VLOOKUP(C252,Deflatores!G$4:H$38,2,FALSE)*J252+VLOOKUP(C252,Deflatores!G$4:I$38,3,FALSE)))</f>
        <v/>
      </c>
      <c r="O252" s="5"/>
      <c r="P252" s="5"/>
      <c r="Q252" s="6"/>
      <c r="R252" s="10"/>
      <c r="S252" s="104"/>
      <c r="T252" s="162"/>
      <c r="U252" s="10"/>
    </row>
    <row r="253" spans="1:21" ht="21.75" customHeight="1" x14ac:dyDescent="0.2">
      <c r="A253" s="102"/>
      <c r="B253" s="2"/>
      <c r="C253" s="2"/>
      <c r="D253" s="2"/>
      <c r="E253" s="5"/>
      <c r="F253" s="2"/>
      <c r="G253" s="5"/>
      <c r="H253" s="8" t="str">
        <f t="shared" si="23"/>
        <v/>
      </c>
      <c r="I253" s="7" t="str">
        <f t="shared" si="24"/>
        <v/>
      </c>
      <c r="J253" s="3" t="str">
        <f t="shared" si="25"/>
        <v/>
      </c>
      <c r="K253" s="4" t="str">
        <f t="shared" si="26"/>
        <v/>
      </c>
      <c r="L253" s="7" t="str">
        <f t="shared" si="27"/>
        <v/>
      </c>
      <c r="M253" s="9" t="str">
        <f t="shared" si="28"/>
        <v/>
      </c>
      <c r="N253" s="9" t="str">
        <f>IF(NOT(ISERROR(VLOOKUP(B253,Deflatores!G$42:H$64,2,FALSE))),VLOOKUP(B253,Deflatores!G$42:H$64,2,FALSE),IF(OR(ISBLANK(C253),ISBLANK(B253)),"",VLOOKUP(C253,Deflatores!G$4:H$38,2,FALSE)*J253+VLOOKUP(C253,Deflatores!G$4:I$38,3,FALSE)))</f>
        <v/>
      </c>
      <c r="O253" s="5"/>
      <c r="P253" s="5"/>
      <c r="Q253" s="6"/>
      <c r="R253" s="10"/>
      <c r="S253" s="104"/>
      <c r="T253" s="162"/>
      <c r="U253" s="10"/>
    </row>
    <row r="254" spans="1:21" ht="21.75" customHeight="1" x14ac:dyDescent="0.2">
      <c r="A254" s="102"/>
      <c r="B254" s="2"/>
      <c r="C254" s="2"/>
      <c r="D254" s="2"/>
      <c r="E254" s="5"/>
      <c r="F254" s="2"/>
      <c r="G254" s="5"/>
      <c r="H254" s="8" t="str">
        <f t="shared" si="23"/>
        <v/>
      </c>
      <c r="I254" s="7" t="str">
        <f t="shared" si="24"/>
        <v/>
      </c>
      <c r="J254" s="3" t="str">
        <f t="shared" si="25"/>
        <v/>
      </c>
      <c r="K254" s="4" t="str">
        <f t="shared" si="26"/>
        <v/>
      </c>
      <c r="L254" s="7" t="str">
        <f t="shared" si="27"/>
        <v/>
      </c>
      <c r="M254" s="9" t="str">
        <f t="shared" si="28"/>
        <v/>
      </c>
      <c r="N254" s="9" t="str">
        <f>IF(NOT(ISERROR(VLOOKUP(B254,Deflatores!G$42:H$64,2,FALSE))),VLOOKUP(B254,Deflatores!G$42:H$64,2,FALSE),IF(OR(ISBLANK(C254),ISBLANK(B254)),"",VLOOKUP(C254,Deflatores!G$4:H$38,2,FALSE)*J254+VLOOKUP(C254,Deflatores!G$4:I$38,3,FALSE)))</f>
        <v/>
      </c>
      <c r="O254" s="5"/>
      <c r="P254" s="5"/>
      <c r="Q254" s="6"/>
      <c r="R254" s="10"/>
      <c r="S254" s="104"/>
      <c r="T254" s="162"/>
      <c r="U254" s="10"/>
    </row>
    <row r="255" spans="1:21" ht="21.75" customHeight="1" x14ac:dyDescent="0.2">
      <c r="A255" s="102"/>
      <c r="B255" s="2"/>
      <c r="C255" s="2"/>
      <c r="D255" s="2"/>
      <c r="E255" s="5"/>
      <c r="F255" s="2"/>
      <c r="G255" s="5"/>
      <c r="H255" s="8" t="str">
        <f t="shared" si="23"/>
        <v/>
      </c>
      <c r="I255" s="7" t="str">
        <f t="shared" si="24"/>
        <v/>
      </c>
      <c r="J255" s="3" t="str">
        <f t="shared" si="25"/>
        <v/>
      </c>
      <c r="K255" s="4" t="str">
        <f t="shared" si="26"/>
        <v/>
      </c>
      <c r="L255" s="7" t="str">
        <f t="shared" si="27"/>
        <v/>
      </c>
      <c r="M255" s="9" t="str">
        <f t="shared" si="28"/>
        <v/>
      </c>
      <c r="N255" s="9" t="str">
        <f>IF(NOT(ISERROR(VLOOKUP(B255,Deflatores!G$42:H$64,2,FALSE))),VLOOKUP(B255,Deflatores!G$42:H$64,2,FALSE),IF(OR(ISBLANK(C255),ISBLANK(B255)),"",VLOOKUP(C255,Deflatores!G$4:H$38,2,FALSE)*J255+VLOOKUP(C255,Deflatores!G$4:I$38,3,FALSE)))</f>
        <v/>
      </c>
      <c r="O255" s="5"/>
      <c r="P255" s="5"/>
      <c r="Q255" s="6"/>
      <c r="R255" s="10"/>
      <c r="S255" s="104"/>
      <c r="T255" s="162"/>
      <c r="U255" s="10"/>
    </row>
    <row r="256" spans="1:21" ht="21.75" customHeight="1" x14ac:dyDescent="0.2">
      <c r="A256" s="102"/>
      <c r="B256" s="2"/>
      <c r="C256" s="2"/>
      <c r="D256" s="2"/>
      <c r="E256" s="5"/>
      <c r="F256" s="2"/>
      <c r="G256" s="5"/>
      <c r="H256" s="8" t="str">
        <f t="shared" si="23"/>
        <v/>
      </c>
      <c r="I256" s="7" t="str">
        <f t="shared" si="24"/>
        <v/>
      </c>
      <c r="J256" s="3" t="str">
        <f t="shared" si="25"/>
        <v/>
      </c>
      <c r="K256" s="4" t="str">
        <f t="shared" si="26"/>
        <v/>
      </c>
      <c r="L256" s="7" t="str">
        <f t="shared" si="27"/>
        <v/>
      </c>
      <c r="M256" s="9" t="str">
        <f t="shared" si="28"/>
        <v/>
      </c>
      <c r="N256" s="9" t="str">
        <f>IF(NOT(ISERROR(VLOOKUP(B256,Deflatores!G$42:H$64,2,FALSE))),VLOOKUP(B256,Deflatores!G$42:H$64,2,FALSE),IF(OR(ISBLANK(C256),ISBLANK(B256)),"",VLOOKUP(C256,Deflatores!G$4:H$38,2,FALSE)*J256+VLOOKUP(C256,Deflatores!G$4:I$38,3,FALSE)))</f>
        <v/>
      </c>
      <c r="O256" s="5"/>
      <c r="P256" s="5"/>
      <c r="Q256" s="6"/>
      <c r="R256" s="10"/>
      <c r="S256" s="104"/>
      <c r="T256" s="162"/>
      <c r="U256" s="10"/>
    </row>
    <row r="257" spans="1:21" ht="21.75" customHeight="1" x14ac:dyDescent="0.2">
      <c r="A257" s="102"/>
      <c r="B257" s="2"/>
      <c r="C257" s="2"/>
      <c r="D257" s="2"/>
      <c r="E257" s="5"/>
      <c r="F257" s="2"/>
      <c r="G257" s="5"/>
      <c r="H257" s="8" t="str">
        <f t="shared" si="23"/>
        <v/>
      </c>
      <c r="I257" s="7" t="str">
        <f t="shared" si="24"/>
        <v/>
      </c>
      <c r="J257" s="3" t="str">
        <f t="shared" si="25"/>
        <v/>
      </c>
      <c r="K257" s="4" t="str">
        <f t="shared" si="26"/>
        <v/>
      </c>
      <c r="L257" s="7" t="str">
        <f t="shared" si="27"/>
        <v/>
      </c>
      <c r="M257" s="9" t="str">
        <f t="shared" si="28"/>
        <v/>
      </c>
      <c r="N257" s="9" t="str">
        <f>IF(NOT(ISERROR(VLOOKUP(B257,Deflatores!G$42:H$64,2,FALSE))),VLOOKUP(B257,Deflatores!G$42:H$64,2,FALSE),IF(OR(ISBLANK(C257),ISBLANK(B257)),"",VLOOKUP(C257,Deflatores!G$4:H$38,2,FALSE)*J257+VLOOKUP(C257,Deflatores!G$4:I$38,3,FALSE)))</f>
        <v/>
      </c>
      <c r="O257" s="5"/>
      <c r="P257" s="5"/>
      <c r="Q257" s="6"/>
      <c r="R257" s="10"/>
      <c r="S257" s="104"/>
      <c r="T257" s="162"/>
      <c r="U257" s="10"/>
    </row>
    <row r="258" spans="1:21" ht="21.75" customHeight="1" x14ac:dyDescent="0.2">
      <c r="A258" s="102"/>
      <c r="B258" s="2"/>
      <c r="C258" s="2"/>
      <c r="D258" s="2"/>
      <c r="E258" s="5"/>
      <c r="F258" s="2"/>
      <c r="G258" s="5"/>
      <c r="H258" s="8" t="str">
        <f t="shared" si="23"/>
        <v/>
      </c>
      <c r="I258" s="7" t="str">
        <f t="shared" si="24"/>
        <v/>
      </c>
      <c r="J258" s="3" t="str">
        <f t="shared" si="25"/>
        <v/>
      </c>
      <c r="K258" s="4" t="str">
        <f t="shared" si="26"/>
        <v/>
      </c>
      <c r="L258" s="7" t="str">
        <f t="shared" si="27"/>
        <v/>
      </c>
      <c r="M258" s="9" t="str">
        <f t="shared" si="28"/>
        <v/>
      </c>
      <c r="N258" s="9" t="str">
        <f>IF(NOT(ISERROR(VLOOKUP(B258,Deflatores!G$42:H$64,2,FALSE))),VLOOKUP(B258,Deflatores!G$42:H$64,2,FALSE),IF(OR(ISBLANK(C258),ISBLANK(B258)),"",VLOOKUP(C258,Deflatores!G$4:H$38,2,FALSE)*J258+VLOOKUP(C258,Deflatores!G$4:I$38,3,FALSE)))</f>
        <v/>
      </c>
      <c r="O258" s="5"/>
      <c r="P258" s="5"/>
      <c r="Q258" s="6"/>
      <c r="R258" s="10"/>
      <c r="S258" s="104"/>
      <c r="T258" s="162"/>
      <c r="U258" s="10"/>
    </row>
    <row r="259" spans="1:21" ht="21.75" customHeight="1" x14ac:dyDescent="0.2">
      <c r="A259" s="102"/>
      <c r="B259" s="2"/>
      <c r="C259" s="2"/>
      <c r="D259" s="2"/>
      <c r="E259" s="5"/>
      <c r="F259" s="2"/>
      <c r="G259" s="5"/>
      <c r="H259" s="8" t="str">
        <f t="shared" si="23"/>
        <v/>
      </c>
      <c r="I259" s="7" t="str">
        <f t="shared" si="24"/>
        <v/>
      </c>
      <c r="J259" s="3" t="str">
        <f t="shared" si="25"/>
        <v/>
      </c>
      <c r="K259" s="4" t="str">
        <f t="shared" si="26"/>
        <v/>
      </c>
      <c r="L259" s="7" t="str">
        <f t="shared" si="27"/>
        <v/>
      </c>
      <c r="M259" s="9" t="str">
        <f t="shared" si="28"/>
        <v/>
      </c>
      <c r="N259" s="9" t="str">
        <f>IF(NOT(ISERROR(VLOOKUP(B259,Deflatores!G$42:H$64,2,FALSE))),VLOOKUP(B259,Deflatores!G$42:H$64,2,FALSE),IF(OR(ISBLANK(C259),ISBLANK(B259)),"",VLOOKUP(C259,Deflatores!G$4:H$38,2,FALSE)*J259+VLOOKUP(C259,Deflatores!G$4:I$38,3,FALSE)))</f>
        <v/>
      </c>
      <c r="O259" s="5"/>
      <c r="P259" s="5"/>
      <c r="Q259" s="6"/>
      <c r="R259" s="10"/>
      <c r="S259" s="104"/>
      <c r="T259" s="162"/>
      <c r="U259" s="10"/>
    </row>
    <row r="260" spans="1:21" ht="21.75" customHeight="1" x14ac:dyDescent="0.2">
      <c r="A260" s="102"/>
      <c r="B260" s="2"/>
      <c r="C260" s="2"/>
      <c r="D260" s="2"/>
      <c r="E260" s="5"/>
      <c r="F260" s="2"/>
      <c r="G260" s="5"/>
      <c r="H260" s="8" t="str">
        <f t="shared" si="23"/>
        <v/>
      </c>
      <c r="I260" s="7" t="str">
        <f t="shared" si="24"/>
        <v/>
      </c>
      <c r="J260" s="3" t="str">
        <f t="shared" si="25"/>
        <v/>
      </c>
      <c r="K260" s="4" t="str">
        <f t="shared" si="26"/>
        <v/>
      </c>
      <c r="L260" s="7" t="str">
        <f t="shared" si="27"/>
        <v/>
      </c>
      <c r="M260" s="9" t="str">
        <f t="shared" si="28"/>
        <v/>
      </c>
      <c r="N260" s="9" t="str">
        <f>IF(NOT(ISERROR(VLOOKUP(B260,Deflatores!G$42:H$64,2,FALSE))),VLOOKUP(B260,Deflatores!G$42:H$64,2,FALSE),IF(OR(ISBLANK(C260),ISBLANK(B260)),"",VLOOKUP(C260,Deflatores!G$4:H$38,2,FALSE)*J260+VLOOKUP(C260,Deflatores!G$4:I$38,3,FALSE)))</f>
        <v/>
      </c>
      <c r="O260" s="5"/>
      <c r="P260" s="5"/>
      <c r="Q260" s="6"/>
      <c r="R260" s="10"/>
      <c r="S260" s="104"/>
      <c r="T260" s="162"/>
      <c r="U260" s="10"/>
    </row>
    <row r="261" spans="1:21" ht="21.75" customHeight="1" x14ac:dyDescent="0.2">
      <c r="A261" s="102"/>
      <c r="B261" s="2"/>
      <c r="C261" s="2"/>
      <c r="D261" s="2"/>
      <c r="E261" s="5"/>
      <c r="F261" s="2"/>
      <c r="G261" s="5"/>
      <c r="H261" s="8" t="str">
        <f t="shared" si="23"/>
        <v/>
      </c>
      <c r="I261" s="7" t="str">
        <f t="shared" si="24"/>
        <v/>
      </c>
      <c r="J261" s="3" t="str">
        <f t="shared" si="25"/>
        <v/>
      </c>
      <c r="K261" s="4" t="str">
        <f t="shared" si="26"/>
        <v/>
      </c>
      <c r="L261" s="7" t="str">
        <f t="shared" si="27"/>
        <v/>
      </c>
      <c r="M261" s="9" t="str">
        <f t="shared" si="28"/>
        <v/>
      </c>
      <c r="N261" s="9" t="str">
        <f>IF(NOT(ISERROR(VLOOKUP(B261,Deflatores!G$42:H$64,2,FALSE))),VLOOKUP(B261,Deflatores!G$42:H$64,2,FALSE),IF(OR(ISBLANK(C261),ISBLANK(B261)),"",VLOOKUP(C261,Deflatores!G$4:H$38,2,FALSE)*J261+VLOOKUP(C261,Deflatores!G$4:I$38,3,FALSE)))</f>
        <v/>
      </c>
      <c r="O261" s="5"/>
      <c r="P261" s="5"/>
      <c r="Q261" s="6"/>
      <c r="R261" s="10"/>
      <c r="S261" s="104"/>
      <c r="T261" s="162"/>
      <c r="U261" s="10"/>
    </row>
    <row r="262" spans="1:21" ht="21.75" customHeight="1" x14ac:dyDescent="0.2">
      <c r="A262" s="102"/>
      <c r="B262" s="2"/>
      <c r="C262" s="2"/>
      <c r="D262" s="2"/>
      <c r="E262" s="5"/>
      <c r="F262" s="2"/>
      <c r="G262" s="5"/>
      <c r="H262" s="8" t="str">
        <f t="shared" si="23"/>
        <v/>
      </c>
      <c r="I262" s="7" t="str">
        <f t="shared" si="24"/>
        <v/>
      </c>
      <c r="J262" s="3" t="str">
        <f t="shared" si="25"/>
        <v/>
      </c>
      <c r="K262" s="4" t="str">
        <f t="shared" si="26"/>
        <v/>
      </c>
      <c r="L262" s="7" t="str">
        <f t="shared" si="27"/>
        <v/>
      </c>
      <c r="M262" s="9" t="str">
        <f t="shared" si="28"/>
        <v/>
      </c>
      <c r="N262" s="9" t="str">
        <f>IF(NOT(ISERROR(VLOOKUP(B262,Deflatores!G$42:H$64,2,FALSE))),VLOOKUP(B262,Deflatores!G$42:H$64,2,FALSE),IF(OR(ISBLANK(C262),ISBLANK(B262)),"",VLOOKUP(C262,Deflatores!G$4:H$38,2,FALSE)*J262+VLOOKUP(C262,Deflatores!G$4:I$38,3,FALSE)))</f>
        <v/>
      </c>
      <c r="O262" s="5"/>
      <c r="P262" s="5"/>
      <c r="Q262" s="6"/>
      <c r="R262" s="10"/>
      <c r="S262" s="104"/>
      <c r="T262" s="162"/>
      <c r="U262" s="10"/>
    </row>
    <row r="263" spans="1:21" ht="21.75" customHeight="1" x14ac:dyDescent="0.2">
      <c r="A263" s="102"/>
      <c r="B263" s="2"/>
      <c r="C263" s="2"/>
      <c r="D263" s="2"/>
      <c r="E263" s="5"/>
      <c r="F263" s="2"/>
      <c r="G263" s="5"/>
      <c r="H263" s="8" t="str">
        <f t="shared" si="23"/>
        <v/>
      </c>
      <c r="I263" s="7" t="str">
        <f t="shared" si="24"/>
        <v/>
      </c>
      <c r="J263" s="3" t="str">
        <f t="shared" si="25"/>
        <v/>
      </c>
      <c r="K263" s="4" t="str">
        <f t="shared" si="26"/>
        <v/>
      </c>
      <c r="L263" s="7" t="str">
        <f t="shared" si="27"/>
        <v/>
      </c>
      <c r="M263" s="9" t="str">
        <f t="shared" si="28"/>
        <v/>
      </c>
      <c r="N263" s="9" t="str">
        <f>IF(NOT(ISERROR(VLOOKUP(B263,Deflatores!G$42:H$64,2,FALSE))),VLOOKUP(B263,Deflatores!G$42:H$64,2,FALSE),IF(OR(ISBLANK(C263),ISBLANK(B263)),"",VLOOKUP(C263,Deflatores!G$4:H$38,2,FALSE)*J263+VLOOKUP(C263,Deflatores!G$4:I$38,3,FALSE)))</f>
        <v/>
      </c>
      <c r="O263" s="5"/>
      <c r="P263" s="5"/>
      <c r="Q263" s="6"/>
      <c r="R263" s="10"/>
      <c r="S263" s="104"/>
      <c r="T263" s="162"/>
      <c r="U263" s="10"/>
    </row>
    <row r="264" spans="1:21" ht="21.75" customHeight="1" x14ac:dyDescent="0.2">
      <c r="A264" s="102"/>
      <c r="B264" s="2"/>
      <c r="C264" s="2"/>
      <c r="D264" s="2"/>
      <c r="E264" s="5"/>
      <c r="F264" s="2"/>
      <c r="G264" s="5"/>
      <c r="H264" s="8" t="str">
        <f t="shared" si="23"/>
        <v/>
      </c>
      <c r="I264" s="7" t="str">
        <f t="shared" si="24"/>
        <v/>
      </c>
      <c r="J264" s="3" t="str">
        <f t="shared" si="25"/>
        <v/>
      </c>
      <c r="K264" s="4" t="str">
        <f t="shared" si="26"/>
        <v/>
      </c>
      <c r="L264" s="7" t="str">
        <f t="shared" si="27"/>
        <v/>
      </c>
      <c r="M264" s="9" t="str">
        <f t="shared" si="28"/>
        <v/>
      </c>
      <c r="N264" s="9" t="str">
        <f>IF(NOT(ISERROR(VLOOKUP(B264,Deflatores!G$42:H$64,2,FALSE))),VLOOKUP(B264,Deflatores!G$42:H$64,2,FALSE),IF(OR(ISBLANK(C264),ISBLANK(B264)),"",VLOOKUP(C264,Deflatores!G$4:H$38,2,FALSE)*J264+VLOOKUP(C264,Deflatores!G$4:I$38,3,FALSE)))</f>
        <v/>
      </c>
      <c r="O264" s="5"/>
      <c r="P264" s="5"/>
      <c r="Q264" s="6"/>
      <c r="R264" s="10"/>
      <c r="S264" s="104"/>
      <c r="T264" s="162"/>
      <c r="U264" s="10"/>
    </row>
    <row r="265" spans="1:21" ht="21.75" customHeight="1" x14ac:dyDescent="0.2">
      <c r="A265" s="102"/>
      <c r="B265" s="2"/>
      <c r="C265" s="2"/>
      <c r="D265" s="2"/>
      <c r="E265" s="5"/>
      <c r="F265" s="2"/>
      <c r="G265" s="5"/>
      <c r="H265" s="8" t="str">
        <f t="shared" ref="H265:H328" si="29">IF(ISBLANK(B265),"",IF(K265="L","Baixa",IF(K265="A","Média",IF(K265="","","Alta"))))</f>
        <v/>
      </c>
      <c r="I265" s="7" t="str">
        <f t="shared" ref="I265:I328" si="30">CONCATENATE(B265,K265)</f>
        <v/>
      </c>
      <c r="J265" s="3" t="str">
        <f t="shared" ref="J265:J328" si="31">IF(ISBLANK(B265),"",IF(B265="ALI",IF(K265="L",7,IF(K265="A",10,15)),IF(B265="AIE",IF(K265="L",5,IF(K265="A",7,10)),IF(B265="SE",IF(K265="L",4,IF(K265="A",5,7)),IF(OR(B265="EE",B265="CE"),IF(K265="L",3,IF(K265="A",4,6)),0)))))</f>
        <v/>
      </c>
      <c r="K265" s="4" t="str">
        <f t="shared" ref="K265:K328" si="32">IF(OR(ISBLANK(D265),ISBLANK(F265)),IF(OR(B265="ALI",B265="AIE"),"L",IF(OR(B265="EE",B265="SE",B265="CE"),"A","")),IF(B265="EE",IF(F265&gt;=3,IF(D265&gt;=5,"H","A"),IF(F265&gt;=2,IF(D265&gt;=16,"H",IF(D265&lt;=4,"L","A")),IF(D265&lt;=15,"L","A"))),IF(OR(B265="SE",B265="CE"),IF(F265&gt;=4,IF(D265&gt;=6,"H","A"),IF(F265&gt;=2,IF(D265&gt;=20,"H",IF(D265&lt;=5,"L","A")),IF(D265&lt;=19,"L","A"))),IF(OR(B265="ALI",B265="AIE"),IF(F265&gt;=6,IF(D265&gt;=20,"H","A"),IF(F265&gt;=2,IF(D265&gt;=51,"H",IF(D265&lt;=19,"L","A")),IF(D265&lt;=50,"L","A"))),""))))</f>
        <v/>
      </c>
      <c r="L265" s="7" t="str">
        <f t="shared" ref="L265:L328" si="33">CONCATENATE(B265,C265)</f>
        <v/>
      </c>
      <c r="M265" s="9" t="str">
        <f t="shared" ref="M265:M328" si="34">IF(OR(J265="",J265=0),N265,J265)</f>
        <v/>
      </c>
      <c r="N265" s="9" t="str">
        <f>IF(NOT(ISERROR(VLOOKUP(B265,Deflatores!G$42:H$64,2,FALSE))),VLOOKUP(B265,Deflatores!G$42:H$64,2,FALSE),IF(OR(ISBLANK(C265),ISBLANK(B265)),"",VLOOKUP(C265,Deflatores!G$4:H$38,2,FALSE)*J265+VLOOKUP(C265,Deflatores!G$4:I$38,3,FALSE)))</f>
        <v/>
      </c>
      <c r="O265" s="5"/>
      <c r="P265" s="5"/>
      <c r="Q265" s="6"/>
      <c r="R265" s="10"/>
      <c r="S265" s="104"/>
      <c r="T265" s="162"/>
      <c r="U265" s="10"/>
    </row>
    <row r="266" spans="1:21" ht="21.75" customHeight="1" x14ac:dyDescent="0.2">
      <c r="A266" s="102"/>
      <c r="B266" s="2"/>
      <c r="C266" s="2"/>
      <c r="D266" s="2"/>
      <c r="E266" s="5"/>
      <c r="F266" s="2"/>
      <c r="G266" s="5"/>
      <c r="H266" s="8" t="str">
        <f t="shared" si="29"/>
        <v/>
      </c>
      <c r="I266" s="7" t="str">
        <f t="shared" si="30"/>
        <v/>
      </c>
      <c r="J266" s="3" t="str">
        <f t="shared" si="31"/>
        <v/>
      </c>
      <c r="K266" s="4" t="str">
        <f t="shared" si="32"/>
        <v/>
      </c>
      <c r="L266" s="7" t="str">
        <f t="shared" si="33"/>
        <v/>
      </c>
      <c r="M266" s="9" t="str">
        <f t="shared" si="34"/>
        <v/>
      </c>
      <c r="N266" s="9" t="str">
        <f>IF(NOT(ISERROR(VLOOKUP(B266,Deflatores!G$42:H$64,2,FALSE))),VLOOKUP(B266,Deflatores!G$42:H$64,2,FALSE),IF(OR(ISBLANK(C266),ISBLANK(B266)),"",VLOOKUP(C266,Deflatores!G$4:H$38,2,FALSE)*J266+VLOOKUP(C266,Deflatores!G$4:I$38,3,FALSE)))</f>
        <v/>
      </c>
      <c r="O266" s="5"/>
      <c r="P266" s="5"/>
      <c r="Q266" s="6"/>
      <c r="R266" s="10"/>
      <c r="S266" s="104"/>
      <c r="T266" s="162"/>
      <c r="U266" s="10"/>
    </row>
    <row r="267" spans="1:21" ht="21.75" customHeight="1" x14ac:dyDescent="0.2">
      <c r="A267" s="102"/>
      <c r="B267" s="2"/>
      <c r="C267" s="2"/>
      <c r="D267" s="2"/>
      <c r="E267" s="5"/>
      <c r="F267" s="2"/>
      <c r="G267" s="5"/>
      <c r="H267" s="8" t="str">
        <f t="shared" si="29"/>
        <v/>
      </c>
      <c r="I267" s="7" t="str">
        <f t="shared" si="30"/>
        <v/>
      </c>
      <c r="J267" s="3" t="str">
        <f t="shared" si="31"/>
        <v/>
      </c>
      <c r="K267" s="4" t="str">
        <f t="shared" si="32"/>
        <v/>
      </c>
      <c r="L267" s="7" t="str">
        <f t="shared" si="33"/>
        <v/>
      </c>
      <c r="M267" s="9" t="str">
        <f t="shared" si="34"/>
        <v/>
      </c>
      <c r="N267" s="9" t="str">
        <f>IF(NOT(ISERROR(VLOOKUP(B267,Deflatores!G$42:H$64,2,FALSE))),VLOOKUP(B267,Deflatores!G$42:H$64,2,FALSE),IF(OR(ISBLANK(C267),ISBLANK(B267)),"",VLOOKUP(C267,Deflatores!G$4:H$38,2,FALSE)*J267+VLOOKUP(C267,Deflatores!G$4:I$38,3,FALSE)))</f>
        <v/>
      </c>
      <c r="O267" s="5"/>
      <c r="P267" s="5"/>
      <c r="Q267" s="6"/>
      <c r="R267" s="10"/>
      <c r="S267" s="104"/>
      <c r="T267" s="162"/>
      <c r="U267" s="10"/>
    </row>
    <row r="268" spans="1:21" ht="21.75" customHeight="1" x14ac:dyDescent="0.2">
      <c r="A268" s="102"/>
      <c r="B268" s="2"/>
      <c r="C268" s="2"/>
      <c r="D268" s="2"/>
      <c r="E268" s="5"/>
      <c r="F268" s="2"/>
      <c r="G268" s="5"/>
      <c r="H268" s="8" t="str">
        <f t="shared" si="29"/>
        <v/>
      </c>
      <c r="I268" s="7" t="str">
        <f t="shared" si="30"/>
        <v/>
      </c>
      <c r="J268" s="3" t="str">
        <f t="shared" si="31"/>
        <v/>
      </c>
      <c r="K268" s="4" t="str">
        <f t="shared" si="32"/>
        <v/>
      </c>
      <c r="L268" s="7" t="str">
        <f t="shared" si="33"/>
        <v/>
      </c>
      <c r="M268" s="9" t="str">
        <f t="shared" si="34"/>
        <v/>
      </c>
      <c r="N268" s="9" t="str">
        <f>IF(NOT(ISERROR(VLOOKUP(B268,Deflatores!G$42:H$64,2,FALSE))),VLOOKUP(B268,Deflatores!G$42:H$64,2,FALSE),IF(OR(ISBLANK(C268),ISBLANK(B268)),"",VLOOKUP(C268,Deflatores!G$4:H$38,2,FALSE)*J268+VLOOKUP(C268,Deflatores!G$4:I$38,3,FALSE)))</f>
        <v/>
      </c>
      <c r="O268" s="5"/>
      <c r="P268" s="5"/>
      <c r="Q268" s="6"/>
      <c r="R268" s="10"/>
      <c r="S268" s="104"/>
      <c r="T268" s="162"/>
      <c r="U268" s="10"/>
    </row>
    <row r="269" spans="1:21" ht="21.75" customHeight="1" x14ac:dyDescent="0.2">
      <c r="A269" s="102"/>
      <c r="B269" s="2"/>
      <c r="C269" s="2"/>
      <c r="D269" s="2"/>
      <c r="E269" s="5"/>
      <c r="F269" s="2"/>
      <c r="G269" s="5"/>
      <c r="H269" s="8" t="str">
        <f t="shared" si="29"/>
        <v/>
      </c>
      <c r="I269" s="7" t="str">
        <f t="shared" si="30"/>
        <v/>
      </c>
      <c r="J269" s="3" t="str">
        <f t="shared" si="31"/>
        <v/>
      </c>
      <c r="K269" s="4" t="str">
        <f t="shared" si="32"/>
        <v/>
      </c>
      <c r="L269" s="7" t="str">
        <f t="shared" si="33"/>
        <v/>
      </c>
      <c r="M269" s="9" t="str">
        <f t="shared" si="34"/>
        <v/>
      </c>
      <c r="N269" s="9" t="str">
        <f>IF(NOT(ISERROR(VLOOKUP(B269,Deflatores!G$42:H$64,2,FALSE))),VLOOKUP(B269,Deflatores!G$42:H$64,2,FALSE),IF(OR(ISBLANK(C269),ISBLANK(B269)),"",VLOOKUP(C269,Deflatores!G$4:H$38,2,FALSE)*J269+VLOOKUP(C269,Deflatores!G$4:I$38,3,FALSE)))</f>
        <v/>
      </c>
      <c r="O269" s="5"/>
      <c r="P269" s="5"/>
      <c r="Q269" s="6"/>
      <c r="R269" s="10"/>
      <c r="S269" s="104"/>
      <c r="T269" s="162"/>
      <c r="U269" s="10"/>
    </row>
    <row r="270" spans="1:21" ht="21.75" customHeight="1" x14ac:dyDescent="0.2">
      <c r="A270" s="102"/>
      <c r="B270" s="2"/>
      <c r="C270" s="2"/>
      <c r="D270" s="2"/>
      <c r="E270" s="5"/>
      <c r="F270" s="2"/>
      <c r="G270" s="5"/>
      <c r="H270" s="8" t="str">
        <f t="shared" si="29"/>
        <v/>
      </c>
      <c r="I270" s="7" t="str">
        <f t="shared" si="30"/>
        <v/>
      </c>
      <c r="J270" s="3" t="str">
        <f t="shared" si="31"/>
        <v/>
      </c>
      <c r="K270" s="4" t="str">
        <f t="shared" si="32"/>
        <v/>
      </c>
      <c r="L270" s="7" t="str">
        <f t="shared" si="33"/>
        <v/>
      </c>
      <c r="M270" s="9" t="str">
        <f t="shared" si="34"/>
        <v/>
      </c>
      <c r="N270" s="9" t="str">
        <f>IF(NOT(ISERROR(VLOOKUP(B270,Deflatores!G$42:H$64,2,FALSE))),VLOOKUP(B270,Deflatores!G$42:H$64,2,FALSE),IF(OR(ISBLANK(C270),ISBLANK(B270)),"",VLOOKUP(C270,Deflatores!G$4:H$38,2,FALSE)*J270+VLOOKUP(C270,Deflatores!G$4:I$38,3,FALSE)))</f>
        <v/>
      </c>
      <c r="O270" s="5"/>
      <c r="P270" s="5"/>
      <c r="Q270" s="6"/>
      <c r="R270" s="10"/>
      <c r="S270" s="104"/>
      <c r="T270" s="162"/>
      <c r="U270" s="10"/>
    </row>
    <row r="271" spans="1:21" ht="21.75" customHeight="1" x14ac:dyDescent="0.2">
      <c r="A271" s="102"/>
      <c r="B271" s="2"/>
      <c r="C271" s="2"/>
      <c r="D271" s="2"/>
      <c r="E271" s="5"/>
      <c r="F271" s="2"/>
      <c r="G271" s="5"/>
      <c r="H271" s="8" t="str">
        <f t="shared" si="29"/>
        <v/>
      </c>
      <c r="I271" s="7" t="str">
        <f t="shared" si="30"/>
        <v/>
      </c>
      <c r="J271" s="3" t="str">
        <f t="shared" si="31"/>
        <v/>
      </c>
      <c r="K271" s="4" t="str">
        <f t="shared" si="32"/>
        <v/>
      </c>
      <c r="L271" s="7" t="str">
        <f t="shared" si="33"/>
        <v/>
      </c>
      <c r="M271" s="9" t="str">
        <f t="shared" si="34"/>
        <v/>
      </c>
      <c r="N271" s="9" t="str">
        <f>IF(NOT(ISERROR(VLOOKUP(B271,Deflatores!G$42:H$64,2,FALSE))),VLOOKUP(B271,Deflatores!G$42:H$64,2,FALSE),IF(OR(ISBLANK(C271),ISBLANK(B271)),"",VLOOKUP(C271,Deflatores!G$4:H$38,2,FALSE)*J271+VLOOKUP(C271,Deflatores!G$4:I$38,3,FALSE)))</f>
        <v/>
      </c>
      <c r="O271" s="5"/>
      <c r="P271" s="5"/>
      <c r="Q271" s="6"/>
      <c r="R271" s="10"/>
      <c r="S271" s="104"/>
      <c r="T271" s="162"/>
      <c r="U271" s="10"/>
    </row>
    <row r="272" spans="1:21" ht="21.75" customHeight="1" x14ac:dyDescent="0.2">
      <c r="A272" s="102"/>
      <c r="B272" s="2"/>
      <c r="C272" s="2"/>
      <c r="D272" s="2"/>
      <c r="E272" s="5"/>
      <c r="F272" s="2"/>
      <c r="G272" s="5"/>
      <c r="H272" s="8" t="str">
        <f t="shared" si="29"/>
        <v/>
      </c>
      <c r="I272" s="7" t="str">
        <f t="shared" si="30"/>
        <v/>
      </c>
      <c r="J272" s="3" t="str">
        <f t="shared" si="31"/>
        <v/>
      </c>
      <c r="K272" s="4" t="str">
        <f t="shared" si="32"/>
        <v/>
      </c>
      <c r="L272" s="7" t="str">
        <f t="shared" si="33"/>
        <v/>
      </c>
      <c r="M272" s="9" t="str">
        <f t="shared" si="34"/>
        <v/>
      </c>
      <c r="N272" s="9" t="str">
        <f>IF(NOT(ISERROR(VLOOKUP(B272,Deflatores!G$42:H$64,2,FALSE))),VLOOKUP(B272,Deflatores!G$42:H$64,2,FALSE),IF(OR(ISBLANK(C272),ISBLANK(B272)),"",VLOOKUP(C272,Deflatores!G$4:H$38,2,FALSE)*J272+VLOOKUP(C272,Deflatores!G$4:I$38,3,FALSE)))</f>
        <v/>
      </c>
      <c r="O272" s="5"/>
      <c r="P272" s="5"/>
      <c r="Q272" s="6"/>
      <c r="R272" s="10"/>
      <c r="S272" s="104"/>
      <c r="T272" s="162"/>
      <c r="U272" s="10"/>
    </row>
    <row r="273" spans="1:21" ht="21.75" customHeight="1" x14ac:dyDescent="0.2">
      <c r="A273" s="102"/>
      <c r="B273" s="2"/>
      <c r="C273" s="2"/>
      <c r="D273" s="2"/>
      <c r="E273" s="5"/>
      <c r="F273" s="2"/>
      <c r="G273" s="5"/>
      <c r="H273" s="8" t="str">
        <f t="shared" si="29"/>
        <v/>
      </c>
      <c r="I273" s="7" t="str">
        <f t="shared" si="30"/>
        <v/>
      </c>
      <c r="J273" s="3" t="str">
        <f t="shared" si="31"/>
        <v/>
      </c>
      <c r="K273" s="4" t="str">
        <f t="shared" si="32"/>
        <v/>
      </c>
      <c r="L273" s="7" t="str">
        <f t="shared" si="33"/>
        <v/>
      </c>
      <c r="M273" s="9" t="str">
        <f t="shared" si="34"/>
        <v/>
      </c>
      <c r="N273" s="9" t="str">
        <f>IF(NOT(ISERROR(VLOOKUP(B273,Deflatores!G$42:H$64,2,FALSE))),VLOOKUP(B273,Deflatores!G$42:H$64,2,FALSE),IF(OR(ISBLANK(C273),ISBLANK(B273)),"",VLOOKUP(C273,Deflatores!G$4:H$38,2,FALSE)*J273+VLOOKUP(C273,Deflatores!G$4:I$38,3,FALSE)))</f>
        <v/>
      </c>
      <c r="O273" s="5"/>
      <c r="P273" s="5"/>
      <c r="Q273" s="6"/>
      <c r="R273" s="10"/>
      <c r="S273" s="104"/>
      <c r="T273" s="162"/>
      <c r="U273" s="10"/>
    </row>
    <row r="274" spans="1:21" ht="21.75" customHeight="1" x14ac:dyDescent="0.2">
      <c r="A274" s="102"/>
      <c r="B274" s="2"/>
      <c r="C274" s="2"/>
      <c r="D274" s="2"/>
      <c r="E274" s="5"/>
      <c r="F274" s="2"/>
      <c r="G274" s="5"/>
      <c r="H274" s="8" t="str">
        <f t="shared" si="29"/>
        <v/>
      </c>
      <c r="I274" s="7" t="str">
        <f t="shared" si="30"/>
        <v/>
      </c>
      <c r="J274" s="3" t="str">
        <f t="shared" si="31"/>
        <v/>
      </c>
      <c r="K274" s="4" t="str">
        <f t="shared" si="32"/>
        <v/>
      </c>
      <c r="L274" s="7" t="str">
        <f t="shared" si="33"/>
        <v/>
      </c>
      <c r="M274" s="9" t="str">
        <f t="shared" si="34"/>
        <v/>
      </c>
      <c r="N274" s="9" t="str">
        <f>IF(NOT(ISERROR(VLOOKUP(B274,Deflatores!G$42:H$64,2,FALSE))),VLOOKUP(B274,Deflatores!G$42:H$64,2,FALSE),IF(OR(ISBLANK(C274),ISBLANK(B274)),"",VLOOKUP(C274,Deflatores!G$4:H$38,2,FALSE)*J274+VLOOKUP(C274,Deflatores!G$4:I$38,3,FALSE)))</f>
        <v/>
      </c>
      <c r="O274" s="5"/>
      <c r="P274" s="5"/>
      <c r="Q274" s="6"/>
      <c r="R274" s="10"/>
      <c r="S274" s="104"/>
      <c r="T274" s="162"/>
      <c r="U274" s="10"/>
    </row>
    <row r="275" spans="1:21" ht="21.75" customHeight="1" x14ac:dyDescent="0.2">
      <c r="A275" s="102"/>
      <c r="B275" s="2"/>
      <c r="C275" s="2"/>
      <c r="D275" s="2"/>
      <c r="E275" s="5"/>
      <c r="F275" s="2"/>
      <c r="G275" s="5"/>
      <c r="H275" s="8" t="str">
        <f t="shared" si="29"/>
        <v/>
      </c>
      <c r="I275" s="7" t="str">
        <f t="shared" si="30"/>
        <v/>
      </c>
      <c r="J275" s="3" t="str">
        <f t="shared" si="31"/>
        <v/>
      </c>
      <c r="K275" s="4" t="str">
        <f t="shared" si="32"/>
        <v/>
      </c>
      <c r="L275" s="7" t="str">
        <f t="shared" si="33"/>
        <v/>
      </c>
      <c r="M275" s="9" t="str">
        <f t="shared" si="34"/>
        <v/>
      </c>
      <c r="N275" s="9" t="str">
        <f>IF(NOT(ISERROR(VLOOKUP(B275,Deflatores!G$42:H$64,2,FALSE))),VLOOKUP(B275,Deflatores!G$42:H$64,2,FALSE),IF(OR(ISBLANK(C275),ISBLANK(B275)),"",VLOOKUP(C275,Deflatores!G$4:H$38,2,FALSE)*J275+VLOOKUP(C275,Deflatores!G$4:I$38,3,FALSE)))</f>
        <v/>
      </c>
      <c r="O275" s="5"/>
      <c r="P275" s="5"/>
      <c r="Q275" s="6"/>
      <c r="R275" s="10"/>
      <c r="S275" s="104"/>
      <c r="T275" s="162"/>
      <c r="U275" s="10"/>
    </row>
    <row r="276" spans="1:21" ht="21.75" customHeight="1" x14ac:dyDescent="0.2">
      <c r="A276" s="102"/>
      <c r="B276" s="2"/>
      <c r="C276" s="2"/>
      <c r="D276" s="2"/>
      <c r="E276" s="5"/>
      <c r="F276" s="2"/>
      <c r="G276" s="5"/>
      <c r="H276" s="8" t="str">
        <f t="shared" si="29"/>
        <v/>
      </c>
      <c r="I276" s="7" t="str">
        <f t="shared" si="30"/>
        <v/>
      </c>
      <c r="J276" s="3" t="str">
        <f t="shared" si="31"/>
        <v/>
      </c>
      <c r="K276" s="4" t="str">
        <f t="shared" si="32"/>
        <v/>
      </c>
      <c r="L276" s="7" t="str">
        <f t="shared" si="33"/>
        <v/>
      </c>
      <c r="M276" s="9" t="str">
        <f t="shared" si="34"/>
        <v/>
      </c>
      <c r="N276" s="9" t="str">
        <f>IF(NOT(ISERROR(VLOOKUP(B276,Deflatores!G$42:H$64,2,FALSE))),VLOOKUP(B276,Deflatores!G$42:H$64,2,FALSE),IF(OR(ISBLANK(C276),ISBLANK(B276)),"",VLOOKUP(C276,Deflatores!G$4:H$38,2,FALSE)*J276+VLOOKUP(C276,Deflatores!G$4:I$38,3,FALSE)))</f>
        <v/>
      </c>
      <c r="O276" s="5"/>
      <c r="P276" s="5"/>
      <c r="Q276" s="6"/>
      <c r="R276" s="10"/>
      <c r="S276" s="104"/>
      <c r="T276" s="162"/>
      <c r="U276" s="10"/>
    </row>
    <row r="277" spans="1:21" ht="21.75" customHeight="1" x14ac:dyDescent="0.2">
      <c r="A277" s="102"/>
      <c r="B277" s="2"/>
      <c r="C277" s="2"/>
      <c r="D277" s="2"/>
      <c r="E277" s="5"/>
      <c r="F277" s="2"/>
      <c r="G277" s="5"/>
      <c r="H277" s="8" t="str">
        <f t="shared" si="29"/>
        <v/>
      </c>
      <c r="I277" s="7" t="str">
        <f t="shared" si="30"/>
        <v/>
      </c>
      <c r="J277" s="3" t="str">
        <f t="shared" si="31"/>
        <v/>
      </c>
      <c r="K277" s="4" t="str">
        <f t="shared" si="32"/>
        <v/>
      </c>
      <c r="L277" s="7" t="str">
        <f t="shared" si="33"/>
        <v/>
      </c>
      <c r="M277" s="9" t="str">
        <f t="shared" si="34"/>
        <v/>
      </c>
      <c r="N277" s="9" t="str">
        <f>IF(NOT(ISERROR(VLOOKUP(B277,Deflatores!G$42:H$64,2,FALSE))),VLOOKUP(B277,Deflatores!G$42:H$64,2,FALSE),IF(OR(ISBLANK(C277),ISBLANK(B277)),"",VLOOKUP(C277,Deflatores!G$4:H$38,2,FALSE)*J277+VLOOKUP(C277,Deflatores!G$4:I$38,3,FALSE)))</f>
        <v/>
      </c>
      <c r="O277" s="5"/>
      <c r="P277" s="5"/>
      <c r="Q277" s="6"/>
      <c r="R277" s="10"/>
      <c r="S277" s="104"/>
      <c r="T277" s="162"/>
      <c r="U277" s="10"/>
    </row>
    <row r="278" spans="1:21" ht="21.75" customHeight="1" x14ac:dyDescent="0.2">
      <c r="A278" s="102"/>
      <c r="B278" s="2"/>
      <c r="C278" s="2"/>
      <c r="D278" s="2"/>
      <c r="E278" s="5"/>
      <c r="F278" s="2"/>
      <c r="G278" s="5"/>
      <c r="H278" s="8" t="str">
        <f t="shared" si="29"/>
        <v/>
      </c>
      <c r="I278" s="7" t="str">
        <f t="shared" si="30"/>
        <v/>
      </c>
      <c r="J278" s="3" t="str">
        <f t="shared" si="31"/>
        <v/>
      </c>
      <c r="K278" s="4" t="str">
        <f t="shared" si="32"/>
        <v/>
      </c>
      <c r="L278" s="7" t="str">
        <f t="shared" si="33"/>
        <v/>
      </c>
      <c r="M278" s="9" t="str">
        <f t="shared" si="34"/>
        <v/>
      </c>
      <c r="N278" s="9" t="str">
        <f>IF(NOT(ISERROR(VLOOKUP(B278,Deflatores!G$42:H$64,2,FALSE))),VLOOKUP(B278,Deflatores!G$42:H$64,2,FALSE),IF(OR(ISBLANK(C278),ISBLANK(B278)),"",VLOOKUP(C278,Deflatores!G$4:H$38,2,FALSE)*J278+VLOOKUP(C278,Deflatores!G$4:I$38,3,FALSE)))</f>
        <v/>
      </c>
      <c r="O278" s="5"/>
      <c r="P278" s="5"/>
      <c r="Q278" s="6"/>
      <c r="R278" s="10"/>
      <c r="S278" s="104"/>
      <c r="T278" s="162"/>
      <c r="U278" s="10"/>
    </row>
    <row r="279" spans="1:21" ht="21.75" customHeight="1" x14ac:dyDescent="0.2">
      <c r="A279" s="102"/>
      <c r="B279" s="2"/>
      <c r="C279" s="2"/>
      <c r="D279" s="2"/>
      <c r="E279" s="5"/>
      <c r="F279" s="2"/>
      <c r="G279" s="5"/>
      <c r="H279" s="8" t="str">
        <f t="shared" si="29"/>
        <v/>
      </c>
      <c r="I279" s="7" t="str">
        <f t="shared" si="30"/>
        <v/>
      </c>
      <c r="J279" s="3" t="str">
        <f t="shared" si="31"/>
        <v/>
      </c>
      <c r="K279" s="4" t="str">
        <f t="shared" si="32"/>
        <v/>
      </c>
      <c r="L279" s="7" t="str">
        <f t="shared" si="33"/>
        <v/>
      </c>
      <c r="M279" s="9" t="str">
        <f t="shared" si="34"/>
        <v/>
      </c>
      <c r="N279" s="9" t="str">
        <f>IF(NOT(ISERROR(VLOOKUP(B279,Deflatores!G$42:H$64,2,FALSE))),VLOOKUP(B279,Deflatores!G$42:H$64,2,FALSE),IF(OR(ISBLANK(C279),ISBLANK(B279)),"",VLOOKUP(C279,Deflatores!G$4:H$38,2,FALSE)*J279+VLOOKUP(C279,Deflatores!G$4:I$38,3,FALSE)))</f>
        <v/>
      </c>
      <c r="O279" s="5"/>
      <c r="P279" s="5"/>
      <c r="Q279" s="6"/>
      <c r="R279" s="10"/>
      <c r="S279" s="104"/>
      <c r="T279" s="162"/>
      <c r="U279" s="10"/>
    </row>
    <row r="280" spans="1:21" ht="21.75" customHeight="1" x14ac:dyDescent="0.2">
      <c r="A280" s="102"/>
      <c r="B280" s="2"/>
      <c r="C280" s="2"/>
      <c r="D280" s="2"/>
      <c r="E280" s="5"/>
      <c r="F280" s="2"/>
      <c r="G280" s="5"/>
      <c r="H280" s="8" t="str">
        <f t="shared" si="29"/>
        <v/>
      </c>
      <c r="I280" s="7" t="str">
        <f t="shared" si="30"/>
        <v/>
      </c>
      <c r="J280" s="3" t="str">
        <f t="shared" si="31"/>
        <v/>
      </c>
      <c r="K280" s="4" t="str">
        <f t="shared" si="32"/>
        <v/>
      </c>
      <c r="L280" s="7" t="str">
        <f t="shared" si="33"/>
        <v/>
      </c>
      <c r="M280" s="9" t="str">
        <f t="shared" si="34"/>
        <v/>
      </c>
      <c r="N280" s="9" t="str">
        <f>IF(NOT(ISERROR(VLOOKUP(B280,Deflatores!G$42:H$64,2,FALSE))),VLOOKUP(B280,Deflatores!G$42:H$64,2,FALSE),IF(OR(ISBLANK(C280),ISBLANK(B280)),"",VLOOKUP(C280,Deflatores!G$4:H$38,2,FALSE)*J280+VLOOKUP(C280,Deflatores!G$4:I$38,3,FALSE)))</f>
        <v/>
      </c>
      <c r="O280" s="5"/>
      <c r="P280" s="5"/>
      <c r="Q280" s="6"/>
      <c r="R280" s="10"/>
      <c r="S280" s="104"/>
      <c r="T280" s="162"/>
      <c r="U280" s="10"/>
    </row>
    <row r="281" spans="1:21" ht="21.75" customHeight="1" x14ac:dyDescent="0.2">
      <c r="A281" s="102"/>
      <c r="B281" s="2"/>
      <c r="C281" s="2"/>
      <c r="D281" s="2"/>
      <c r="E281" s="5"/>
      <c r="F281" s="2"/>
      <c r="G281" s="5"/>
      <c r="H281" s="8" t="str">
        <f t="shared" si="29"/>
        <v/>
      </c>
      <c r="I281" s="7" t="str">
        <f t="shared" si="30"/>
        <v/>
      </c>
      <c r="J281" s="3" t="str">
        <f t="shared" si="31"/>
        <v/>
      </c>
      <c r="K281" s="4" t="str">
        <f t="shared" si="32"/>
        <v/>
      </c>
      <c r="L281" s="7" t="str">
        <f t="shared" si="33"/>
        <v/>
      </c>
      <c r="M281" s="9" t="str">
        <f t="shared" si="34"/>
        <v/>
      </c>
      <c r="N281" s="9" t="str">
        <f>IF(NOT(ISERROR(VLOOKUP(B281,Deflatores!G$42:H$64,2,FALSE))),VLOOKUP(B281,Deflatores!G$42:H$64,2,FALSE),IF(OR(ISBLANK(C281),ISBLANK(B281)),"",VLOOKUP(C281,Deflatores!G$4:H$38,2,FALSE)*J281+VLOOKUP(C281,Deflatores!G$4:I$38,3,FALSE)))</f>
        <v/>
      </c>
      <c r="O281" s="5"/>
      <c r="P281" s="5"/>
      <c r="Q281" s="6"/>
      <c r="R281" s="10"/>
      <c r="S281" s="104"/>
      <c r="T281" s="162"/>
      <c r="U281" s="10"/>
    </row>
    <row r="282" spans="1:21" ht="21.75" customHeight="1" x14ac:dyDescent="0.2">
      <c r="A282" s="102"/>
      <c r="B282" s="2"/>
      <c r="C282" s="2"/>
      <c r="D282" s="2"/>
      <c r="E282" s="5"/>
      <c r="F282" s="2"/>
      <c r="G282" s="5"/>
      <c r="H282" s="8" t="str">
        <f t="shared" si="29"/>
        <v/>
      </c>
      <c r="I282" s="7" t="str">
        <f t="shared" si="30"/>
        <v/>
      </c>
      <c r="J282" s="3" t="str">
        <f t="shared" si="31"/>
        <v/>
      </c>
      <c r="K282" s="4" t="str">
        <f t="shared" si="32"/>
        <v/>
      </c>
      <c r="L282" s="7" t="str">
        <f t="shared" si="33"/>
        <v/>
      </c>
      <c r="M282" s="9" t="str">
        <f t="shared" si="34"/>
        <v/>
      </c>
      <c r="N282" s="9" t="str">
        <f>IF(NOT(ISERROR(VLOOKUP(B282,Deflatores!G$42:H$64,2,FALSE))),VLOOKUP(B282,Deflatores!G$42:H$64,2,FALSE),IF(OR(ISBLANK(C282),ISBLANK(B282)),"",VLOOKUP(C282,Deflatores!G$4:H$38,2,FALSE)*J282+VLOOKUP(C282,Deflatores!G$4:I$38,3,FALSE)))</f>
        <v/>
      </c>
      <c r="O282" s="5"/>
      <c r="P282" s="5"/>
      <c r="Q282" s="6"/>
      <c r="R282" s="10"/>
      <c r="S282" s="104"/>
      <c r="T282" s="162"/>
      <c r="U282" s="10"/>
    </row>
    <row r="283" spans="1:21" ht="21.75" customHeight="1" x14ac:dyDescent="0.2">
      <c r="A283" s="102"/>
      <c r="B283" s="2"/>
      <c r="C283" s="2"/>
      <c r="D283" s="2"/>
      <c r="E283" s="5"/>
      <c r="F283" s="2"/>
      <c r="G283" s="5"/>
      <c r="H283" s="8" t="str">
        <f t="shared" si="29"/>
        <v/>
      </c>
      <c r="I283" s="7" t="str">
        <f t="shared" si="30"/>
        <v/>
      </c>
      <c r="J283" s="3" t="str">
        <f t="shared" si="31"/>
        <v/>
      </c>
      <c r="K283" s="4" t="str">
        <f t="shared" si="32"/>
        <v/>
      </c>
      <c r="L283" s="7" t="str">
        <f t="shared" si="33"/>
        <v/>
      </c>
      <c r="M283" s="9" t="str">
        <f t="shared" si="34"/>
        <v/>
      </c>
      <c r="N283" s="9" t="str">
        <f>IF(NOT(ISERROR(VLOOKUP(B283,Deflatores!G$42:H$64,2,FALSE))),VLOOKUP(B283,Deflatores!G$42:H$64,2,FALSE),IF(OR(ISBLANK(C283),ISBLANK(B283)),"",VLOOKUP(C283,Deflatores!G$4:H$38,2,FALSE)*J283+VLOOKUP(C283,Deflatores!G$4:I$38,3,FALSE)))</f>
        <v/>
      </c>
      <c r="O283" s="5"/>
      <c r="P283" s="5"/>
      <c r="Q283" s="6"/>
      <c r="R283" s="10"/>
      <c r="S283" s="104"/>
      <c r="T283" s="162"/>
      <c r="U283" s="10"/>
    </row>
    <row r="284" spans="1:21" ht="21.75" customHeight="1" x14ac:dyDescent="0.2">
      <c r="A284" s="102"/>
      <c r="B284" s="2"/>
      <c r="C284" s="2"/>
      <c r="D284" s="2"/>
      <c r="E284" s="5"/>
      <c r="F284" s="2"/>
      <c r="G284" s="5"/>
      <c r="H284" s="8" t="str">
        <f t="shared" si="29"/>
        <v/>
      </c>
      <c r="I284" s="7" t="str">
        <f t="shared" si="30"/>
        <v/>
      </c>
      <c r="J284" s="3" t="str">
        <f t="shared" si="31"/>
        <v/>
      </c>
      <c r="K284" s="4" t="str">
        <f t="shared" si="32"/>
        <v/>
      </c>
      <c r="L284" s="7" t="str">
        <f t="shared" si="33"/>
        <v/>
      </c>
      <c r="M284" s="9" t="str">
        <f t="shared" si="34"/>
        <v/>
      </c>
      <c r="N284" s="9" t="str">
        <f>IF(NOT(ISERROR(VLOOKUP(B284,Deflatores!G$42:H$64,2,FALSE))),VLOOKUP(B284,Deflatores!G$42:H$64,2,FALSE),IF(OR(ISBLANK(C284),ISBLANK(B284)),"",VLOOKUP(C284,Deflatores!G$4:H$38,2,FALSE)*J284+VLOOKUP(C284,Deflatores!G$4:I$38,3,FALSE)))</f>
        <v/>
      </c>
      <c r="O284" s="5"/>
      <c r="P284" s="5"/>
      <c r="Q284" s="6"/>
      <c r="R284" s="10"/>
      <c r="S284" s="104"/>
      <c r="T284" s="162"/>
      <c r="U284" s="10"/>
    </row>
    <row r="285" spans="1:21" ht="21.75" customHeight="1" x14ac:dyDescent="0.2">
      <c r="A285" s="102"/>
      <c r="B285" s="2"/>
      <c r="C285" s="2"/>
      <c r="D285" s="2"/>
      <c r="E285" s="5"/>
      <c r="F285" s="2"/>
      <c r="G285" s="5"/>
      <c r="H285" s="8" t="str">
        <f t="shared" si="29"/>
        <v/>
      </c>
      <c r="I285" s="7" t="str">
        <f t="shared" si="30"/>
        <v/>
      </c>
      <c r="J285" s="3" t="str">
        <f t="shared" si="31"/>
        <v/>
      </c>
      <c r="K285" s="4" t="str">
        <f t="shared" si="32"/>
        <v/>
      </c>
      <c r="L285" s="7" t="str">
        <f t="shared" si="33"/>
        <v/>
      </c>
      <c r="M285" s="9" t="str">
        <f t="shared" si="34"/>
        <v/>
      </c>
      <c r="N285" s="9" t="str">
        <f>IF(NOT(ISERROR(VLOOKUP(B285,Deflatores!G$42:H$64,2,FALSE))),VLOOKUP(B285,Deflatores!G$42:H$64,2,FALSE),IF(OR(ISBLANK(C285),ISBLANK(B285)),"",VLOOKUP(C285,Deflatores!G$4:H$38,2,FALSE)*J285+VLOOKUP(C285,Deflatores!G$4:I$38,3,FALSE)))</f>
        <v/>
      </c>
      <c r="O285" s="5"/>
      <c r="P285" s="5"/>
      <c r="Q285" s="6"/>
      <c r="R285" s="10"/>
      <c r="S285" s="104"/>
      <c r="T285" s="162"/>
      <c r="U285" s="10"/>
    </row>
    <row r="286" spans="1:21" ht="21.75" customHeight="1" x14ac:dyDescent="0.2">
      <c r="A286" s="102"/>
      <c r="B286" s="2"/>
      <c r="C286" s="2"/>
      <c r="D286" s="2"/>
      <c r="E286" s="5"/>
      <c r="F286" s="2"/>
      <c r="G286" s="5"/>
      <c r="H286" s="8" t="str">
        <f t="shared" si="29"/>
        <v/>
      </c>
      <c r="I286" s="7" t="str">
        <f t="shared" si="30"/>
        <v/>
      </c>
      <c r="J286" s="3" t="str">
        <f t="shared" si="31"/>
        <v/>
      </c>
      <c r="K286" s="4" t="str">
        <f t="shared" si="32"/>
        <v/>
      </c>
      <c r="L286" s="7" t="str">
        <f t="shared" si="33"/>
        <v/>
      </c>
      <c r="M286" s="9" t="str">
        <f t="shared" si="34"/>
        <v/>
      </c>
      <c r="N286" s="9" t="str">
        <f>IF(NOT(ISERROR(VLOOKUP(B286,Deflatores!G$42:H$64,2,FALSE))),VLOOKUP(B286,Deflatores!G$42:H$64,2,FALSE),IF(OR(ISBLANK(C286),ISBLANK(B286)),"",VLOOKUP(C286,Deflatores!G$4:H$38,2,FALSE)*J286+VLOOKUP(C286,Deflatores!G$4:I$38,3,FALSE)))</f>
        <v/>
      </c>
      <c r="O286" s="5"/>
      <c r="P286" s="5"/>
      <c r="Q286" s="6"/>
      <c r="R286" s="10"/>
      <c r="S286" s="104"/>
      <c r="T286" s="162"/>
      <c r="U286" s="10"/>
    </row>
    <row r="287" spans="1:21" ht="21.75" customHeight="1" x14ac:dyDescent="0.2">
      <c r="A287" s="102"/>
      <c r="B287" s="2"/>
      <c r="C287" s="2"/>
      <c r="D287" s="2"/>
      <c r="E287" s="5"/>
      <c r="F287" s="2"/>
      <c r="G287" s="5"/>
      <c r="H287" s="8" t="str">
        <f t="shared" si="29"/>
        <v/>
      </c>
      <c r="I287" s="7" t="str">
        <f t="shared" si="30"/>
        <v/>
      </c>
      <c r="J287" s="3" t="str">
        <f t="shared" si="31"/>
        <v/>
      </c>
      <c r="K287" s="4" t="str">
        <f t="shared" si="32"/>
        <v/>
      </c>
      <c r="L287" s="7" t="str">
        <f t="shared" si="33"/>
        <v/>
      </c>
      <c r="M287" s="9" t="str">
        <f t="shared" si="34"/>
        <v/>
      </c>
      <c r="N287" s="9" t="str">
        <f>IF(NOT(ISERROR(VLOOKUP(B287,Deflatores!G$42:H$64,2,FALSE))),VLOOKUP(B287,Deflatores!G$42:H$64,2,FALSE),IF(OR(ISBLANK(C287),ISBLANK(B287)),"",VLOOKUP(C287,Deflatores!G$4:H$38,2,FALSE)*J287+VLOOKUP(C287,Deflatores!G$4:I$38,3,FALSE)))</f>
        <v/>
      </c>
      <c r="O287" s="5"/>
      <c r="P287" s="5"/>
      <c r="Q287" s="6"/>
      <c r="R287" s="10"/>
      <c r="S287" s="104"/>
      <c r="T287" s="162"/>
      <c r="U287" s="10"/>
    </row>
    <row r="288" spans="1:21" ht="21.75" customHeight="1" x14ac:dyDescent="0.2">
      <c r="A288" s="102"/>
      <c r="B288" s="2"/>
      <c r="C288" s="2"/>
      <c r="D288" s="2"/>
      <c r="E288" s="5"/>
      <c r="F288" s="2"/>
      <c r="G288" s="5"/>
      <c r="H288" s="8" t="str">
        <f t="shared" si="29"/>
        <v/>
      </c>
      <c r="I288" s="7" t="str">
        <f t="shared" si="30"/>
        <v/>
      </c>
      <c r="J288" s="3" t="str">
        <f t="shared" si="31"/>
        <v/>
      </c>
      <c r="K288" s="4" t="str">
        <f t="shared" si="32"/>
        <v/>
      </c>
      <c r="L288" s="7" t="str">
        <f t="shared" si="33"/>
        <v/>
      </c>
      <c r="M288" s="9" t="str">
        <f t="shared" si="34"/>
        <v/>
      </c>
      <c r="N288" s="9" t="str">
        <f>IF(NOT(ISERROR(VLOOKUP(B288,Deflatores!G$42:H$64,2,FALSE))),VLOOKUP(B288,Deflatores!G$42:H$64,2,FALSE),IF(OR(ISBLANK(C288),ISBLANK(B288)),"",VLOOKUP(C288,Deflatores!G$4:H$38,2,FALSE)*J288+VLOOKUP(C288,Deflatores!G$4:I$38,3,FALSE)))</f>
        <v/>
      </c>
      <c r="O288" s="5"/>
      <c r="P288" s="5"/>
      <c r="Q288" s="6"/>
      <c r="R288" s="10"/>
      <c r="S288" s="104"/>
      <c r="T288" s="162"/>
      <c r="U288" s="10"/>
    </row>
    <row r="289" spans="1:21" ht="21.75" customHeight="1" x14ac:dyDescent="0.2">
      <c r="A289" s="102"/>
      <c r="B289" s="2"/>
      <c r="C289" s="2"/>
      <c r="D289" s="2"/>
      <c r="E289" s="5"/>
      <c r="F289" s="2"/>
      <c r="G289" s="5"/>
      <c r="H289" s="8" t="str">
        <f t="shared" si="29"/>
        <v/>
      </c>
      <c r="I289" s="7" t="str">
        <f t="shared" si="30"/>
        <v/>
      </c>
      <c r="J289" s="3" t="str">
        <f t="shared" si="31"/>
        <v/>
      </c>
      <c r="K289" s="4" t="str">
        <f t="shared" si="32"/>
        <v/>
      </c>
      <c r="L289" s="7" t="str">
        <f t="shared" si="33"/>
        <v/>
      </c>
      <c r="M289" s="9" t="str">
        <f t="shared" si="34"/>
        <v/>
      </c>
      <c r="N289" s="9" t="str">
        <f>IF(NOT(ISERROR(VLOOKUP(B289,Deflatores!G$42:H$64,2,FALSE))),VLOOKUP(B289,Deflatores!G$42:H$64,2,FALSE),IF(OR(ISBLANK(C289),ISBLANK(B289)),"",VLOOKUP(C289,Deflatores!G$4:H$38,2,FALSE)*J289+VLOOKUP(C289,Deflatores!G$4:I$38,3,FALSE)))</f>
        <v/>
      </c>
      <c r="O289" s="5"/>
      <c r="P289" s="5"/>
      <c r="Q289" s="6"/>
      <c r="R289" s="10"/>
      <c r="S289" s="104"/>
      <c r="T289" s="162"/>
      <c r="U289" s="10"/>
    </row>
    <row r="290" spans="1:21" ht="21.75" customHeight="1" x14ac:dyDescent="0.2">
      <c r="A290" s="102"/>
      <c r="B290" s="2"/>
      <c r="C290" s="2"/>
      <c r="D290" s="2"/>
      <c r="E290" s="5"/>
      <c r="F290" s="2"/>
      <c r="G290" s="5"/>
      <c r="H290" s="8" t="str">
        <f t="shared" si="29"/>
        <v/>
      </c>
      <c r="I290" s="7" t="str">
        <f t="shared" si="30"/>
        <v/>
      </c>
      <c r="J290" s="3" t="str">
        <f t="shared" si="31"/>
        <v/>
      </c>
      <c r="K290" s="4" t="str">
        <f t="shared" si="32"/>
        <v/>
      </c>
      <c r="L290" s="7" t="str">
        <f t="shared" si="33"/>
        <v/>
      </c>
      <c r="M290" s="9" t="str">
        <f t="shared" si="34"/>
        <v/>
      </c>
      <c r="N290" s="9" t="str">
        <f>IF(NOT(ISERROR(VLOOKUP(B290,Deflatores!G$42:H$64,2,FALSE))),VLOOKUP(B290,Deflatores!G$42:H$64,2,FALSE),IF(OR(ISBLANK(C290),ISBLANK(B290)),"",VLOOKUP(C290,Deflatores!G$4:H$38,2,FALSE)*J290+VLOOKUP(C290,Deflatores!G$4:I$38,3,FALSE)))</f>
        <v/>
      </c>
      <c r="O290" s="5"/>
      <c r="P290" s="5"/>
      <c r="Q290" s="6"/>
      <c r="R290" s="10"/>
      <c r="S290" s="104"/>
      <c r="T290" s="162"/>
      <c r="U290" s="10"/>
    </row>
    <row r="291" spans="1:21" ht="21.75" customHeight="1" x14ac:dyDescent="0.2">
      <c r="A291" s="102"/>
      <c r="B291" s="2"/>
      <c r="C291" s="2"/>
      <c r="D291" s="2"/>
      <c r="E291" s="5"/>
      <c r="F291" s="2"/>
      <c r="G291" s="5"/>
      <c r="H291" s="8" t="str">
        <f t="shared" si="29"/>
        <v/>
      </c>
      <c r="I291" s="7" t="str">
        <f t="shared" si="30"/>
        <v/>
      </c>
      <c r="J291" s="3" t="str">
        <f t="shared" si="31"/>
        <v/>
      </c>
      <c r="K291" s="4" t="str">
        <f t="shared" si="32"/>
        <v/>
      </c>
      <c r="L291" s="7" t="str">
        <f t="shared" si="33"/>
        <v/>
      </c>
      <c r="M291" s="9" t="str">
        <f t="shared" si="34"/>
        <v/>
      </c>
      <c r="N291" s="9" t="str">
        <f>IF(NOT(ISERROR(VLOOKUP(B291,Deflatores!G$42:H$64,2,FALSE))),VLOOKUP(B291,Deflatores!G$42:H$64,2,FALSE),IF(OR(ISBLANK(C291),ISBLANK(B291)),"",VLOOKUP(C291,Deflatores!G$4:H$38,2,FALSE)*J291+VLOOKUP(C291,Deflatores!G$4:I$38,3,FALSE)))</f>
        <v/>
      </c>
      <c r="O291" s="5"/>
      <c r="P291" s="5"/>
      <c r="Q291" s="6"/>
      <c r="R291" s="10"/>
      <c r="S291" s="104"/>
      <c r="T291" s="162"/>
      <c r="U291" s="10"/>
    </row>
    <row r="292" spans="1:21" ht="21.75" customHeight="1" x14ac:dyDescent="0.2">
      <c r="A292" s="102"/>
      <c r="B292" s="2"/>
      <c r="C292" s="2"/>
      <c r="D292" s="2"/>
      <c r="E292" s="5"/>
      <c r="F292" s="2"/>
      <c r="G292" s="5"/>
      <c r="H292" s="8" t="str">
        <f t="shared" si="29"/>
        <v/>
      </c>
      <c r="I292" s="7" t="str">
        <f t="shared" si="30"/>
        <v/>
      </c>
      <c r="J292" s="3" t="str">
        <f t="shared" si="31"/>
        <v/>
      </c>
      <c r="K292" s="4" t="str">
        <f t="shared" si="32"/>
        <v/>
      </c>
      <c r="L292" s="7" t="str">
        <f t="shared" si="33"/>
        <v/>
      </c>
      <c r="M292" s="9" t="str">
        <f t="shared" si="34"/>
        <v/>
      </c>
      <c r="N292" s="9" t="str">
        <f>IF(NOT(ISERROR(VLOOKUP(B292,Deflatores!G$42:H$64,2,FALSE))),VLOOKUP(B292,Deflatores!G$42:H$64,2,FALSE),IF(OR(ISBLANK(C292),ISBLANK(B292)),"",VLOOKUP(C292,Deflatores!G$4:H$38,2,FALSE)*J292+VLOOKUP(C292,Deflatores!G$4:I$38,3,FALSE)))</f>
        <v/>
      </c>
      <c r="O292" s="5"/>
      <c r="P292" s="5"/>
      <c r="Q292" s="6"/>
      <c r="R292" s="10"/>
      <c r="S292" s="104"/>
      <c r="T292" s="162"/>
      <c r="U292" s="10"/>
    </row>
    <row r="293" spans="1:21" ht="21.75" customHeight="1" x14ac:dyDescent="0.2">
      <c r="A293" s="102"/>
      <c r="B293" s="2"/>
      <c r="C293" s="2"/>
      <c r="D293" s="2"/>
      <c r="E293" s="5"/>
      <c r="F293" s="2"/>
      <c r="G293" s="5"/>
      <c r="H293" s="8" t="str">
        <f t="shared" si="29"/>
        <v/>
      </c>
      <c r="I293" s="7" t="str">
        <f t="shared" si="30"/>
        <v/>
      </c>
      <c r="J293" s="3" t="str">
        <f t="shared" si="31"/>
        <v/>
      </c>
      <c r="K293" s="4" t="str">
        <f t="shared" si="32"/>
        <v/>
      </c>
      <c r="L293" s="7" t="str">
        <f t="shared" si="33"/>
        <v/>
      </c>
      <c r="M293" s="9" t="str">
        <f t="shared" si="34"/>
        <v/>
      </c>
      <c r="N293" s="9" t="str">
        <f>IF(NOT(ISERROR(VLOOKUP(B293,Deflatores!G$42:H$64,2,FALSE))),VLOOKUP(B293,Deflatores!G$42:H$64,2,FALSE),IF(OR(ISBLANK(C293),ISBLANK(B293)),"",VLOOKUP(C293,Deflatores!G$4:H$38,2,FALSE)*J293+VLOOKUP(C293,Deflatores!G$4:I$38,3,FALSE)))</f>
        <v/>
      </c>
      <c r="O293" s="5"/>
      <c r="P293" s="5"/>
      <c r="Q293" s="6"/>
      <c r="R293" s="10"/>
      <c r="S293" s="104"/>
      <c r="T293" s="162"/>
      <c r="U293" s="10"/>
    </row>
    <row r="294" spans="1:21" ht="21.75" customHeight="1" x14ac:dyDescent="0.2">
      <c r="A294" s="102"/>
      <c r="B294" s="2"/>
      <c r="C294" s="2"/>
      <c r="D294" s="2"/>
      <c r="E294" s="5"/>
      <c r="F294" s="2"/>
      <c r="G294" s="5"/>
      <c r="H294" s="8" t="str">
        <f t="shared" si="29"/>
        <v/>
      </c>
      <c r="I294" s="7" t="str">
        <f t="shared" si="30"/>
        <v/>
      </c>
      <c r="J294" s="3" t="str">
        <f t="shared" si="31"/>
        <v/>
      </c>
      <c r="K294" s="4" t="str">
        <f t="shared" si="32"/>
        <v/>
      </c>
      <c r="L294" s="7" t="str">
        <f t="shared" si="33"/>
        <v/>
      </c>
      <c r="M294" s="9" t="str">
        <f t="shared" si="34"/>
        <v/>
      </c>
      <c r="N294" s="9" t="str">
        <f>IF(NOT(ISERROR(VLOOKUP(B294,Deflatores!G$42:H$64,2,FALSE))),VLOOKUP(B294,Deflatores!G$42:H$64,2,FALSE),IF(OR(ISBLANK(C294),ISBLANK(B294)),"",VLOOKUP(C294,Deflatores!G$4:H$38,2,FALSE)*J294+VLOOKUP(C294,Deflatores!G$4:I$38,3,FALSE)))</f>
        <v/>
      </c>
      <c r="O294" s="5"/>
      <c r="P294" s="5"/>
      <c r="Q294" s="6"/>
      <c r="R294" s="10"/>
      <c r="S294" s="104"/>
      <c r="T294" s="162"/>
      <c r="U294" s="10"/>
    </row>
    <row r="295" spans="1:21" ht="21.75" customHeight="1" x14ac:dyDescent="0.2">
      <c r="A295" s="102"/>
      <c r="B295" s="2"/>
      <c r="C295" s="2"/>
      <c r="D295" s="2"/>
      <c r="E295" s="5"/>
      <c r="F295" s="2"/>
      <c r="G295" s="5"/>
      <c r="H295" s="8" t="str">
        <f t="shared" si="29"/>
        <v/>
      </c>
      <c r="I295" s="7" t="str">
        <f t="shared" si="30"/>
        <v/>
      </c>
      <c r="J295" s="3" t="str">
        <f t="shared" si="31"/>
        <v/>
      </c>
      <c r="K295" s="4" t="str">
        <f t="shared" si="32"/>
        <v/>
      </c>
      <c r="L295" s="7" t="str">
        <f t="shared" si="33"/>
        <v/>
      </c>
      <c r="M295" s="9" t="str">
        <f t="shared" si="34"/>
        <v/>
      </c>
      <c r="N295" s="9" t="str">
        <f>IF(NOT(ISERROR(VLOOKUP(B295,Deflatores!G$42:H$64,2,FALSE))),VLOOKUP(B295,Deflatores!G$42:H$64,2,FALSE),IF(OR(ISBLANK(C295),ISBLANK(B295)),"",VLOOKUP(C295,Deflatores!G$4:H$38,2,FALSE)*J295+VLOOKUP(C295,Deflatores!G$4:I$38,3,FALSE)))</f>
        <v/>
      </c>
      <c r="O295" s="5"/>
      <c r="P295" s="5"/>
      <c r="Q295" s="6"/>
      <c r="R295" s="10"/>
      <c r="S295" s="104"/>
      <c r="T295" s="162"/>
      <c r="U295" s="10"/>
    </row>
    <row r="296" spans="1:21" ht="21.75" customHeight="1" x14ac:dyDescent="0.2">
      <c r="A296" s="102"/>
      <c r="B296" s="2"/>
      <c r="C296" s="2"/>
      <c r="D296" s="2"/>
      <c r="E296" s="5"/>
      <c r="F296" s="2"/>
      <c r="G296" s="5"/>
      <c r="H296" s="8" t="str">
        <f t="shared" si="29"/>
        <v/>
      </c>
      <c r="I296" s="7" t="str">
        <f t="shared" si="30"/>
        <v/>
      </c>
      <c r="J296" s="3" t="str">
        <f t="shared" si="31"/>
        <v/>
      </c>
      <c r="K296" s="4" t="str">
        <f t="shared" si="32"/>
        <v/>
      </c>
      <c r="L296" s="7" t="str">
        <f t="shared" si="33"/>
        <v/>
      </c>
      <c r="M296" s="9" t="str">
        <f t="shared" si="34"/>
        <v/>
      </c>
      <c r="N296" s="9" t="str">
        <f>IF(NOT(ISERROR(VLOOKUP(B296,Deflatores!G$42:H$64,2,FALSE))),VLOOKUP(B296,Deflatores!G$42:H$64,2,FALSE),IF(OR(ISBLANK(C296),ISBLANK(B296)),"",VLOOKUP(C296,Deflatores!G$4:H$38,2,FALSE)*J296+VLOOKUP(C296,Deflatores!G$4:I$38,3,FALSE)))</f>
        <v/>
      </c>
      <c r="O296" s="5"/>
      <c r="P296" s="5"/>
      <c r="Q296" s="6"/>
      <c r="R296" s="10"/>
      <c r="S296" s="104"/>
      <c r="T296" s="162"/>
      <c r="U296" s="10"/>
    </row>
    <row r="297" spans="1:21" ht="21.75" customHeight="1" x14ac:dyDescent="0.2">
      <c r="A297" s="102"/>
      <c r="B297" s="2"/>
      <c r="C297" s="2"/>
      <c r="D297" s="2"/>
      <c r="E297" s="5"/>
      <c r="F297" s="2"/>
      <c r="G297" s="5"/>
      <c r="H297" s="8" t="str">
        <f t="shared" si="29"/>
        <v/>
      </c>
      <c r="I297" s="7" t="str">
        <f t="shared" si="30"/>
        <v/>
      </c>
      <c r="J297" s="3" t="str">
        <f t="shared" si="31"/>
        <v/>
      </c>
      <c r="K297" s="4" t="str">
        <f t="shared" si="32"/>
        <v/>
      </c>
      <c r="L297" s="7" t="str">
        <f t="shared" si="33"/>
        <v/>
      </c>
      <c r="M297" s="9" t="str">
        <f t="shared" si="34"/>
        <v/>
      </c>
      <c r="N297" s="9" t="str">
        <f>IF(NOT(ISERROR(VLOOKUP(B297,Deflatores!G$42:H$64,2,FALSE))),VLOOKUP(B297,Deflatores!G$42:H$64,2,FALSE),IF(OR(ISBLANK(C297),ISBLANK(B297)),"",VLOOKUP(C297,Deflatores!G$4:H$38,2,FALSE)*J297+VLOOKUP(C297,Deflatores!G$4:I$38,3,FALSE)))</f>
        <v/>
      </c>
      <c r="O297" s="5"/>
      <c r="P297" s="5"/>
      <c r="Q297" s="6"/>
      <c r="R297" s="10"/>
      <c r="S297" s="104"/>
      <c r="T297" s="162"/>
      <c r="U297" s="10"/>
    </row>
    <row r="298" spans="1:21" ht="21.75" customHeight="1" x14ac:dyDescent="0.2">
      <c r="A298" s="102"/>
      <c r="B298" s="2"/>
      <c r="C298" s="2"/>
      <c r="D298" s="2"/>
      <c r="E298" s="5"/>
      <c r="F298" s="2"/>
      <c r="G298" s="5"/>
      <c r="H298" s="8" t="str">
        <f t="shared" si="29"/>
        <v/>
      </c>
      <c r="I298" s="7" t="str">
        <f t="shared" si="30"/>
        <v/>
      </c>
      <c r="J298" s="3" t="str">
        <f t="shared" si="31"/>
        <v/>
      </c>
      <c r="K298" s="4" t="str">
        <f t="shared" si="32"/>
        <v/>
      </c>
      <c r="L298" s="7" t="str">
        <f t="shared" si="33"/>
        <v/>
      </c>
      <c r="M298" s="9" t="str">
        <f t="shared" si="34"/>
        <v/>
      </c>
      <c r="N298" s="9" t="str">
        <f>IF(NOT(ISERROR(VLOOKUP(B298,Deflatores!G$42:H$64,2,FALSE))),VLOOKUP(B298,Deflatores!G$42:H$64,2,FALSE),IF(OR(ISBLANK(C298),ISBLANK(B298)),"",VLOOKUP(C298,Deflatores!G$4:H$38,2,FALSE)*J298+VLOOKUP(C298,Deflatores!G$4:I$38,3,FALSE)))</f>
        <v/>
      </c>
      <c r="O298" s="5"/>
      <c r="P298" s="5"/>
      <c r="Q298" s="6"/>
      <c r="R298" s="10"/>
      <c r="S298" s="104"/>
      <c r="T298" s="162"/>
      <c r="U298" s="10"/>
    </row>
    <row r="299" spans="1:21" ht="21.75" customHeight="1" x14ac:dyDescent="0.2">
      <c r="A299" s="102"/>
      <c r="B299" s="2"/>
      <c r="C299" s="2"/>
      <c r="D299" s="2"/>
      <c r="E299" s="5"/>
      <c r="F299" s="2"/>
      <c r="G299" s="5"/>
      <c r="H299" s="8" t="str">
        <f t="shared" si="29"/>
        <v/>
      </c>
      <c r="I299" s="7" t="str">
        <f t="shared" si="30"/>
        <v/>
      </c>
      <c r="J299" s="3" t="str">
        <f t="shared" si="31"/>
        <v/>
      </c>
      <c r="K299" s="4" t="str">
        <f t="shared" si="32"/>
        <v/>
      </c>
      <c r="L299" s="7" t="str">
        <f t="shared" si="33"/>
        <v/>
      </c>
      <c r="M299" s="9" t="str">
        <f t="shared" si="34"/>
        <v/>
      </c>
      <c r="N299" s="9" t="str">
        <f>IF(NOT(ISERROR(VLOOKUP(B299,Deflatores!G$42:H$64,2,FALSE))),VLOOKUP(B299,Deflatores!G$42:H$64,2,FALSE),IF(OR(ISBLANK(C299),ISBLANK(B299)),"",VLOOKUP(C299,Deflatores!G$4:H$38,2,FALSE)*J299+VLOOKUP(C299,Deflatores!G$4:I$38,3,FALSE)))</f>
        <v/>
      </c>
      <c r="O299" s="5"/>
      <c r="P299" s="5"/>
      <c r="Q299" s="6"/>
      <c r="R299" s="10"/>
      <c r="S299" s="104"/>
      <c r="T299" s="162"/>
      <c r="U299" s="10"/>
    </row>
    <row r="300" spans="1:21" ht="21.75" customHeight="1" x14ac:dyDescent="0.2">
      <c r="A300" s="102"/>
      <c r="B300" s="2"/>
      <c r="C300" s="2"/>
      <c r="D300" s="2"/>
      <c r="E300" s="5"/>
      <c r="F300" s="2"/>
      <c r="G300" s="5"/>
      <c r="H300" s="8" t="str">
        <f t="shared" si="29"/>
        <v/>
      </c>
      <c r="I300" s="7" t="str">
        <f t="shared" si="30"/>
        <v/>
      </c>
      <c r="J300" s="3" t="str">
        <f t="shared" si="31"/>
        <v/>
      </c>
      <c r="K300" s="4" t="str">
        <f t="shared" si="32"/>
        <v/>
      </c>
      <c r="L300" s="7" t="str">
        <f t="shared" si="33"/>
        <v/>
      </c>
      <c r="M300" s="9" t="str">
        <f t="shared" si="34"/>
        <v/>
      </c>
      <c r="N300" s="9" t="str">
        <f>IF(NOT(ISERROR(VLOOKUP(B300,Deflatores!G$42:H$64,2,FALSE))),VLOOKUP(B300,Deflatores!G$42:H$64,2,FALSE),IF(OR(ISBLANK(C300),ISBLANK(B300)),"",VLOOKUP(C300,Deflatores!G$4:H$38,2,FALSE)*J300+VLOOKUP(C300,Deflatores!G$4:I$38,3,FALSE)))</f>
        <v/>
      </c>
      <c r="O300" s="5"/>
      <c r="P300" s="5"/>
      <c r="Q300" s="6"/>
      <c r="R300" s="10"/>
      <c r="S300" s="104"/>
      <c r="T300" s="162"/>
      <c r="U300" s="10"/>
    </row>
    <row r="301" spans="1:21" ht="21.75" customHeight="1" x14ac:dyDescent="0.2">
      <c r="A301" s="102"/>
      <c r="B301" s="2"/>
      <c r="C301" s="2"/>
      <c r="D301" s="2"/>
      <c r="E301" s="5"/>
      <c r="F301" s="2"/>
      <c r="G301" s="5"/>
      <c r="H301" s="8" t="str">
        <f t="shared" si="29"/>
        <v/>
      </c>
      <c r="I301" s="7" t="str">
        <f t="shared" si="30"/>
        <v/>
      </c>
      <c r="J301" s="3" t="str">
        <f t="shared" si="31"/>
        <v/>
      </c>
      <c r="K301" s="4" t="str">
        <f t="shared" si="32"/>
        <v/>
      </c>
      <c r="L301" s="7" t="str">
        <f t="shared" si="33"/>
        <v/>
      </c>
      <c r="M301" s="9" t="str">
        <f t="shared" si="34"/>
        <v/>
      </c>
      <c r="N301" s="9" t="str">
        <f>IF(NOT(ISERROR(VLOOKUP(B301,Deflatores!G$42:H$64,2,FALSE))),VLOOKUP(B301,Deflatores!G$42:H$64,2,FALSE),IF(OR(ISBLANK(C301),ISBLANK(B301)),"",VLOOKUP(C301,Deflatores!G$4:H$38,2,FALSE)*J301+VLOOKUP(C301,Deflatores!G$4:I$38,3,FALSE)))</f>
        <v/>
      </c>
      <c r="O301" s="5"/>
      <c r="P301" s="5"/>
      <c r="Q301" s="6"/>
      <c r="R301" s="10"/>
      <c r="S301" s="104"/>
      <c r="T301" s="162"/>
      <c r="U301" s="10"/>
    </row>
    <row r="302" spans="1:21" ht="21.75" customHeight="1" x14ac:dyDescent="0.2">
      <c r="A302" s="102"/>
      <c r="B302" s="2"/>
      <c r="C302" s="2"/>
      <c r="D302" s="2"/>
      <c r="E302" s="5"/>
      <c r="F302" s="2"/>
      <c r="G302" s="5"/>
      <c r="H302" s="8" t="str">
        <f t="shared" si="29"/>
        <v/>
      </c>
      <c r="I302" s="7" t="str">
        <f t="shared" si="30"/>
        <v/>
      </c>
      <c r="J302" s="3" t="str">
        <f t="shared" si="31"/>
        <v/>
      </c>
      <c r="K302" s="4" t="str">
        <f t="shared" si="32"/>
        <v/>
      </c>
      <c r="L302" s="7" t="str">
        <f t="shared" si="33"/>
        <v/>
      </c>
      <c r="M302" s="9" t="str">
        <f t="shared" si="34"/>
        <v/>
      </c>
      <c r="N302" s="9" t="str">
        <f>IF(NOT(ISERROR(VLOOKUP(B302,Deflatores!G$42:H$64,2,FALSE))),VLOOKUP(B302,Deflatores!G$42:H$64,2,FALSE),IF(OR(ISBLANK(C302),ISBLANK(B302)),"",VLOOKUP(C302,Deflatores!G$4:H$38,2,FALSE)*J302+VLOOKUP(C302,Deflatores!G$4:I$38,3,FALSE)))</f>
        <v/>
      </c>
      <c r="O302" s="5"/>
      <c r="P302" s="5"/>
      <c r="Q302" s="6"/>
      <c r="R302" s="10"/>
      <c r="S302" s="104"/>
      <c r="T302" s="162"/>
      <c r="U302" s="10"/>
    </row>
    <row r="303" spans="1:21" ht="21.75" customHeight="1" x14ac:dyDescent="0.2">
      <c r="A303" s="102"/>
      <c r="B303" s="2"/>
      <c r="C303" s="2"/>
      <c r="D303" s="2"/>
      <c r="E303" s="5"/>
      <c r="F303" s="2"/>
      <c r="G303" s="5"/>
      <c r="H303" s="8" t="str">
        <f t="shared" si="29"/>
        <v/>
      </c>
      <c r="I303" s="7" t="str">
        <f t="shared" si="30"/>
        <v/>
      </c>
      <c r="J303" s="3" t="str">
        <f t="shared" si="31"/>
        <v/>
      </c>
      <c r="K303" s="4" t="str">
        <f t="shared" si="32"/>
        <v/>
      </c>
      <c r="L303" s="7" t="str">
        <f t="shared" si="33"/>
        <v/>
      </c>
      <c r="M303" s="9" t="str">
        <f t="shared" si="34"/>
        <v/>
      </c>
      <c r="N303" s="9" t="str">
        <f>IF(NOT(ISERROR(VLOOKUP(B303,Deflatores!G$42:H$64,2,FALSE))),VLOOKUP(B303,Deflatores!G$42:H$64,2,FALSE),IF(OR(ISBLANK(C303),ISBLANK(B303)),"",VLOOKUP(C303,Deflatores!G$4:H$38,2,FALSE)*J303+VLOOKUP(C303,Deflatores!G$4:I$38,3,FALSE)))</f>
        <v/>
      </c>
      <c r="O303" s="5"/>
      <c r="P303" s="5"/>
      <c r="Q303" s="6"/>
      <c r="R303" s="10"/>
      <c r="S303" s="104"/>
      <c r="T303" s="162"/>
      <c r="U303" s="10"/>
    </row>
    <row r="304" spans="1:21" ht="21.75" customHeight="1" x14ac:dyDescent="0.2">
      <c r="A304" s="102"/>
      <c r="B304" s="2"/>
      <c r="C304" s="2"/>
      <c r="D304" s="2"/>
      <c r="E304" s="5"/>
      <c r="F304" s="2"/>
      <c r="G304" s="5"/>
      <c r="H304" s="8" t="str">
        <f t="shared" si="29"/>
        <v/>
      </c>
      <c r="I304" s="7" t="str">
        <f t="shared" si="30"/>
        <v/>
      </c>
      <c r="J304" s="3" t="str">
        <f t="shared" si="31"/>
        <v/>
      </c>
      <c r="K304" s="4" t="str">
        <f t="shared" si="32"/>
        <v/>
      </c>
      <c r="L304" s="7" t="str">
        <f t="shared" si="33"/>
        <v/>
      </c>
      <c r="M304" s="9" t="str">
        <f t="shared" si="34"/>
        <v/>
      </c>
      <c r="N304" s="9" t="str">
        <f>IF(NOT(ISERROR(VLOOKUP(B304,Deflatores!G$42:H$64,2,FALSE))),VLOOKUP(B304,Deflatores!G$42:H$64,2,FALSE),IF(OR(ISBLANK(C304),ISBLANK(B304)),"",VLOOKUP(C304,Deflatores!G$4:H$38,2,FALSE)*J304+VLOOKUP(C304,Deflatores!G$4:I$38,3,FALSE)))</f>
        <v/>
      </c>
      <c r="O304" s="5"/>
      <c r="P304" s="5"/>
      <c r="Q304" s="6"/>
      <c r="R304" s="10"/>
      <c r="S304" s="104"/>
      <c r="T304" s="162"/>
      <c r="U304" s="10"/>
    </row>
    <row r="305" spans="1:21" ht="21.75" customHeight="1" x14ac:dyDescent="0.2">
      <c r="A305" s="102"/>
      <c r="B305" s="2"/>
      <c r="C305" s="2"/>
      <c r="D305" s="2"/>
      <c r="E305" s="5"/>
      <c r="F305" s="2"/>
      <c r="G305" s="5"/>
      <c r="H305" s="8" t="str">
        <f t="shared" si="29"/>
        <v/>
      </c>
      <c r="I305" s="7" t="str">
        <f t="shared" si="30"/>
        <v/>
      </c>
      <c r="J305" s="3" t="str">
        <f t="shared" si="31"/>
        <v/>
      </c>
      <c r="K305" s="4" t="str">
        <f t="shared" si="32"/>
        <v/>
      </c>
      <c r="L305" s="7" t="str">
        <f t="shared" si="33"/>
        <v/>
      </c>
      <c r="M305" s="9" t="str">
        <f t="shared" si="34"/>
        <v/>
      </c>
      <c r="N305" s="9" t="str">
        <f>IF(NOT(ISERROR(VLOOKUP(B305,Deflatores!G$42:H$64,2,FALSE))),VLOOKUP(B305,Deflatores!G$42:H$64,2,FALSE),IF(OR(ISBLANK(C305),ISBLANK(B305)),"",VLOOKUP(C305,Deflatores!G$4:H$38,2,FALSE)*J305+VLOOKUP(C305,Deflatores!G$4:I$38,3,FALSE)))</f>
        <v/>
      </c>
      <c r="O305" s="5"/>
      <c r="P305" s="5"/>
      <c r="Q305" s="6"/>
      <c r="R305" s="10"/>
      <c r="S305" s="104"/>
      <c r="T305" s="162"/>
      <c r="U305" s="10"/>
    </row>
    <row r="306" spans="1:21" ht="21.75" customHeight="1" x14ac:dyDescent="0.2">
      <c r="A306" s="102"/>
      <c r="B306" s="2"/>
      <c r="C306" s="2"/>
      <c r="D306" s="2"/>
      <c r="E306" s="5"/>
      <c r="F306" s="2"/>
      <c r="G306" s="5"/>
      <c r="H306" s="8" t="str">
        <f t="shared" si="29"/>
        <v/>
      </c>
      <c r="I306" s="7" t="str">
        <f t="shared" si="30"/>
        <v/>
      </c>
      <c r="J306" s="3" t="str">
        <f t="shared" si="31"/>
        <v/>
      </c>
      <c r="K306" s="4" t="str">
        <f t="shared" si="32"/>
        <v/>
      </c>
      <c r="L306" s="7" t="str">
        <f t="shared" si="33"/>
        <v/>
      </c>
      <c r="M306" s="9" t="str">
        <f t="shared" si="34"/>
        <v/>
      </c>
      <c r="N306" s="9" t="str">
        <f>IF(NOT(ISERROR(VLOOKUP(B306,Deflatores!G$42:H$64,2,FALSE))),VLOOKUP(B306,Deflatores!G$42:H$64,2,FALSE),IF(OR(ISBLANK(C306),ISBLANK(B306)),"",VLOOKUP(C306,Deflatores!G$4:H$38,2,FALSE)*J306+VLOOKUP(C306,Deflatores!G$4:I$38,3,FALSE)))</f>
        <v/>
      </c>
      <c r="O306" s="5"/>
      <c r="P306" s="5"/>
      <c r="Q306" s="6"/>
      <c r="R306" s="10"/>
      <c r="S306" s="104"/>
      <c r="T306" s="162"/>
      <c r="U306" s="10"/>
    </row>
    <row r="307" spans="1:21" ht="21.75" customHeight="1" x14ac:dyDescent="0.2">
      <c r="A307" s="102"/>
      <c r="B307" s="2"/>
      <c r="C307" s="2"/>
      <c r="D307" s="2"/>
      <c r="E307" s="5"/>
      <c r="F307" s="2"/>
      <c r="G307" s="5"/>
      <c r="H307" s="8" t="str">
        <f t="shared" si="29"/>
        <v/>
      </c>
      <c r="I307" s="7" t="str">
        <f t="shared" si="30"/>
        <v/>
      </c>
      <c r="J307" s="3" t="str">
        <f t="shared" si="31"/>
        <v/>
      </c>
      <c r="K307" s="4" t="str">
        <f t="shared" si="32"/>
        <v/>
      </c>
      <c r="L307" s="7" t="str">
        <f t="shared" si="33"/>
        <v/>
      </c>
      <c r="M307" s="9" t="str">
        <f t="shared" si="34"/>
        <v/>
      </c>
      <c r="N307" s="9" t="str">
        <f>IF(NOT(ISERROR(VLOOKUP(B307,Deflatores!G$42:H$64,2,FALSE))),VLOOKUP(B307,Deflatores!G$42:H$64,2,FALSE),IF(OR(ISBLANK(C307),ISBLANK(B307)),"",VLOOKUP(C307,Deflatores!G$4:H$38,2,FALSE)*J307+VLOOKUP(C307,Deflatores!G$4:I$38,3,FALSE)))</f>
        <v/>
      </c>
      <c r="O307" s="5"/>
      <c r="P307" s="5"/>
      <c r="Q307" s="6"/>
      <c r="R307" s="10"/>
      <c r="S307" s="104"/>
      <c r="T307" s="162"/>
      <c r="U307" s="10"/>
    </row>
    <row r="308" spans="1:21" ht="21.75" customHeight="1" x14ac:dyDescent="0.2">
      <c r="A308" s="102"/>
      <c r="B308" s="2"/>
      <c r="C308" s="2"/>
      <c r="D308" s="2"/>
      <c r="E308" s="5"/>
      <c r="F308" s="2"/>
      <c r="G308" s="5"/>
      <c r="H308" s="8" t="str">
        <f t="shared" si="29"/>
        <v/>
      </c>
      <c r="I308" s="7" t="str">
        <f t="shared" si="30"/>
        <v/>
      </c>
      <c r="J308" s="3" t="str">
        <f t="shared" si="31"/>
        <v/>
      </c>
      <c r="K308" s="4" t="str">
        <f t="shared" si="32"/>
        <v/>
      </c>
      <c r="L308" s="7" t="str">
        <f t="shared" si="33"/>
        <v/>
      </c>
      <c r="M308" s="9" t="str">
        <f t="shared" si="34"/>
        <v/>
      </c>
      <c r="N308" s="9" t="str">
        <f>IF(NOT(ISERROR(VLOOKUP(B308,Deflatores!G$42:H$64,2,FALSE))),VLOOKUP(B308,Deflatores!G$42:H$64,2,FALSE),IF(OR(ISBLANK(C308),ISBLANK(B308)),"",VLOOKUP(C308,Deflatores!G$4:H$38,2,FALSE)*J308+VLOOKUP(C308,Deflatores!G$4:I$38,3,FALSE)))</f>
        <v/>
      </c>
      <c r="O308" s="5"/>
      <c r="P308" s="5"/>
      <c r="Q308" s="6"/>
      <c r="R308" s="10"/>
      <c r="S308" s="104"/>
      <c r="T308" s="162"/>
      <c r="U308" s="10"/>
    </row>
    <row r="309" spans="1:21" ht="21.75" customHeight="1" x14ac:dyDescent="0.2">
      <c r="A309" s="102"/>
      <c r="B309" s="2"/>
      <c r="C309" s="2"/>
      <c r="D309" s="2"/>
      <c r="E309" s="5"/>
      <c r="F309" s="2"/>
      <c r="G309" s="5"/>
      <c r="H309" s="8" t="str">
        <f t="shared" si="29"/>
        <v/>
      </c>
      <c r="I309" s="7" t="str">
        <f t="shared" si="30"/>
        <v/>
      </c>
      <c r="J309" s="3" t="str">
        <f t="shared" si="31"/>
        <v/>
      </c>
      <c r="K309" s="4" t="str">
        <f t="shared" si="32"/>
        <v/>
      </c>
      <c r="L309" s="7" t="str">
        <f t="shared" si="33"/>
        <v/>
      </c>
      <c r="M309" s="9" t="str">
        <f t="shared" si="34"/>
        <v/>
      </c>
      <c r="N309" s="9" t="str">
        <f>IF(NOT(ISERROR(VLOOKUP(B309,Deflatores!G$42:H$64,2,FALSE))),VLOOKUP(B309,Deflatores!G$42:H$64,2,FALSE),IF(OR(ISBLANK(C309),ISBLANK(B309)),"",VLOOKUP(C309,Deflatores!G$4:H$38,2,FALSE)*J309+VLOOKUP(C309,Deflatores!G$4:I$38,3,FALSE)))</f>
        <v/>
      </c>
      <c r="O309" s="5"/>
      <c r="P309" s="5"/>
      <c r="Q309" s="6"/>
      <c r="R309" s="10"/>
      <c r="S309" s="104"/>
      <c r="T309" s="162"/>
      <c r="U309" s="10"/>
    </row>
    <row r="310" spans="1:21" ht="21.75" customHeight="1" x14ac:dyDescent="0.2">
      <c r="A310" s="102"/>
      <c r="B310" s="2"/>
      <c r="C310" s="2"/>
      <c r="D310" s="2"/>
      <c r="E310" s="5"/>
      <c r="F310" s="2"/>
      <c r="G310" s="5"/>
      <c r="H310" s="8" t="str">
        <f t="shared" si="29"/>
        <v/>
      </c>
      <c r="I310" s="7" t="str">
        <f t="shared" si="30"/>
        <v/>
      </c>
      <c r="J310" s="3" t="str">
        <f t="shared" si="31"/>
        <v/>
      </c>
      <c r="K310" s="4" t="str">
        <f t="shared" si="32"/>
        <v/>
      </c>
      <c r="L310" s="7" t="str">
        <f t="shared" si="33"/>
        <v/>
      </c>
      <c r="M310" s="9" t="str">
        <f t="shared" si="34"/>
        <v/>
      </c>
      <c r="N310" s="9" t="str">
        <f>IF(NOT(ISERROR(VLOOKUP(B310,Deflatores!G$42:H$64,2,FALSE))),VLOOKUP(B310,Deflatores!G$42:H$64,2,FALSE),IF(OR(ISBLANK(C310),ISBLANK(B310)),"",VLOOKUP(C310,Deflatores!G$4:H$38,2,FALSE)*J310+VLOOKUP(C310,Deflatores!G$4:I$38,3,FALSE)))</f>
        <v/>
      </c>
      <c r="O310" s="5"/>
      <c r="P310" s="5"/>
      <c r="Q310" s="6"/>
      <c r="R310" s="10"/>
      <c r="S310" s="104"/>
      <c r="T310" s="162"/>
      <c r="U310" s="10"/>
    </row>
    <row r="311" spans="1:21" ht="21.75" customHeight="1" x14ac:dyDescent="0.2">
      <c r="A311" s="102"/>
      <c r="B311" s="2"/>
      <c r="C311" s="2"/>
      <c r="D311" s="2"/>
      <c r="E311" s="5"/>
      <c r="F311" s="2"/>
      <c r="G311" s="5"/>
      <c r="H311" s="8" t="str">
        <f t="shared" si="29"/>
        <v/>
      </c>
      <c r="I311" s="7" t="str">
        <f t="shared" si="30"/>
        <v/>
      </c>
      <c r="J311" s="3" t="str">
        <f t="shared" si="31"/>
        <v/>
      </c>
      <c r="K311" s="4" t="str">
        <f t="shared" si="32"/>
        <v/>
      </c>
      <c r="L311" s="7" t="str">
        <f t="shared" si="33"/>
        <v/>
      </c>
      <c r="M311" s="9" t="str">
        <f t="shared" si="34"/>
        <v/>
      </c>
      <c r="N311" s="9" t="str">
        <f>IF(NOT(ISERROR(VLOOKUP(B311,Deflatores!G$42:H$64,2,FALSE))),VLOOKUP(B311,Deflatores!G$42:H$64,2,FALSE),IF(OR(ISBLANK(C311),ISBLANK(B311)),"",VLOOKUP(C311,Deflatores!G$4:H$38,2,FALSE)*J311+VLOOKUP(C311,Deflatores!G$4:I$38,3,FALSE)))</f>
        <v/>
      </c>
      <c r="O311" s="5"/>
      <c r="P311" s="5"/>
      <c r="Q311" s="6"/>
      <c r="R311" s="10"/>
      <c r="S311" s="104"/>
      <c r="T311" s="162"/>
      <c r="U311" s="10"/>
    </row>
    <row r="312" spans="1:21" ht="21.75" customHeight="1" x14ac:dyDescent="0.2">
      <c r="A312" s="102"/>
      <c r="B312" s="2"/>
      <c r="C312" s="2"/>
      <c r="D312" s="2"/>
      <c r="E312" s="5"/>
      <c r="F312" s="2"/>
      <c r="G312" s="5"/>
      <c r="H312" s="8" t="str">
        <f t="shared" si="29"/>
        <v/>
      </c>
      <c r="I312" s="7" t="str">
        <f t="shared" si="30"/>
        <v/>
      </c>
      <c r="J312" s="3" t="str">
        <f t="shared" si="31"/>
        <v/>
      </c>
      <c r="K312" s="4" t="str">
        <f t="shared" si="32"/>
        <v/>
      </c>
      <c r="L312" s="7" t="str">
        <f t="shared" si="33"/>
        <v/>
      </c>
      <c r="M312" s="9" t="str">
        <f t="shared" si="34"/>
        <v/>
      </c>
      <c r="N312" s="9" t="str">
        <f>IF(NOT(ISERROR(VLOOKUP(B312,Deflatores!G$42:H$64,2,FALSE))),VLOOKUP(B312,Deflatores!G$42:H$64,2,FALSE),IF(OR(ISBLANK(C312),ISBLANK(B312)),"",VLOOKUP(C312,Deflatores!G$4:H$38,2,FALSE)*J312+VLOOKUP(C312,Deflatores!G$4:I$38,3,FALSE)))</f>
        <v/>
      </c>
      <c r="O312" s="5"/>
      <c r="P312" s="5"/>
      <c r="Q312" s="6"/>
      <c r="R312" s="10"/>
      <c r="S312" s="104"/>
      <c r="T312" s="162"/>
      <c r="U312" s="10"/>
    </row>
    <row r="313" spans="1:21" ht="21.75" customHeight="1" x14ac:dyDescent="0.2">
      <c r="A313" s="102"/>
      <c r="B313" s="2"/>
      <c r="C313" s="2"/>
      <c r="D313" s="2"/>
      <c r="E313" s="5"/>
      <c r="F313" s="2"/>
      <c r="G313" s="5"/>
      <c r="H313" s="8" t="str">
        <f t="shared" si="29"/>
        <v/>
      </c>
      <c r="I313" s="7" t="str">
        <f t="shared" si="30"/>
        <v/>
      </c>
      <c r="J313" s="3" t="str">
        <f t="shared" si="31"/>
        <v/>
      </c>
      <c r="K313" s="4" t="str">
        <f t="shared" si="32"/>
        <v/>
      </c>
      <c r="L313" s="7" t="str">
        <f t="shared" si="33"/>
        <v/>
      </c>
      <c r="M313" s="9" t="str">
        <f t="shared" si="34"/>
        <v/>
      </c>
      <c r="N313" s="9" t="str">
        <f>IF(NOT(ISERROR(VLOOKUP(B313,Deflatores!G$42:H$64,2,FALSE))),VLOOKUP(B313,Deflatores!G$42:H$64,2,FALSE),IF(OR(ISBLANK(C313),ISBLANK(B313)),"",VLOOKUP(C313,Deflatores!G$4:H$38,2,FALSE)*J313+VLOOKUP(C313,Deflatores!G$4:I$38,3,FALSE)))</f>
        <v/>
      </c>
      <c r="O313" s="5"/>
      <c r="P313" s="5"/>
      <c r="Q313" s="6"/>
      <c r="R313" s="10"/>
      <c r="S313" s="104"/>
      <c r="T313" s="162"/>
      <c r="U313" s="10"/>
    </row>
    <row r="314" spans="1:21" ht="21.75" customHeight="1" x14ac:dyDescent="0.2">
      <c r="A314" s="102"/>
      <c r="B314" s="2"/>
      <c r="C314" s="2"/>
      <c r="D314" s="2"/>
      <c r="E314" s="5"/>
      <c r="F314" s="2"/>
      <c r="G314" s="5"/>
      <c r="H314" s="8" t="str">
        <f t="shared" si="29"/>
        <v/>
      </c>
      <c r="I314" s="7" t="str">
        <f t="shared" si="30"/>
        <v/>
      </c>
      <c r="J314" s="3" t="str">
        <f t="shared" si="31"/>
        <v/>
      </c>
      <c r="K314" s="4" t="str">
        <f t="shared" si="32"/>
        <v/>
      </c>
      <c r="L314" s="7" t="str">
        <f t="shared" si="33"/>
        <v/>
      </c>
      <c r="M314" s="9" t="str">
        <f t="shared" si="34"/>
        <v/>
      </c>
      <c r="N314" s="9" t="str">
        <f>IF(NOT(ISERROR(VLOOKUP(B314,Deflatores!G$42:H$64,2,FALSE))),VLOOKUP(B314,Deflatores!G$42:H$64,2,FALSE),IF(OR(ISBLANK(C314),ISBLANK(B314)),"",VLOOKUP(C314,Deflatores!G$4:H$38,2,FALSE)*J314+VLOOKUP(C314,Deflatores!G$4:I$38,3,FALSE)))</f>
        <v/>
      </c>
      <c r="O314" s="5"/>
      <c r="P314" s="5"/>
      <c r="Q314" s="6"/>
      <c r="R314" s="10"/>
      <c r="S314" s="104"/>
      <c r="T314" s="162"/>
      <c r="U314" s="10"/>
    </row>
    <row r="315" spans="1:21" ht="21.75" customHeight="1" x14ac:dyDescent="0.2">
      <c r="A315" s="102"/>
      <c r="B315" s="2"/>
      <c r="C315" s="2"/>
      <c r="D315" s="2"/>
      <c r="E315" s="5"/>
      <c r="F315" s="2"/>
      <c r="G315" s="5"/>
      <c r="H315" s="8" t="str">
        <f t="shared" si="29"/>
        <v/>
      </c>
      <c r="I315" s="7" t="str">
        <f t="shared" si="30"/>
        <v/>
      </c>
      <c r="J315" s="3" t="str">
        <f t="shared" si="31"/>
        <v/>
      </c>
      <c r="K315" s="4" t="str">
        <f t="shared" si="32"/>
        <v/>
      </c>
      <c r="L315" s="7" t="str">
        <f t="shared" si="33"/>
        <v/>
      </c>
      <c r="M315" s="9" t="str">
        <f t="shared" si="34"/>
        <v/>
      </c>
      <c r="N315" s="9" t="str">
        <f>IF(NOT(ISERROR(VLOOKUP(B315,Deflatores!G$42:H$64,2,FALSE))),VLOOKUP(B315,Deflatores!G$42:H$64,2,FALSE),IF(OR(ISBLANK(C315),ISBLANK(B315)),"",VLOOKUP(C315,Deflatores!G$4:H$38,2,FALSE)*J315+VLOOKUP(C315,Deflatores!G$4:I$38,3,FALSE)))</f>
        <v/>
      </c>
      <c r="O315" s="5"/>
      <c r="P315" s="5"/>
      <c r="Q315" s="6"/>
      <c r="R315" s="10"/>
      <c r="S315" s="104"/>
      <c r="T315" s="162"/>
      <c r="U315" s="10"/>
    </row>
    <row r="316" spans="1:21" ht="21.75" customHeight="1" x14ac:dyDescent="0.2">
      <c r="A316" s="102"/>
      <c r="B316" s="2"/>
      <c r="C316" s="2"/>
      <c r="D316" s="2"/>
      <c r="E316" s="5"/>
      <c r="F316" s="2"/>
      <c r="G316" s="5"/>
      <c r="H316" s="8" t="str">
        <f t="shared" si="29"/>
        <v/>
      </c>
      <c r="I316" s="7" t="str">
        <f t="shared" si="30"/>
        <v/>
      </c>
      <c r="J316" s="3" t="str">
        <f t="shared" si="31"/>
        <v/>
      </c>
      <c r="K316" s="4" t="str">
        <f t="shared" si="32"/>
        <v/>
      </c>
      <c r="L316" s="7" t="str">
        <f t="shared" si="33"/>
        <v/>
      </c>
      <c r="M316" s="9" t="str">
        <f t="shared" si="34"/>
        <v/>
      </c>
      <c r="N316" s="9" t="str">
        <f>IF(NOT(ISERROR(VLOOKUP(B316,Deflatores!G$42:H$64,2,FALSE))),VLOOKUP(B316,Deflatores!G$42:H$64,2,FALSE),IF(OR(ISBLANK(C316),ISBLANK(B316)),"",VLOOKUP(C316,Deflatores!G$4:H$38,2,FALSE)*J316+VLOOKUP(C316,Deflatores!G$4:I$38,3,FALSE)))</f>
        <v/>
      </c>
      <c r="O316" s="5"/>
      <c r="P316" s="5"/>
      <c r="Q316" s="6"/>
      <c r="R316" s="10"/>
      <c r="S316" s="104"/>
      <c r="T316" s="162"/>
      <c r="U316" s="10"/>
    </row>
    <row r="317" spans="1:21" ht="21.75" customHeight="1" x14ac:dyDescent="0.2">
      <c r="A317" s="102"/>
      <c r="B317" s="2"/>
      <c r="C317" s="2"/>
      <c r="D317" s="2"/>
      <c r="E317" s="5"/>
      <c r="F317" s="2"/>
      <c r="G317" s="5"/>
      <c r="H317" s="8" t="str">
        <f t="shared" si="29"/>
        <v/>
      </c>
      <c r="I317" s="7" t="str">
        <f t="shared" si="30"/>
        <v/>
      </c>
      <c r="J317" s="3" t="str">
        <f t="shared" si="31"/>
        <v/>
      </c>
      <c r="K317" s="4" t="str">
        <f t="shared" si="32"/>
        <v/>
      </c>
      <c r="L317" s="7" t="str">
        <f t="shared" si="33"/>
        <v/>
      </c>
      <c r="M317" s="9" t="str">
        <f t="shared" si="34"/>
        <v/>
      </c>
      <c r="N317" s="9" t="str">
        <f>IF(NOT(ISERROR(VLOOKUP(B317,Deflatores!G$42:H$64,2,FALSE))),VLOOKUP(B317,Deflatores!G$42:H$64,2,FALSE),IF(OR(ISBLANK(C317),ISBLANK(B317)),"",VLOOKUP(C317,Deflatores!G$4:H$38,2,FALSE)*J317+VLOOKUP(C317,Deflatores!G$4:I$38,3,FALSE)))</f>
        <v/>
      </c>
      <c r="O317" s="5"/>
      <c r="P317" s="5"/>
      <c r="Q317" s="6"/>
      <c r="R317" s="10"/>
      <c r="S317" s="104"/>
      <c r="T317" s="162"/>
      <c r="U317" s="10"/>
    </row>
    <row r="318" spans="1:21" ht="21.75" customHeight="1" x14ac:dyDescent="0.2">
      <c r="A318" s="102"/>
      <c r="B318" s="2"/>
      <c r="C318" s="2"/>
      <c r="D318" s="2"/>
      <c r="E318" s="5"/>
      <c r="F318" s="2"/>
      <c r="G318" s="5"/>
      <c r="H318" s="8" t="str">
        <f t="shared" si="29"/>
        <v/>
      </c>
      <c r="I318" s="7" t="str">
        <f t="shared" si="30"/>
        <v/>
      </c>
      <c r="J318" s="3" t="str">
        <f t="shared" si="31"/>
        <v/>
      </c>
      <c r="K318" s="4" t="str">
        <f t="shared" si="32"/>
        <v/>
      </c>
      <c r="L318" s="7" t="str">
        <f t="shared" si="33"/>
        <v/>
      </c>
      <c r="M318" s="9" t="str">
        <f t="shared" si="34"/>
        <v/>
      </c>
      <c r="N318" s="9" t="str">
        <f>IF(NOT(ISERROR(VLOOKUP(B318,Deflatores!G$42:H$64,2,FALSE))),VLOOKUP(B318,Deflatores!G$42:H$64,2,FALSE),IF(OR(ISBLANK(C318),ISBLANK(B318)),"",VLOOKUP(C318,Deflatores!G$4:H$38,2,FALSE)*J318+VLOOKUP(C318,Deflatores!G$4:I$38,3,FALSE)))</f>
        <v/>
      </c>
      <c r="O318" s="5"/>
      <c r="P318" s="5"/>
      <c r="Q318" s="6"/>
      <c r="R318" s="10"/>
      <c r="S318" s="104"/>
      <c r="T318" s="162"/>
      <c r="U318" s="10"/>
    </row>
    <row r="319" spans="1:21" ht="21.75" customHeight="1" x14ac:dyDescent="0.2">
      <c r="A319" s="102"/>
      <c r="B319" s="2"/>
      <c r="C319" s="2"/>
      <c r="D319" s="2"/>
      <c r="E319" s="5"/>
      <c r="F319" s="2"/>
      <c r="G319" s="5"/>
      <c r="H319" s="8" t="str">
        <f t="shared" si="29"/>
        <v/>
      </c>
      <c r="I319" s="7" t="str">
        <f t="shared" si="30"/>
        <v/>
      </c>
      <c r="J319" s="3" t="str">
        <f t="shared" si="31"/>
        <v/>
      </c>
      <c r="K319" s="4" t="str">
        <f t="shared" si="32"/>
        <v/>
      </c>
      <c r="L319" s="7" t="str">
        <f t="shared" si="33"/>
        <v/>
      </c>
      <c r="M319" s="9" t="str">
        <f t="shared" si="34"/>
        <v/>
      </c>
      <c r="N319" s="9" t="str">
        <f>IF(NOT(ISERROR(VLOOKUP(B319,Deflatores!G$42:H$64,2,FALSE))),VLOOKUP(B319,Deflatores!G$42:H$64,2,FALSE),IF(OR(ISBLANK(C319),ISBLANK(B319)),"",VLOOKUP(C319,Deflatores!G$4:H$38,2,FALSE)*J319+VLOOKUP(C319,Deflatores!G$4:I$38,3,FALSE)))</f>
        <v/>
      </c>
      <c r="O319" s="5"/>
      <c r="P319" s="5"/>
      <c r="Q319" s="6"/>
      <c r="R319" s="10"/>
      <c r="S319" s="104"/>
      <c r="T319" s="162"/>
      <c r="U319" s="10"/>
    </row>
    <row r="320" spans="1:21" ht="21.75" customHeight="1" x14ac:dyDescent="0.2">
      <c r="A320" s="102"/>
      <c r="B320" s="2"/>
      <c r="C320" s="2"/>
      <c r="D320" s="2"/>
      <c r="E320" s="5"/>
      <c r="F320" s="2"/>
      <c r="G320" s="5"/>
      <c r="H320" s="8" t="str">
        <f t="shared" si="29"/>
        <v/>
      </c>
      <c r="I320" s="7" t="str">
        <f t="shared" si="30"/>
        <v/>
      </c>
      <c r="J320" s="3" t="str">
        <f t="shared" si="31"/>
        <v/>
      </c>
      <c r="K320" s="4" t="str">
        <f t="shared" si="32"/>
        <v/>
      </c>
      <c r="L320" s="7" t="str">
        <f t="shared" si="33"/>
        <v/>
      </c>
      <c r="M320" s="9" t="str">
        <f t="shared" si="34"/>
        <v/>
      </c>
      <c r="N320" s="9" t="str">
        <f>IF(NOT(ISERROR(VLOOKUP(B320,Deflatores!G$42:H$64,2,FALSE))),VLOOKUP(B320,Deflatores!G$42:H$64,2,FALSE),IF(OR(ISBLANK(C320),ISBLANK(B320)),"",VLOOKUP(C320,Deflatores!G$4:H$38,2,FALSE)*J320+VLOOKUP(C320,Deflatores!G$4:I$38,3,FALSE)))</f>
        <v/>
      </c>
      <c r="O320" s="5"/>
      <c r="P320" s="5"/>
      <c r="Q320" s="6"/>
      <c r="R320" s="10"/>
      <c r="S320" s="104"/>
      <c r="T320" s="162"/>
      <c r="U320" s="10"/>
    </row>
    <row r="321" spans="1:21" ht="21.75" customHeight="1" x14ac:dyDescent="0.2">
      <c r="A321" s="102"/>
      <c r="B321" s="2"/>
      <c r="C321" s="2"/>
      <c r="D321" s="2"/>
      <c r="E321" s="5"/>
      <c r="F321" s="2"/>
      <c r="G321" s="5"/>
      <c r="H321" s="8" t="str">
        <f t="shared" si="29"/>
        <v/>
      </c>
      <c r="I321" s="7" t="str">
        <f t="shared" si="30"/>
        <v/>
      </c>
      <c r="J321" s="3" t="str">
        <f t="shared" si="31"/>
        <v/>
      </c>
      <c r="K321" s="4" t="str">
        <f t="shared" si="32"/>
        <v/>
      </c>
      <c r="L321" s="7" t="str">
        <f t="shared" si="33"/>
        <v/>
      </c>
      <c r="M321" s="9" t="str">
        <f t="shared" si="34"/>
        <v/>
      </c>
      <c r="N321" s="9" t="str">
        <f>IF(NOT(ISERROR(VLOOKUP(B321,Deflatores!G$42:H$64,2,FALSE))),VLOOKUP(B321,Deflatores!G$42:H$64,2,FALSE),IF(OR(ISBLANK(C321),ISBLANK(B321)),"",VLOOKUP(C321,Deflatores!G$4:H$38,2,FALSE)*J321+VLOOKUP(C321,Deflatores!G$4:I$38,3,FALSE)))</f>
        <v/>
      </c>
      <c r="O321" s="5"/>
      <c r="P321" s="5"/>
      <c r="Q321" s="6"/>
      <c r="R321" s="10"/>
      <c r="S321" s="104"/>
      <c r="T321" s="162"/>
      <c r="U321" s="10"/>
    </row>
    <row r="322" spans="1:21" ht="21.75" customHeight="1" x14ac:dyDescent="0.2">
      <c r="A322" s="102"/>
      <c r="B322" s="2"/>
      <c r="C322" s="2"/>
      <c r="D322" s="2"/>
      <c r="E322" s="5"/>
      <c r="F322" s="2"/>
      <c r="G322" s="5"/>
      <c r="H322" s="8" t="str">
        <f t="shared" si="29"/>
        <v/>
      </c>
      <c r="I322" s="7" t="str">
        <f t="shared" si="30"/>
        <v/>
      </c>
      <c r="J322" s="3" t="str">
        <f t="shared" si="31"/>
        <v/>
      </c>
      <c r="K322" s="4" t="str">
        <f t="shared" si="32"/>
        <v/>
      </c>
      <c r="L322" s="7" t="str">
        <f t="shared" si="33"/>
        <v/>
      </c>
      <c r="M322" s="9" t="str">
        <f t="shared" si="34"/>
        <v/>
      </c>
      <c r="N322" s="9" t="str">
        <f>IF(NOT(ISERROR(VLOOKUP(B322,Deflatores!G$42:H$64,2,FALSE))),VLOOKUP(B322,Deflatores!G$42:H$64,2,FALSE),IF(OR(ISBLANK(C322),ISBLANK(B322)),"",VLOOKUP(C322,Deflatores!G$4:H$38,2,FALSE)*J322+VLOOKUP(C322,Deflatores!G$4:I$38,3,FALSE)))</f>
        <v/>
      </c>
      <c r="O322" s="5"/>
      <c r="P322" s="5"/>
      <c r="Q322" s="6"/>
      <c r="R322" s="10"/>
      <c r="S322" s="104"/>
      <c r="T322" s="162"/>
      <c r="U322" s="10"/>
    </row>
    <row r="323" spans="1:21" ht="21.75" customHeight="1" x14ac:dyDescent="0.2">
      <c r="A323" s="102"/>
      <c r="B323" s="2"/>
      <c r="C323" s="2"/>
      <c r="D323" s="2"/>
      <c r="E323" s="5"/>
      <c r="F323" s="2"/>
      <c r="G323" s="5"/>
      <c r="H323" s="8" t="str">
        <f t="shared" si="29"/>
        <v/>
      </c>
      <c r="I323" s="7" t="str">
        <f t="shared" si="30"/>
        <v/>
      </c>
      <c r="J323" s="3" t="str">
        <f t="shared" si="31"/>
        <v/>
      </c>
      <c r="K323" s="4" t="str">
        <f t="shared" si="32"/>
        <v/>
      </c>
      <c r="L323" s="7" t="str">
        <f t="shared" si="33"/>
        <v/>
      </c>
      <c r="M323" s="9" t="str">
        <f t="shared" si="34"/>
        <v/>
      </c>
      <c r="N323" s="9" t="str">
        <f>IF(NOT(ISERROR(VLOOKUP(B323,Deflatores!G$42:H$64,2,FALSE))),VLOOKUP(B323,Deflatores!G$42:H$64,2,FALSE),IF(OR(ISBLANK(C323),ISBLANK(B323)),"",VLOOKUP(C323,Deflatores!G$4:H$38,2,FALSE)*J323+VLOOKUP(C323,Deflatores!G$4:I$38,3,FALSE)))</f>
        <v/>
      </c>
      <c r="O323" s="5"/>
      <c r="P323" s="5"/>
      <c r="Q323" s="6"/>
      <c r="R323" s="10"/>
      <c r="S323" s="104"/>
      <c r="T323" s="162"/>
      <c r="U323" s="10"/>
    </row>
    <row r="324" spans="1:21" ht="21.75" customHeight="1" x14ac:dyDescent="0.2">
      <c r="A324" s="102"/>
      <c r="B324" s="2"/>
      <c r="C324" s="2"/>
      <c r="D324" s="2"/>
      <c r="E324" s="5"/>
      <c r="F324" s="2"/>
      <c r="G324" s="5"/>
      <c r="H324" s="8" t="str">
        <f t="shared" si="29"/>
        <v/>
      </c>
      <c r="I324" s="7" t="str">
        <f t="shared" si="30"/>
        <v/>
      </c>
      <c r="J324" s="3" t="str">
        <f t="shared" si="31"/>
        <v/>
      </c>
      <c r="K324" s="4" t="str">
        <f t="shared" si="32"/>
        <v/>
      </c>
      <c r="L324" s="7" t="str">
        <f t="shared" si="33"/>
        <v/>
      </c>
      <c r="M324" s="9" t="str">
        <f t="shared" si="34"/>
        <v/>
      </c>
      <c r="N324" s="9" t="str">
        <f>IF(NOT(ISERROR(VLOOKUP(B324,Deflatores!G$42:H$64,2,FALSE))),VLOOKUP(B324,Deflatores!G$42:H$64,2,FALSE),IF(OR(ISBLANK(C324),ISBLANK(B324)),"",VLOOKUP(C324,Deflatores!G$4:H$38,2,FALSE)*J324+VLOOKUP(C324,Deflatores!G$4:I$38,3,FALSE)))</f>
        <v/>
      </c>
      <c r="O324" s="5"/>
      <c r="P324" s="5"/>
      <c r="Q324" s="6"/>
      <c r="R324" s="10"/>
      <c r="S324" s="104"/>
      <c r="T324" s="162"/>
      <c r="U324" s="10"/>
    </row>
    <row r="325" spans="1:21" ht="21.75" customHeight="1" x14ac:dyDescent="0.2">
      <c r="A325" s="102"/>
      <c r="B325" s="2"/>
      <c r="C325" s="2"/>
      <c r="D325" s="2"/>
      <c r="E325" s="5"/>
      <c r="F325" s="2"/>
      <c r="G325" s="5"/>
      <c r="H325" s="8" t="str">
        <f t="shared" si="29"/>
        <v/>
      </c>
      <c r="I325" s="7" t="str">
        <f t="shared" si="30"/>
        <v/>
      </c>
      <c r="J325" s="3" t="str">
        <f t="shared" si="31"/>
        <v/>
      </c>
      <c r="K325" s="4" t="str">
        <f t="shared" si="32"/>
        <v/>
      </c>
      <c r="L325" s="7" t="str">
        <f t="shared" si="33"/>
        <v/>
      </c>
      <c r="M325" s="9" t="str">
        <f t="shared" si="34"/>
        <v/>
      </c>
      <c r="N325" s="9" t="str">
        <f>IF(NOT(ISERROR(VLOOKUP(B325,Deflatores!G$42:H$64,2,FALSE))),VLOOKUP(B325,Deflatores!G$42:H$64,2,FALSE),IF(OR(ISBLANK(C325),ISBLANK(B325)),"",VLOOKUP(C325,Deflatores!G$4:H$38,2,FALSE)*J325+VLOOKUP(C325,Deflatores!G$4:I$38,3,FALSE)))</f>
        <v/>
      </c>
      <c r="O325" s="5"/>
      <c r="P325" s="5"/>
      <c r="Q325" s="6"/>
      <c r="R325" s="10"/>
      <c r="S325" s="104"/>
      <c r="T325" s="162"/>
      <c r="U325" s="10"/>
    </row>
    <row r="326" spans="1:21" ht="21.75" customHeight="1" x14ac:dyDescent="0.2">
      <c r="A326" s="102"/>
      <c r="B326" s="2"/>
      <c r="C326" s="2"/>
      <c r="D326" s="2"/>
      <c r="E326" s="5"/>
      <c r="F326" s="2"/>
      <c r="G326" s="5"/>
      <c r="H326" s="8" t="str">
        <f t="shared" si="29"/>
        <v/>
      </c>
      <c r="I326" s="7" t="str">
        <f t="shared" si="30"/>
        <v/>
      </c>
      <c r="J326" s="3" t="str">
        <f t="shared" si="31"/>
        <v/>
      </c>
      <c r="K326" s="4" t="str">
        <f t="shared" si="32"/>
        <v/>
      </c>
      <c r="L326" s="7" t="str">
        <f t="shared" si="33"/>
        <v/>
      </c>
      <c r="M326" s="9" t="str">
        <f t="shared" si="34"/>
        <v/>
      </c>
      <c r="N326" s="9" t="str">
        <f>IF(NOT(ISERROR(VLOOKUP(B326,Deflatores!G$42:H$64,2,FALSE))),VLOOKUP(B326,Deflatores!G$42:H$64,2,FALSE),IF(OR(ISBLANK(C326),ISBLANK(B326)),"",VLOOKUP(C326,Deflatores!G$4:H$38,2,FALSE)*J326+VLOOKUP(C326,Deflatores!G$4:I$38,3,FALSE)))</f>
        <v/>
      </c>
      <c r="O326" s="5"/>
      <c r="P326" s="5"/>
      <c r="Q326" s="6"/>
      <c r="R326" s="10"/>
      <c r="S326" s="104"/>
      <c r="T326" s="162"/>
      <c r="U326" s="10"/>
    </row>
    <row r="327" spans="1:21" ht="21.75" customHeight="1" x14ac:dyDescent="0.2">
      <c r="A327" s="102"/>
      <c r="B327" s="2"/>
      <c r="C327" s="2"/>
      <c r="D327" s="2"/>
      <c r="E327" s="5"/>
      <c r="F327" s="2"/>
      <c r="G327" s="5"/>
      <c r="H327" s="8" t="str">
        <f t="shared" si="29"/>
        <v/>
      </c>
      <c r="I327" s="7" t="str">
        <f t="shared" si="30"/>
        <v/>
      </c>
      <c r="J327" s="3" t="str">
        <f t="shared" si="31"/>
        <v/>
      </c>
      <c r="K327" s="4" t="str">
        <f t="shared" si="32"/>
        <v/>
      </c>
      <c r="L327" s="7" t="str">
        <f t="shared" si="33"/>
        <v/>
      </c>
      <c r="M327" s="9" t="str">
        <f t="shared" si="34"/>
        <v/>
      </c>
      <c r="N327" s="9" t="str">
        <f>IF(NOT(ISERROR(VLOOKUP(B327,Deflatores!G$42:H$64,2,FALSE))),VLOOKUP(B327,Deflatores!G$42:H$64,2,FALSE),IF(OR(ISBLANK(C327),ISBLANK(B327)),"",VLOOKUP(C327,Deflatores!G$4:H$38,2,FALSE)*J327+VLOOKUP(C327,Deflatores!G$4:I$38,3,FALSE)))</f>
        <v/>
      </c>
      <c r="O327" s="5"/>
      <c r="P327" s="5"/>
      <c r="Q327" s="6"/>
      <c r="R327" s="10"/>
      <c r="S327" s="104"/>
      <c r="T327" s="162"/>
      <c r="U327" s="10"/>
    </row>
    <row r="328" spans="1:21" ht="21.75" customHeight="1" x14ac:dyDescent="0.2">
      <c r="A328" s="102"/>
      <c r="B328" s="2"/>
      <c r="C328" s="2"/>
      <c r="D328" s="2"/>
      <c r="E328" s="5"/>
      <c r="F328" s="2"/>
      <c r="G328" s="5"/>
      <c r="H328" s="8" t="str">
        <f t="shared" si="29"/>
        <v/>
      </c>
      <c r="I328" s="7" t="str">
        <f t="shared" si="30"/>
        <v/>
      </c>
      <c r="J328" s="3" t="str">
        <f t="shared" si="31"/>
        <v/>
      </c>
      <c r="K328" s="4" t="str">
        <f t="shared" si="32"/>
        <v/>
      </c>
      <c r="L328" s="7" t="str">
        <f t="shared" si="33"/>
        <v/>
      </c>
      <c r="M328" s="9" t="str">
        <f t="shared" si="34"/>
        <v/>
      </c>
      <c r="N328" s="9" t="str">
        <f>IF(NOT(ISERROR(VLOOKUP(B328,Deflatores!G$42:H$64,2,FALSE))),VLOOKUP(B328,Deflatores!G$42:H$64,2,FALSE),IF(OR(ISBLANK(C328),ISBLANK(B328)),"",VLOOKUP(C328,Deflatores!G$4:H$38,2,FALSE)*J328+VLOOKUP(C328,Deflatores!G$4:I$38,3,FALSE)))</f>
        <v/>
      </c>
      <c r="O328" s="5"/>
      <c r="P328" s="5"/>
      <c r="Q328" s="6"/>
      <c r="R328" s="10"/>
      <c r="S328" s="104"/>
      <c r="T328" s="162"/>
      <c r="U328" s="10"/>
    </row>
    <row r="329" spans="1:21" ht="21.75" customHeight="1" x14ac:dyDescent="0.2">
      <c r="A329" s="102"/>
      <c r="B329" s="2"/>
      <c r="C329" s="2"/>
      <c r="D329" s="2"/>
      <c r="E329" s="5"/>
      <c r="F329" s="2"/>
      <c r="G329" s="5"/>
      <c r="H329" s="8" t="str">
        <f t="shared" ref="H329:H392" si="35">IF(ISBLANK(B329),"",IF(K329="L","Baixa",IF(K329="A","Média",IF(K329="","","Alta"))))</f>
        <v/>
      </c>
      <c r="I329" s="7" t="str">
        <f t="shared" ref="I329:I392" si="36">CONCATENATE(B329,K329)</f>
        <v/>
      </c>
      <c r="J329" s="3" t="str">
        <f t="shared" ref="J329:J392" si="37">IF(ISBLANK(B329),"",IF(B329="ALI",IF(K329="L",7,IF(K329="A",10,15)),IF(B329="AIE",IF(K329="L",5,IF(K329="A",7,10)),IF(B329="SE",IF(K329="L",4,IF(K329="A",5,7)),IF(OR(B329="EE",B329="CE"),IF(K329="L",3,IF(K329="A",4,6)),0)))))</f>
        <v/>
      </c>
      <c r="K329" s="4" t="str">
        <f t="shared" ref="K329:K392" si="38">IF(OR(ISBLANK(D329),ISBLANK(F329)),IF(OR(B329="ALI",B329="AIE"),"L",IF(OR(B329="EE",B329="SE",B329="CE"),"A","")),IF(B329="EE",IF(F329&gt;=3,IF(D329&gt;=5,"H","A"),IF(F329&gt;=2,IF(D329&gt;=16,"H",IF(D329&lt;=4,"L","A")),IF(D329&lt;=15,"L","A"))),IF(OR(B329="SE",B329="CE"),IF(F329&gt;=4,IF(D329&gt;=6,"H","A"),IF(F329&gt;=2,IF(D329&gt;=20,"H",IF(D329&lt;=5,"L","A")),IF(D329&lt;=19,"L","A"))),IF(OR(B329="ALI",B329="AIE"),IF(F329&gt;=6,IF(D329&gt;=20,"H","A"),IF(F329&gt;=2,IF(D329&gt;=51,"H",IF(D329&lt;=19,"L","A")),IF(D329&lt;=50,"L","A"))),""))))</f>
        <v/>
      </c>
      <c r="L329" s="7" t="str">
        <f t="shared" ref="L329:L392" si="39">CONCATENATE(B329,C329)</f>
        <v/>
      </c>
      <c r="M329" s="9" t="str">
        <f t="shared" ref="M329:M392" si="40">IF(OR(J329="",J329=0),N329,J329)</f>
        <v/>
      </c>
      <c r="N329" s="9" t="str">
        <f>IF(NOT(ISERROR(VLOOKUP(B329,Deflatores!G$42:H$64,2,FALSE))),VLOOKUP(B329,Deflatores!G$42:H$64,2,FALSE),IF(OR(ISBLANK(C329),ISBLANK(B329)),"",VLOOKUP(C329,Deflatores!G$4:H$38,2,FALSE)*J329+VLOOKUP(C329,Deflatores!G$4:I$38,3,FALSE)))</f>
        <v/>
      </c>
      <c r="O329" s="5"/>
      <c r="P329" s="5"/>
      <c r="Q329" s="6"/>
      <c r="R329" s="10"/>
      <c r="S329" s="104"/>
      <c r="T329" s="162"/>
      <c r="U329" s="10"/>
    </row>
    <row r="330" spans="1:21" ht="21.75" customHeight="1" x14ac:dyDescent="0.2">
      <c r="A330" s="102"/>
      <c r="B330" s="2"/>
      <c r="C330" s="2"/>
      <c r="D330" s="2"/>
      <c r="E330" s="5"/>
      <c r="F330" s="2"/>
      <c r="G330" s="5"/>
      <c r="H330" s="8" t="str">
        <f t="shared" si="35"/>
        <v/>
      </c>
      <c r="I330" s="7" t="str">
        <f t="shared" si="36"/>
        <v/>
      </c>
      <c r="J330" s="3" t="str">
        <f t="shared" si="37"/>
        <v/>
      </c>
      <c r="K330" s="4" t="str">
        <f t="shared" si="38"/>
        <v/>
      </c>
      <c r="L330" s="7" t="str">
        <f t="shared" si="39"/>
        <v/>
      </c>
      <c r="M330" s="9" t="str">
        <f t="shared" si="40"/>
        <v/>
      </c>
      <c r="N330" s="9" t="str">
        <f>IF(NOT(ISERROR(VLOOKUP(B330,Deflatores!G$42:H$64,2,FALSE))),VLOOKUP(B330,Deflatores!G$42:H$64,2,FALSE),IF(OR(ISBLANK(C330),ISBLANK(B330)),"",VLOOKUP(C330,Deflatores!G$4:H$38,2,FALSE)*J330+VLOOKUP(C330,Deflatores!G$4:I$38,3,FALSE)))</f>
        <v/>
      </c>
      <c r="O330" s="5"/>
      <c r="P330" s="5"/>
      <c r="Q330" s="6"/>
      <c r="R330" s="10"/>
      <c r="S330" s="104"/>
      <c r="T330" s="162"/>
      <c r="U330" s="10"/>
    </row>
    <row r="331" spans="1:21" ht="21.75" customHeight="1" x14ac:dyDescent="0.2">
      <c r="A331" s="102"/>
      <c r="B331" s="2"/>
      <c r="C331" s="2"/>
      <c r="D331" s="2"/>
      <c r="E331" s="5"/>
      <c r="F331" s="2"/>
      <c r="G331" s="5"/>
      <c r="H331" s="8" t="str">
        <f t="shared" si="35"/>
        <v/>
      </c>
      <c r="I331" s="7" t="str">
        <f t="shared" si="36"/>
        <v/>
      </c>
      <c r="J331" s="3" t="str">
        <f t="shared" si="37"/>
        <v/>
      </c>
      <c r="K331" s="4" t="str">
        <f t="shared" si="38"/>
        <v/>
      </c>
      <c r="L331" s="7" t="str">
        <f t="shared" si="39"/>
        <v/>
      </c>
      <c r="M331" s="9" t="str">
        <f t="shared" si="40"/>
        <v/>
      </c>
      <c r="N331" s="9" t="str">
        <f>IF(NOT(ISERROR(VLOOKUP(B331,Deflatores!G$42:H$64,2,FALSE))),VLOOKUP(B331,Deflatores!G$42:H$64,2,FALSE),IF(OR(ISBLANK(C331),ISBLANK(B331)),"",VLOOKUP(C331,Deflatores!G$4:H$38,2,FALSE)*J331+VLOOKUP(C331,Deflatores!G$4:I$38,3,FALSE)))</f>
        <v/>
      </c>
      <c r="O331" s="5"/>
      <c r="P331" s="5"/>
      <c r="Q331" s="6"/>
      <c r="R331" s="10"/>
      <c r="S331" s="104"/>
      <c r="T331" s="162"/>
      <c r="U331" s="10"/>
    </row>
    <row r="332" spans="1:21" ht="21.75" customHeight="1" x14ac:dyDescent="0.2">
      <c r="A332" s="102"/>
      <c r="B332" s="2"/>
      <c r="C332" s="2"/>
      <c r="D332" s="2"/>
      <c r="E332" s="5"/>
      <c r="F332" s="2"/>
      <c r="G332" s="5"/>
      <c r="H332" s="8" t="str">
        <f t="shared" si="35"/>
        <v/>
      </c>
      <c r="I332" s="7" t="str">
        <f t="shared" si="36"/>
        <v/>
      </c>
      <c r="J332" s="3" t="str">
        <f t="shared" si="37"/>
        <v/>
      </c>
      <c r="K332" s="4" t="str">
        <f t="shared" si="38"/>
        <v/>
      </c>
      <c r="L332" s="7" t="str">
        <f t="shared" si="39"/>
        <v/>
      </c>
      <c r="M332" s="9" t="str">
        <f t="shared" si="40"/>
        <v/>
      </c>
      <c r="N332" s="9" t="str">
        <f>IF(NOT(ISERROR(VLOOKUP(B332,Deflatores!G$42:H$64,2,FALSE))),VLOOKUP(B332,Deflatores!G$42:H$64,2,FALSE),IF(OR(ISBLANK(C332),ISBLANK(B332)),"",VLOOKUP(C332,Deflatores!G$4:H$38,2,FALSE)*J332+VLOOKUP(C332,Deflatores!G$4:I$38,3,FALSE)))</f>
        <v/>
      </c>
      <c r="O332" s="5"/>
      <c r="P332" s="5"/>
      <c r="Q332" s="6"/>
      <c r="R332" s="10"/>
      <c r="S332" s="104"/>
      <c r="T332" s="162"/>
      <c r="U332" s="10"/>
    </row>
    <row r="333" spans="1:21" ht="21.75" customHeight="1" x14ac:dyDescent="0.2">
      <c r="A333" s="102"/>
      <c r="B333" s="2"/>
      <c r="C333" s="2"/>
      <c r="D333" s="2"/>
      <c r="E333" s="5"/>
      <c r="F333" s="2"/>
      <c r="G333" s="5"/>
      <c r="H333" s="8" t="str">
        <f t="shared" si="35"/>
        <v/>
      </c>
      <c r="I333" s="7" t="str">
        <f t="shared" si="36"/>
        <v/>
      </c>
      <c r="J333" s="3" t="str">
        <f t="shared" si="37"/>
        <v/>
      </c>
      <c r="K333" s="4" t="str">
        <f t="shared" si="38"/>
        <v/>
      </c>
      <c r="L333" s="7" t="str">
        <f t="shared" si="39"/>
        <v/>
      </c>
      <c r="M333" s="9" t="str">
        <f t="shared" si="40"/>
        <v/>
      </c>
      <c r="N333" s="9" t="str">
        <f>IF(NOT(ISERROR(VLOOKUP(B333,Deflatores!G$42:H$64,2,FALSE))),VLOOKUP(B333,Deflatores!G$42:H$64,2,FALSE),IF(OR(ISBLANK(C333),ISBLANK(B333)),"",VLOOKUP(C333,Deflatores!G$4:H$38,2,FALSE)*J333+VLOOKUP(C333,Deflatores!G$4:I$38,3,FALSE)))</f>
        <v/>
      </c>
      <c r="O333" s="5"/>
      <c r="P333" s="5"/>
      <c r="Q333" s="6"/>
      <c r="R333" s="10"/>
      <c r="S333" s="104"/>
      <c r="T333" s="162"/>
      <c r="U333" s="10"/>
    </row>
    <row r="334" spans="1:21" ht="21.75" customHeight="1" x14ac:dyDescent="0.2">
      <c r="A334" s="102"/>
      <c r="B334" s="2"/>
      <c r="C334" s="2"/>
      <c r="D334" s="2"/>
      <c r="E334" s="5"/>
      <c r="F334" s="2"/>
      <c r="G334" s="5"/>
      <c r="H334" s="8" t="str">
        <f t="shared" si="35"/>
        <v/>
      </c>
      <c r="I334" s="7" t="str">
        <f t="shared" si="36"/>
        <v/>
      </c>
      <c r="J334" s="3" t="str">
        <f t="shared" si="37"/>
        <v/>
      </c>
      <c r="K334" s="4" t="str">
        <f t="shared" si="38"/>
        <v/>
      </c>
      <c r="L334" s="7" t="str">
        <f t="shared" si="39"/>
        <v/>
      </c>
      <c r="M334" s="9" t="str">
        <f t="shared" si="40"/>
        <v/>
      </c>
      <c r="N334" s="9" t="str">
        <f>IF(NOT(ISERROR(VLOOKUP(B334,Deflatores!G$42:H$64,2,FALSE))),VLOOKUP(B334,Deflatores!G$42:H$64,2,FALSE),IF(OR(ISBLANK(C334),ISBLANK(B334)),"",VLOOKUP(C334,Deflatores!G$4:H$38,2,FALSE)*J334+VLOOKUP(C334,Deflatores!G$4:I$38,3,FALSE)))</f>
        <v/>
      </c>
      <c r="O334" s="5"/>
      <c r="P334" s="5"/>
      <c r="Q334" s="6"/>
      <c r="R334" s="10"/>
      <c r="S334" s="104"/>
      <c r="T334" s="162"/>
      <c r="U334" s="10"/>
    </row>
    <row r="335" spans="1:21" ht="21.75" customHeight="1" x14ac:dyDescent="0.2">
      <c r="A335" s="102"/>
      <c r="B335" s="2"/>
      <c r="C335" s="2"/>
      <c r="D335" s="2"/>
      <c r="E335" s="5"/>
      <c r="F335" s="2"/>
      <c r="G335" s="5"/>
      <c r="H335" s="8" t="str">
        <f t="shared" si="35"/>
        <v/>
      </c>
      <c r="I335" s="7" t="str">
        <f t="shared" si="36"/>
        <v/>
      </c>
      <c r="J335" s="3" t="str">
        <f t="shared" si="37"/>
        <v/>
      </c>
      <c r="K335" s="4" t="str">
        <f t="shared" si="38"/>
        <v/>
      </c>
      <c r="L335" s="7" t="str">
        <f t="shared" si="39"/>
        <v/>
      </c>
      <c r="M335" s="9" t="str">
        <f t="shared" si="40"/>
        <v/>
      </c>
      <c r="N335" s="9" t="str">
        <f>IF(NOT(ISERROR(VLOOKUP(B335,Deflatores!G$42:H$64,2,FALSE))),VLOOKUP(B335,Deflatores!G$42:H$64,2,FALSE),IF(OR(ISBLANK(C335),ISBLANK(B335)),"",VLOOKUP(C335,Deflatores!G$4:H$38,2,FALSE)*J335+VLOOKUP(C335,Deflatores!G$4:I$38,3,FALSE)))</f>
        <v/>
      </c>
      <c r="O335" s="5"/>
      <c r="P335" s="5"/>
      <c r="Q335" s="6"/>
      <c r="R335" s="10"/>
      <c r="S335" s="104"/>
      <c r="T335" s="162"/>
      <c r="U335" s="10"/>
    </row>
    <row r="336" spans="1:21" ht="21.75" customHeight="1" x14ac:dyDescent="0.2">
      <c r="A336" s="102"/>
      <c r="B336" s="2"/>
      <c r="C336" s="2"/>
      <c r="D336" s="2"/>
      <c r="E336" s="5"/>
      <c r="F336" s="2"/>
      <c r="G336" s="5"/>
      <c r="H336" s="8" t="str">
        <f t="shared" si="35"/>
        <v/>
      </c>
      <c r="I336" s="7" t="str">
        <f t="shared" si="36"/>
        <v/>
      </c>
      <c r="J336" s="3" t="str">
        <f t="shared" si="37"/>
        <v/>
      </c>
      <c r="K336" s="4" t="str">
        <f t="shared" si="38"/>
        <v/>
      </c>
      <c r="L336" s="7" t="str">
        <f t="shared" si="39"/>
        <v/>
      </c>
      <c r="M336" s="9" t="str">
        <f t="shared" si="40"/>
        <v/>
      </c>
      <c r="N336" s="9" t="str">
        <f>IF(NOT(ISERROR(VLOOKUP(B336,Deflatores!G$42:H$64,2,FALSE))),VLOOKUP(B336,Deflatores!G$42:H$64,2,FALSE),IF(OR(ISBLANK(C336),ISBLANK(B336)),"",VLOOKUP(C336,Deflatores!G$4:H$38,2,FALSE)*J336+VLOOKUP(C336,Deflatores!G$4:I$38,3,FALSE)))</f>
        <v/>
      </c>
      <c r="O336" s="5"/>
      <c r="P336" s="5"/>
      <c r="Q336" s="6"/>
      <c r="R336" s="10"/>
      <c r="S336" s="104"/>
      <c r="T336" s="162"/>
      <c r="U336" s="10"/>
    </row>
    <row r="337" spans="1:21" ht="21.75" customHeight="1" x14ac:dyDescent="0.2">
      <c r="A337" s="102"/>
      <c r="B337" s="2"/>
      <c r="C337" s="2"/>
      <c r="D337" s="2"/>
      <c r="E337" s="5"/>
      <c r="F337" s="2"/>
      <c r="G337" s="5"/>
      <c r="H337" s="8" t="str">
        <f t="shared" si="35"/>
        <v/>
      </c>
      <c r="I337" s="7" t="str">
        <f t="shared" si="36"/>
        <v/>
      </c>
      <c r="J337" s="3" t="str">
        <f t="shared" si="37"/>
        <v/>
      </c>
      <c r="K337" s="4" t="str">
        <f t="shared" si="38"/>
        <v/>
      </c>
      <c r="L337" s="7" t="str">
        <f t="shared" si="39"/>
        <v/>
      </c>
      <c r="M337" s="9" t="str">
        <f t="shared" si="40"/>
        <v/>
      </c>
      <c r="N337" s="9" t="str">
        <f>IF(NOT(ISERROR(VLOOKUP(B337,Deflatores!G$42:H$64,2,FALSE))),VLOOKUP(B337,Deflatores!G$42:H$64,2,FALSE),IF(OR(ISBLANK(C337),ISBLANK(B337)),"",VLOOKUP(C337,Deflatores!G$4:H$38,2,FALSE)*J337+VLOOKUP(C337,Deflatores!G$4:I$38,3,FALSE)))</f>
        <v/>
      </c>
      <c r="O337" s="5"/>
      <c r="P337" s="5"/>
      <c r="Q337" s="6"/>
      <c r="R337" s="10"/>
      <c r="S337" s="104"/>
      <c r="T337" s="162"/>
      <c r="U337" s="10"/>
    </row>
    <row r="338" spans="1:21" ht="21.75" customHeight="1" x14ac:dyDescent="0.2">
      <c r="A338" s="102"/>
      <c r="B338" s="2"/>
      <c r="C338" s="2"/>
      <c r="D338" s="2"/>
      <c r="E338" s="5"/>
      <c r="F338" s="2"/>
      <c r="G338" s="5"/>
      <c r="H338" s="8" t="str">
        <f t="shared" si="35"/>
        <v/>
      </c>
      <c r="I338" s="7" t="str">
        <f t="shared" si="36"/>
        <v/>
      </c>
      <c r="J338" s="3" t="str">
        <f t="shared" si="37"/>
        <v/>
      </c>
      <c r="K338" s="4" t="str">
        <f t="shared" si="38"/>
        <v/>
      </c>
      <c r="L338" s="7" t="str">
        <f t="shared" si="39"/>
        <v/>
      </c>
      <c r="M338" s="9" t="str">
        <f t="shared" si="40"/>
        <v/>
      </c>
      <c r="N338" s="9" t="str">
        <f>IF(NOT(ISERROR(VLOOKUP(B338,Deflatores!G$42:H$64,2,FALSE))),VLOOKUP(B338,Deflatores!G$42:H$64,2,FALSE),IF(OR(ISBLANK(C338),ISBLANK(B338)),"",VLOOKUP(C338,Deflatores!G$4:H$38,2,FALSE)*J338+VLOOKUP(C338,Deflatores!G$4:I$38,3,FALSE)))</f>
        <v/>
      </c>
      <c r="O338" s="5"/>
      <c r="P338" s="5"/>
      <c r="Q338" s="6"/>
      <c r="R338" s="10"/>
      <c r="S338" s="104"/>
      <c r="T338" s="162"/>
      <c r="U338" s="10"/>
    </row>
    <row r="339" spans="1:21" ht="21.75" customHeight="1" x14ac:dyDescent="0.2">
      <c r="A339" s="102"/>
      <c r="B339" s="2"/>
      <c r="C339" s="2"/>
      <c r="D339" s="2"/>
      <c r="E339" s="5"/>
      <c r="F339" s="2"/>
      <c r="G339" s="5"/>
      <c r="H339" s="8" t="str">
        <f t="shared" si="35"/>
        <v/>
      </c>
      <c r="I339" s="7" t="str">
        <f t="shared" si="36"/>
        <v/>
      </c>
      <c r="J339" s="3" t="str">
        <f t="shared" si="37"/>
        <v/>
      </c>
      <c r="K339" s="4" t="str">
        <f t="shared" si="38"/>
        <v/>
      </c>
      <c r="L339" s="7" t="str">
        <f t="shared" si="39"/>
        <v/>
      </c>
      <c r="M339" s="9" t="str">
        <f t="shared" si="40"/>
        <v/>
      </c>
      <c r="N339" s="9" t="str">
        <f>IF(NOT(ISERROR(VLOOKUP(B339,Deflatores!G$42:H$64,2,FALSE))),VLOOKUP(B339,Deflatores!G$42:H$64,2,FALSE),IF(OR(ISBLANK(C339),ISBLANK(B339)),"",VLOOKUP(C339,Deflatores!G$4:H$38,2,FALSE)*J339+VLOOKUP(C339,Deflatores!G$4:I$38,3,FALSE)))</f>
        <v/>
      </c>
      <c r="O339" s="5"/>
      <c r="P339" s="5"/>
      <c r="Q339" s="6"/>
      <c r="R339" s="10"/>
      <c r="S339" s="104"/>
      <c r="T339" s="162"/>
      <c r="U339" s="10"/>
    </row>
    <row r="340" spans="1:21" ht="21.75" customHeight="1" x14ac:dyDescent="0.2">
      <c r="A340" s="102"/>
      <c r="B340" s="2"/>
      <c r="C340" s="2"/>
      <c r="D340" s="2"/>
      <c r="E340" s="5"/>
      <c r="F340" s="2"/>
      <c r="G340" s="5"/>
      <c r="H340" s="8" t="str">
        <f t="shared" si="35"/>
        <v/>
      </c>
      <c r="I340" s="7" t="str">
        <f t="shared" si="36"/>
        <v/>
      </c>
      <c r="J340" s="3" t="str">
        <f t="shared" si="37"/>
        <v/>
      </c>
      <c r="K340" s="4" t="str">
        <f t="shared" si="38"/>
        <v/>
      </c>
      <c r="L340" s="7" t="str">
        <f t="shared" si="39"/>
        <v/>
      </c>
      <c r="M340" s="9" t="str">
        <f t="shared" si="40"/>
        <v/>
      </c>
      <c r="N340" s="9" t="str">
        <f>IF(NOT(ISERROR(VLOOKUP(B340,Deflatores!G$42:H$64,2,FALSE))),VLOOKUP(B340,Deflatores!G$42:H$64,2,FALSE),IF(OR(ISBLANK(C340),ISBLANK(B340)),"",VLOOKUP(C340,Deflatores!G$4:H$38,2,FALSE)*J340+VLOOKUP(C340,Deflatores!G$4:I$38,3,FALSE)))</f>
        <v/>
      </c>
      <c r="O340" s="5"/>
      <c r="P340" s="5"/>
      <c r="Q340" s="6"/>
      <c r="R340" s="10"/>
      <c r="S340" s="104"/>
      <c r="T340" s="162"/>
      <c r="U340" s="10"/>
    </row>
    <row r="341" spans="1:21" ht="21.75" customHeight="1" x14ac:dyDescent="0.2">
      <c r="A341" s="102"/>
      <c r="B341" s="2"/>
      <c r="C341" s="2"/>
      <c r="D341" s="2"/>
      <c r="E341" s="5"/>
      <c r="F341" s="2"/>
      <c r="G341" s="5"/>
      <c r="H341" s="8" t="str">
        <f t="shared" si="35"/>
        <v/>
      </c>
      <c r="I341" s="7" t="str">
        <f t="shared" si="36"/>
        <v/>
      </c>
      <c r="J341" s="3" t="str">
        <f t="shared" si="37"/>
        <v/>
      </c>
      <c r="K341" s="4" t="str">
        <f t="shared" si="38"/>
        <v/>
      </c>
      <c r="L341" s="7" t="str">
        <f t="shared" si="39"/>
        <v/>
      </c>
      <c r="M341" s="9" t="str">
        <f t="shared" si="40"/>
        <v/>
      </c>
      <c r="N341" s="9" t="str">
        <f>IF(NOT(ISERROR(VLOOKUP(B341,Deflatores!G$42:H$64,2,FALSE))),VLOOKUP(B341,Deflatores!G$42:H$64,2,FALSE),IF(OR(ISBLANK(C341),ISBLANK(B341)),"",VLOOKUP(C341,Deflatores!G$4:H$38,2,FALSE)*J341+VLOOKUP(C341,Deflatores!G$4:I$38,3,FALSE)))</f>
        <v/>
      </c>
      <c r="O341" s="5"/>
      <c r="P341" s="5"/>
      <c r="Q341" s="6"/>
      <c r="R341" s="10"/>
      <c r="S341" s="104"/>
      <c r="T341" s="162"/>
      <c r="U341" s="10"/>
    </row>
    <row r="342" spans="1:21" ht="21.75" customHeight="1" x14ac:dyDescent="0.2">
      <c r="A342" s="102"/>
      <c r="B342" s="2"/>
      <c r="C342" s="2"/>
      <c r="D342" s="2"/>
      <c r="E342" s="5"/>
      <c r="F342" s="2"/>
      <c r="G342" s="5"/>
      <c r="H342" s="8" t="str">
        <f t="shared" si="35"/>
        <v/>
      </c>
      <c r="I342" s="7" t="str">
        <f t="shared" si="36"/>
        <v/>
      </c>
      <c r="J342" s="3" t="str">
        <f t="shared" si="37"/>
        <v/>
      </c>
      <c r="K342" s="4" t="str">
        <f t="shared" si="38"/>
        <v/>
      </c>
      <c r="L342" s="7" t="str">
        <f t="shared" si="39"/>
        <v/>
      </c>
      <c r="M342" s="9" t="str">
        <f t="shared" si="40"/>
        <v/>
      </c>
      <c r="N342" s="9" t="str">
        <f>IF(NOT(ISERROR(VLOOKUP(B342,Deflatores!G$42:H$64,2,FALSE))),VLOOKUP(B342,Deflatores!G$42:H$64,2,FALSE),IF(OR(ISBLANK(C342),ISBLANK(B342)),"",VLOOKUP(C342,Deflatores!G$4:H$38,2,FALSE)*J342+VLOOKUP(C342,Deflatores!G$4:I$38,3,FALSE)))</f>
        <v/>
      </c>
      <c r="O342" s="5"/>
      <c r="P342" s="5"/>
      <c r="Q342" s="6"/>
      <c r="R342" s="10"/>
      <c r="S342" s="104"/>
      <c r="T342" s="162"/>
      <c r="U342" s="10"/>
    </row>
    <row r="343" spans="1:21" ht="21.75" customHeight="1" x14ac:dyDescent="0.2">
      <c r="A343" s="102"/>
      <c r="B343" s="2"/>
      <c r="C343" s="2"/>
      <c r="D343" s="2"/>
      <c r="E343" s="5"/>
      <c r="F343" s="2"/>
      <c r="G343" s="5"/>
      <c r="H343" s="8" t="str">
        <f t="shared" si="35"/>
        <v/>
      </c>
      <c r="I343" s="7" t="str">
        <f t="shared" si="36"/>
        <v/>
      </c>
      <c r="J343" s="3" t="str">
        <f t="shared" si="37"/>
        <v/>
      </c>
      <c r="K343" s="4" t="str">
        <f t="shared" si="38"/>
        <v/>
      </c>
      <c r="L343" s="7" t="str">
        <f t="shared" si="39"/>
        <v/>
      </c>
      <c r="M343" s="9" t="str">
        <f t="shared" si="40"/>
        <v/>
      </c>
      <c r="N343" s="9" t="str">
        <f>IF(NOT(ISERROR(VLOOKUP(B343,Deflatores!G$42:H$64,2,FALSE))),VLOOKUP(B343,Deflatores!G$42:H$64,2,FALSE),IF(OR(ISBLANK(C343),ISBLANK(B343)),"",VLOOKUP(C343,Deflatores!G$4:H$38,2,FALSE)*J343+VLOOKUP(C343,Deflatores!G$4:I$38,3,FALSE)))</f>
        <v/>
      </c>
      <c r="O343" s="5"/>
      <c r="P343" s="5"/>
      <c r="Q343" s="6"/>
      <c r="R343" s="10"/>
      <c r="S343" s="104"/>
      <c r="T343" s="162"/>
      <c r="U343" s="10"/>
    </row>
    <row r="344" spans="1:21" ht="21.75" customHeight="1" x14ac:dyDescent="0.2">
      <c r="A344" s="102"/>
      <c r="B344" s="2"/>
      <c r="C344" s="2"/>
      <c r="D344" s="2"/>
      <c r="E344" s="5"/>
      <c r="F344" s="2"/>
      <c r="G344" s="5"/>
      <c r="H344" s="8" t="str">
        <f t="shared" si="35"/>
        <v/>
      </c>
      <c r="I344" s="7" t="str">
        <f t="shared" si="36"/>
        <v/>
      </c>
      <c r="J344" s="3" t="str">
        <f t="shared" si="37"/>
        <v/>
      </c>
      <c r="K344" s="4" t="str">
        <f t="shared" si="38"/>
        <v/>
      </c>
      <c r="L344" s="7" t="str">
        <f t="shared" si="39"/>
        <v/>
      </c>
      <c r="M344" s="9" t="str">
        <f t="shared" si="40"/>
        <v/>
      </c>
      <c r="N344" s="9" t="str">
        <f>IF(NOT(ISERROR(VLOOKUP(B344,Deflatores!G$42:H$64,2,FALSE))),VLOOKUP(B344,Deflatores!G$42:H$64,2,FALSE),IF(OR(ISBLANK(C344),ISBLANK(B344)),"",VLOOKUP(C344,Deflatores!G$4:H$38,2,FALSE)*J344+VLOOKUP(C344,Deflatores!G$4:I$38,3,FALSE)))</f>
        <v/>
      </c>
      <c r="O344" s="5"/>
      <c r="P344" s="5"/>
      <c r="Q344" s="6"/>
      <c r="R344" s="10"/>
      <c r="S344" s="104"/>
      <c r="T344" s="162"/>
      <c r="U344" s="10"/>
    </row>
    <row r="345" spans="1:21" ht="21.75" customHeight="1" x14ac:dyDescent="0.2">
      <c r="A345" s="102"/>
      <c r="B345" s="2"/>
      <c r="C345" s="2"/>
      <c r="D345" s="2"/>
      <c r="E345" s="5"/>
      <c r="F345" s="2"/>
      <c r="G345" s="5"/>
      <c r="H345" s="8" t="str">
        <f t="shared" si="35"/>
        <v/>
      </c>
      <c r="I345" s="7" t="str">
        <f t="shared" si="36"/>
        <v/>
      </c>
      <c r="J345" s="3" t="str">
        <f t="shared" si="37"/>
        <v/>
      </c>
      <c r="K345" s="4" t="str">
        <f t="shared" si="38"/>
        <v/>
      </c>
      <c r="L345" s="7" t="str">
        <f t="shared" si="39"/>
        <v/>
      </c>
      <c r="M345" s="9" t="str">
        <f t="shared" si="40"/>
        <v/>
      </c>
      <c r="N345" s="9" t="str">
        <f>IF(NOT(ISERROR(VLOOKUP(B345,Deflatores!G$42:H$64,2,FALSE))),VLOOKUP(B345,Deflatores!G$42:H$64,2,FALSE),IF(OR(ISBLANK(C345),ISBLANK(B345)),"",VLOOKUP(C345,Deflatores!G$4:H$38,2,FALSE)*J345+VLOOKUP(C345,Deflatores!G$4:I$38,3,FALSE)))</f>
        <v/>
      </c>
      <c r="O345" s="5"/>
      <c r="P345" s="5"/>
      <c r="Q345" s="6"/>
      <c r="R345" s="10"/>
      <c r="S345" s="104"/>
      <c r="T345" s="162"/>
      <c r="U345" s="10"/>
    </row>
    <row r="346" spans="1:21" ht="21.75" customHeight="1" x14ac:dyDescent="0.2">
      <c r="A346" s="102"/>
      <c r="B346" s="2"/>
      <c r="C346" s="2"/>
      <c r="D346" s="2"/>
      <c r="E346" s="5"/>
      <c r="F346" s="2"/>
      <c r="G346" s="5"/>
      <c r="H346" s="8" t="str">
        <f t="shared" si="35"/>
        <v/>
      </c>
      <c r="I346" s="7" t="str">
        <f t="shared" si="36"/>
        <v/>
      </c>
      <c r="J346" s="3" t="str">
        <f t="shared" si="37"/>
        <v/>
      </c>
      <c r="K346" s="4" t="str">
        <f t="shared" si="38"/>
        <v/>
      </c>
      <c r="L346" s="7" t="str">
        <f t="shared" si="39"/>
        <v/>
      </c>
      <c r="M346" s="9" t="str">
        <f t="shared" si="40"/>
        <v/>
      </c>
      <c r="N346" s="9" t="str">
        <f>IF(NOT(ISERROR(VLOOKUP(B346,Deflatores!G$42:H$64,2,FALSE))),VLOOKUP(B346,Deflatores!G$42:H$64,2,FALSE),IF(OR(ISBLANK(C346),ISBLANK(B346)),"",VLOOKUP(C346,Deflatores!G$4:H$38,2,FALSE)*J346+VLOOKUP(C346,Deflatores!G$4:I$38,3,FALSE)))</f>
        <v/>
      </c>
      <c r="O346" s="5"/>
      <c r="P346" s="5"/>
      <c r="Q346" s="6"/>
      <c r="R346" s="10"/>
      <c r="S346" s="104"/>
      <c r="T346" s="162"/>
      <c r="U346" s="10"/>
    </row>
    <row r="347" spans="1:21" ht="21.75" customHeight="1" x14ac:dyDescent="0.2">
      <c r="A347" s="102"/>
      <c r="B347" s="2"/>
      <c r="C347" s="2"/>
      <c r="D347" s="2"/>
      <c r="E347" s="5"/>
      <c r="F347" s="2"/>
      <c r="G347" s="5"/>
      <c r="H347" s="8" t="str">
        <f t="shared" si="35"/>
        <v/>
      </c>
      <c r="I347" s="7" t="str">
        <f t="shared" si="36"/>
        <v/>
      </c>
      <c r="J347" s="3" t="str">
        <f t="shared" si="37"/>
        <v/>
      </c>
      <c r="K347" s="4" t="str">
        <f t="shared" si="38"/>
        <v/>
      </c>
      <c r="L347" s="7" t="str">
        <f t="shared" si="39"/>
        <v/>
      </c>
      <c r="M347" s="9" t="str">
        <f t="shared" si="40"/>
        <v/>
      </c>
      <c r="N347" s="9" t="str">
        <f>IF(NOT(ISERROR(VLOOKUP(B347,Deflatores!G$42:H$64,2,FALSE))),VLOOKUP(B347,Deflatores!G$42:H$64,2,FALSE),IF(OR(ISBLANK(C347),ISBLANK(B347)),"",VLOOKUP(C347,Deflatores!G$4:H$38,2,FALSE)*J347+VLOOKUP(C347,Deflatores!G$4:I$38,3,FALSE)))</f>
        <v/>
      </c>
      <c r="O347" s="5"/>
      <c r="P347" s="5"/>
      <c r="Q347" s="6"/>
      <c r="R347" s="10"/>
      <c r="S347" s="104"/>
      <c r="T347" s="162"/>
      <c r="U347" s="10"/>
    </row>
    <row r="348" spans="1:21" ht="21.75" customHeight="1" x14ac:dyDescent="0.2">
      <c r="A348" s="102"/>
      <c r="B348" s="2"/>
      <c r="C348" s="2"/>
      <c r="D348" s="2"/>
      <c r="E348" s="5"/>
      <c r="F348" s="2"/>
      <c r="G348" s="5"/>
      <c r="H348" s="8" t="str">
        <f t="shared" si="35"/>
        <v/>
      </c>
      <c r="I348" s="7" t="str">
        <f t="shared" si="36"/>
        <v/>
      </c>
      <c r="J348" s="3" t="str">
        <f t="shared" si="37"/>
        <v/>
      </c>
      <c r="K348" s="4" t="str">
        <f t="shared" si="38"/>
        <v/>
      </c>
      <c r="L348" s="7" t="str">
        <f t="shared" si="39"/>
        <v/>
      </c>
      <c r="M348" s="9" t="str">
        <f t="shared" si="40"/>
        <v/>
      </c>
      <c r="N348" s="9" t="str">
        <f>IF(NOT(ISERROR(VLOOKUP(B348,Deflatores!G$42:H$64,2,FALSE))),VLOOKUP(B348,Deflatores!G$42:H$64,2,FALSE),IF(OR(ISBLANK(C348),ISBLANK(B348)),"",VLOOKUP(C348,Deflatores!G$4:H$38,2,FALSE)*J348+VLOOKUP(C348,Deflatores!G$4:I$38,3,FALSE)))</f>
        <v/>
      </c>
      <c r="O348" s="5"/>
      <c r="P348" s="5"/>
      <c r="Q348" s="6"/>
      <c r="R348" s="10"/>
      <c r="S348" s="104"/>
      <c r="T348" s="162"/>
      <c r="U348" s="10"/>
    </row>
    <row r="349" spans="1:21" ht="21.75" customHeight="1" x14ac:dyDescent="0.2">
      <c r="A349" s="102"/>
      <c r="B349" s="2"/>
      <c r="C349" s="2"/>
      <c r="D349" s="2"/>
      <c r="E349" s="5"/>
      <c r="F349" s="2"/>
      <c r="G349" s="5"/>
      <c r="H349" s="8" t="str">
        <f t="shared" si="35"/>
        <v/>
      </c>
      <c r="I349" s="7" t="str">
        <f t="shared" si="36"/>
        <v/>
      </c>
      <c r="J349" s="3" t="str">
        <f t="shared" si="37"/>
        <v/>
      </c>
      <c r="K349" s="4" t="str">
        <f t="shared" si="38"/>
        <v/>
      </c>
      <c r="L349" s="7" t="str">
        <f t="shared" si="39"/>
        <v/>
      </c>
      <c r="M349" s="9" t="str">
        <f t="shared" si="40"/>
        <v/>
      </c>
      <c r="N349" s="9" t="str">
        <f>IF(NOT(ISERROR(VLOOKUP(B349,Deflatores!G$42:H$64,2,FALSE))),VLOOKUP(B349,Deflatores!G$42:H$64,2,FALSE),IF(OR(ISBLANK(C349),ISBLANK(B349)),"",VLOOKUP(C349,Deflatores!G$4:H$38,2,FALSE)*J349+VLOOKUP(C349,Deflatores!G$4:I$38,3,FALSE)))</f>
        <v/>
      </c>
      <c r="O349" s="5"/>
      <c r="P349" s="5"/>
      <c r="Q349" s="6"/>
      <c r="R349" s="10"/>
      <c r="S349" s="104"/>
      <c r="T349" s="162"/>
      <c r="U349" s="10"/>
    </row>
    <row r="350" spans="1:21" ht="21.75" customHeight="1" x14ac:dyDescent="0.2">
      <c r="A350" s="102"/>
      <c r="B350" s="2"/>
      <c r="C350" s="2"/>
      <c r="D350" s="2"/>
      <c r="E350" s="5"/>
      <c r="F350" s="2"/>
      <c r="G350" s="5"/>
      <c r="H350" s="8" t="str">
        <f t="shared" si="35"/>
        <v/>
      </c>
      <c r="I350" s="7" t="str">
        <f t="shared" si="36"/>
        <v/>
      </c>
      <c r="J350" s="3" t="str">
        <f t="shared" si="37"/>
        <v/>
      </c>
      <c r="K350" s="4" t="str">
        <f t="shared" si="38"/>
        <v/>
      </c>
      <c r="L350" s="7" t="str">
        <f t="shared" si="39"/>
        <v/>
      </c>
      <c r="M350" s="9" t="str">
        <f t="shared" si="40"/>
        <v/>
      </c>
      <c r="N350" s="9" t="str">
        <f>IF(NOT(ISERROR(VLOOKUP(B350,Deflatores!G$42:H$64,2,FALSE))),VLOOKUP(B350,Deflatores!G$42:H$64,2,FALSE),IF(OR(ISBLANK(C350),ISBLANK(B350)),"",VLOOKUP(C350,Deflatores!G$4:H$38,2,FALSE)*J350+VLOOKUP(C350,Deflatores!G$4:I$38,3,FALSE)))</f>
        <v/>
      </c>
      <c r="O350" s="5"/>
      <c r="P350" s="5"/>
      <c r="Q350" s="6"/>
      <c r="R350" s="10"/>
      <c r="S350" s="104"/>
      <c r="T350" s="162"/>
      <c r="U350" s="10"/>
    </row>
    <row r="351" spans="1:21" ht="21.75" customHeight="1" x14ac:dyDescent="0.2">
      <c r="A351" s="102"/>
      <c r="B351" s="2"/>
      <c r="C351" s="2"/>
      <c r="D351" s="2"/>
      <c r="E351" s="5"/>
      <c r="F351" s="2"/>
      <c r="G351" s="5"/>
      <c r="H351" s="8" t="str">
        <f t="shared" si="35"/>
        <v/>
      </c>
      <c r="I351" s="7" t="str">
        <f t="shared" si="36"/>
        <v/>
      </c>
      <c r="J351" s="3" t="str">
        <f t="shared" si="37"/>
        <v/>
      </c>
      <c r="K351" s="4" t="str">
        <f t="shared" si="38"/>
        <v/>
      </c>
      <c r="L351" s="7" t="str">
        <f t="shared" si="39"/>
        <v/>
      </c>
      <c r="M351" s="9" t="str">
        <f t="shared" si="40"/>
        <v/>
      </c>
      <c r="N351" s="9" t="str">
        <f>IF(NOT(ISERROR(VLOOKUP(B351,Deflatores!G$42:H$64,2,FALSE))),VLOOKUP(B351,Deflatores!G$42:H$64,2,FALSE),IF(OR(ISBLANK(C351),ISBLANK(B351)),"",VLOOKUP(C351,Deflatores!G$4:H$38,2,FALSE)*J351+VLOOKUP(C351,Deflatores!G$4:I$38,3,FALSE)))</f>
        <v/>
      </c>
      <c r="O351" s="5"/>
      <c r="P351" s="5"/>
      <c r="Q351" s="6"/>
      <c r="R351" s="10"/>
      <c r="S351" s="104"/>
      <c r="T351" s="162"/>
      <c r="U351" s="10"/>
    </row>
    <row r="352" spans="1:21" ht="21.75" customHeight="1" x14ac:dyDescent="0.2">
      <c r="A352" s="102"/>
      <c r="B352" s="2"/>
      <c r="C352" s="2"/>
      <c r="D352" s="2"/>
      <c r="E352" s="5"/>
      <c r="F352" s="2"/>
      <c r="G352" s="5"/>
      <c r="H352" s="8" t="str">
        <f t="shared" si="35"/>
        <v/>
      </c>
      <c r="I352" s="7" t="str">
        <f t="shared" si="36"/>
        <v/>
      </c>
      <c r="J352" s="3" t="str">
        <f t="shared" si="37"/>
        <v/>
      </c>
      <c r="K352" s="4" t="str">
        <f t="shared" si="38"/>
        <v/>
      </c>
      <c r="L352" s="7" t="str">
        <f t="shared" si="39"/>
        <v/>
      </c>
      <c r="M352" s="9" t="str">
        <f t="shared" si="40"/>
        <v/>
      </c>
      <c r="N352" s="9" t="str">
        <f>IF(NOT(ISERROR(VLOOKUP(B352,Deflatores!G$42:H$64,2,FALSE))),VLOOKUP(B352,Deflatores!G$42:H$64,2,FALSE),IF(OR(ISBLANK(C352),ISBLANK(B352)),"",VLOOKUP(C352,Deflatores!G$4:H$38,2,FALSE)*J352+VLOOKUP(C352,Deflatores!G$4:I$38,3,FALSE)))</f>
        <v/>
      </c>
      <c r="O352" s="5"/>
      <c r="P352" s="5"/>
      <c r="Q352" s="6"/>
      <c r="R352" s="10"/>
      <c r="S352" s="104"/>
      <c r="T352" s="162"/>
      <c r="U352" s="10"/>
    </row>
    <row r="353" spans="1:21" ht="21.75" customHeight="1" x14ac:dyDescent="0.2">
      <c r="A353" s="102"/>
      <c r="B353" s="2"/>
      <c r="C353" s="2"/>
      <c r="D353" s="2"/>
      <c r="E353" s="5"/>
      <c r="F353" s="2"/>
      <c r="G353" s="5"/>
      <c r="H353" s="8" t="str">
        <f t="shared" si="35"/>
        <v/>
      </c>
      <c r="I353" s="7" t="str">
        <f t="shared" si="36"/>
        <v/>
      </c>
      <c r="J353" s="3" t="str">
        <f t="shared" si="37"/>
        <v/>
      </c>
      <c r="K353" s="4" t="str">
        <f t="shared" si="38"/>
        <v/>
      </c>
      <c r="L353" s="7" t="str">
        <f t="shared" si="39"/>
        <v/>
      </c>
      <c r="M353" s="9" t="str">
        <f t="shared" si="40"/>
        <v/>
      </c>
      <c r="N353" s="9" t="str">
        <f>IF(NOT(ISERROR(VLOOKUP(B353,Deflatores!G$42:H$64,2,FALSE))),VLOOKUP(B353,Deflatores!G$42:H$64,2,FALSE),IF(OR(ISBLANK(C353),ISBLANK(B353)),"",VLOOKUP(C353,Deflatores!G$4:H$38,2,FALSE)*J353+VLOOKUP(C353,Deflatores!G$4:I$38,3,FALSE)))</f>
        <v/>
      </c>
      <c r="O353" s="5"/>
      <c r="P353" s="5"/>
      <c r="Q353" s="6"/>
      <c r="R353" s="10"/>
      <c r="S353" s="104"/>
      <c r="T353" s="162"/>
      <c r="U353" s="10"/>
    </row>
    <row r="354" spans="1:21" ht="21.75" customHeight="1" x14ac:dyDescent="0.2">
      <c r="A354" s="102"/>
      <c r="B354" s="2"/>
      <c r="C354" s="2"/>
      <c r="D354" s="2"/>
      <c r="E354" s="5"/>
      <c r="F354" s="2"/>
      <c r="G354" s="5"/>
      <c r="H354" s="8" t="str">
        <f t="shared" si="35"/>
        <v/>
      </c>
      <c r="I354" s="7" t="str">
        <f t="shared" si="36"/>
        <v/>
      </c>
      <c r="J354" s="3" t="str">
        <f t="shared" si="37"/>
        <v/>
      </c>
      <c r="K354" s="4" t="str">
        <f t="shared" si="38"/>
        <v/>
      </c>
      <c r="L354" s="7" t="str">
        <f t="shared" si="39"/>
        <v/>
      </c>
      <c r="M354" s="9" t="str">
        <f t="shared" si="40"/>
        <v/>
      </c>
      <c r="N354" s="9" t="str">
        <f>IF(NOT(ISERROR(VLOOKUP(B354,Deflatores!G$42:H$64,2,FALSE))),VLOOKUP(B354,Deflatores!G$42:H$64,2,FALSE),IF(OR(ISBLANK(C354),ISBLANK(B354)),"",VLOOKUP(C354,Deflatores!G$4:H$38,2,FALSE)*J354+VLOOKUP(C354,Deflatores!G$4:I$38,3,FALSE)))</f>
        <v/>
      </c>
      <c r="O354" s="5"/>
      <c r="P354" s="5"/>
      <c r="Q354" s="6"/>
      <c r="R354" s="10"/>
      <c r="S354" s="104"/>
      <c r="T354" s="162"/>
      <c r="U354" s="10"/>
    </row>
    <row r="355" spans="1:21" ht="21.75" customHeight="1" x14ac:dyDescent="0.2">
      <c r="A355" s="102"/>
      <c r="B355" s="2"/>
      <c r="C355" s="2"/>
      <c r="D355" s="2"/>
      <c r="E355" s="5"/>
      <c r="F355" s="2"/>
      <c r="G355" s="5"/>
      <c r="H355" s="8" t="str">
        <f t="shared" si="35"/>
        <v/>
      </c>
      <c r="I355" s="7" t="str">
        <f t="shared" si="36"/>
        <v/>
      </c>
      <c r="J355" s="3" t="str">
        <f t="shared" si="37"/>
        <v/>
      </c>
      <c r="K355" s="4" t="str">
        <f t="shared" si="38"/>
        <v/>
      </c>
      <c r="L355" s="7" t="str">
        <f t="shared" si="39"/>
        <v/>
      </c>
      <c r="M355" s="9" t="str">
        <f t="shared" si="40"/>
        <v/>
      </c>
      <c r="N355" s="9" t="str">
        <f>IF(NOT(ISERROR(VLOOKUP(B355,Deflatores!G$42:H$64,2,FALSE))),VLOOKUP(B355,Deflatores!G$42:H$64,2,FALSE),IF(OR(ISBLANK(C355),ISBLANK(B355)),"",VLOOKUP(C355,Deflatores!G$4:H$38,2,FALSE)*J355+VLOOKUP(C355,Deflatores!G$4:I$38,3,FALSE)))</f>
        <v/>
      </c>
      <c r="O355" s="5"/>
      <c r="P355" s="5"/>
      <c r="Q355" s="6"/>
      <c r="R355" s="10"/>
      <c r="S355" s="104"/>
      <c r="T355" s="162"/>
      <c r="U355" s="10"/>
    </row>
    <row r="356" spans="1:21" ht="21.75" customHeight="1" x14ac:dyDescent="0.2">
      <c r="A356" s="102"/>
      <c r="B356" s="2"/>
      <c r="C356" s="2"/>
      <c r="D356" s="2"/>
      <c r="E356" s="5"/>
      <c r="F356" s="2"/>
      <c r="G356" s="5"/>
      <c r="H356" s="8" t="str">
        <f t="shared" si="35"/>
        <v/>
      </c>
      <c r="I356" s="7" t="str">
        <f t="shared" si="36"/>
        <v/>
      </c>
      <c r="J356" s="3" t="str">
        <f t="shared" si="37"/>
        <v/>
      </c>
      <c r="K356" s="4" t="str">
        <f t="shared" si="38"/>
        <v/>
      </c>
      <c r="L356" s="7" t="str">
        <f t="shared" si="39"/>
        <v/>
      </c>
      <c r="M356" s="9" t="str">
        <f t="shared" si="40"/>
        <v/>
      </c>
      <c r="N356" s="9" t="str">
        <f>IF(NOT(ISERROR(VLOOKUP(B356,Deflatores!G$42:H$64,2,FALSE))),VLOOKUP(B356,Deflatores!G$42:H$64,2,FALSE),IF(OR(ISBLANK(C356),ISBLANK(B356)),"",VLOOKUP(C356,Deflatores!G$4:H$38,2,FALSE)*J356+VLOOKUP(C356,Deflatores!G$4:I$38,3,FALSE)))</f>
        <v/>
      </c>
      <c r="O356" s="5"/>
      <c r="P356" s="5"/>
      <c r="Q356" s="6"/>
      <c r="R356" s="10"/>
      <c r="S356" s="104"/>
      <c r="T356" s="162"/>
      <c r="U356" s="10"/>
    </row>
    <row r="357" spans="1:21" ht="21.75" customHeight="1" x14ac:dyDescent="0.2">
      <c r="A357" s="102"/>
      <c r="B357" s="2"/>
      <c r="C357" s="2"/>
      <c r="D357" s="2"/>
      <c r="E357" s="5"/>
      <c r="F357" s="2"/>
      <c r="G357" s="5"/>
      <c r="H357" s="8" t="str">
        <f t="shared" si="35"/>
        <v/>
      </c>
      <c r="I357" s="7" t="str">
        <f t="shared" si="36"/>
        <v/>
      </c>
      <c r="J357" s="3" t="str">
        <f t="shared" si="37"/>
        <v/>
      </c>
      <c r="K357" s="4" t="str">
        <f t="shared" si="38"/>
        <v/>
      </c>
      <c r="L357" s="7" t="str">
        <f t="shared" si="39"/>
        <v/>
      </c>
      <c r="M357" s="9" t="str">
        <f t="shared" si="40"/>
        <v/>
      </c>
      <c r="N357" s="9" t="str">
        <f>IF(NOT(ISERROR(VLOOKUP(B357,Deflatores!G$42:H$64,2,FALSE))),VLOOKUP(B357,Deflatores!G$42:H$64,2,FALSE),IF(OR(ISBLANK(C357),ISBLANK(B357)),"",VLOOKUP(C357,Deflatores!G$4:H$38,2,FALSE)*J357+VLOOKUP(C357,Deflatores!G$4:I$38,3,FALSE)))</f>
        <v/>
      </c>
      <c r="O357" s="5"/>
      <c r="P357" s="5"/>
      <c r="Q357" s="6"/>
      <c r="R357" s="10"/>
      <c r="S357" s="104"/>
      <c r="T357" s="162"/>
      <c r="U357" s="10"/>
    </row>
    <row r="358" spans="1:21" ht="21.75" customHeight="1" x14ac:dyDescent="0.2">
      <c r="A358" s="102"/>
      <c r="B358" s="2"/>
      <c r="C358" s="2"/>
      <c r="D358" s="2"/>
      <c r="E358" s="5"/>
      <c r="F358" s="2"/>
      <c r="G358" s="5"/>
      <c r="H358" s="8" t="str">
        <f t="shared" si="35"/>
        <v/>
      </c>
      <c r="I358" s="7" t="str">
        <f t="shared" si="36"/>
        <v/>
      </c>
      <c r="J358" s="3" t="str">
        <f t="shared" si="37"/>
        <v/>
      </c>
      <c r="K358" s="4" t="str">
        <f t="shared" si="38"/>
        <v/>
      </c>
      <c r="L358" s="7" t="str">
        <f t="shared" si="39"/>
        <v/>
      </c>
      <c r="M358" s="9" t="str">
        <f t="shared" si="40"/>
        <v/>
      </c>
      <c r="N358" s="9" t="str">
        <f>IF(NOT(ISERROR(VLOOKUP(B358,Deflatores!G$42:H$64,2,FALSE))),VLOOKUP(B358,Deflatores!G$42:H$64,2,FALSE),IF(OR(ISBLANK(C358),ISBLANK(B358)),"",VLOOKUP(C358,Deflatores!G$4:H$38,2,FALSE)*J358+VLOOKUP(C358,Deflatores!G$4:I$38,3,FALSE)))</f>
        <v/>
      </c>
      <c r="O358" s="5"/>
      <c r="P358" s="5"/>
      <c r="Q358" s="6"/>
      <c r="R358" s="10"/>
      <c r="S358" s="104"/>
      <c r="T358" s="162"/>
      <c r="U358" s="10"/>
    </row>
    <row r="359" spans="1:21" ht="21.75" customHeight="1" x14ac:dyDescent="0.2">
      <c r="A359" s="102"/>
      <c r="B359" s="2"/>
      <c r="C359" s="2"/>
      <c r="D359" s="2"/>
      <c r="E359" s="5"/>
      <c r="F359" s="2"/>
      <c r="G359" s="5"/>
      <c r="H359" s="8" t="str">
        <f t="shared" si="35"/>
        <v/>
      </c>
      <c r="I359" s="7" t="str">
        <f t="shared" si="36"/>
        <v/>
      </c>
      <c r="J359" s="3" t="str">
        <f t="shared" si="37"/>
        <v/>
      </c>
      <c r="K359" s="4" t="str">
        <f t="shared" si="38"/>
        <v/>
      </c>
      <c r="L359" s="7" t="str">
        <f t="shared" si="39"/>
        <v/>
      </c>
      <c r="M359" s="9" t="str">
        <f t="shared" si="40"/>
        <v/>
      </c>
      <c r="N359" s="9" t="str">
        <f>IF(NOT(ISERROR(VLOOKUP(B359,Deflatores!G$42:H$64,2,FALSE))),VLOOKUP(B359,Deflatores!G$42:H$64,2,FALSE),IF(OR(ISBLANK(C359),ISBLANK(B359)),"",VLOOKUP(C359,Deflatores!G$4:H$38,2,FALSE)*J359+VLOOKUP(C359,Deflatores!G$4:I$38,3,FALSE)))</f>
        <v/>
      </c>
      <c r="O359" s="5"/>
      <c r="P359" s="5"/>
      <c r="Q359" s="6"/>
      <c r="R359" s="10"/>
      <c r="S359" s="104"/>
      <c r="T359" s="162"/>
      <c r="U359" s="10"/>
    </row>
    <row r="360" spans="1:21" ht="21.75" customHeight="1" x14ac:dyDescent="0.2">
      <c r="A360" s="102"/>
      <c r="B360" s="2"/>
      <c r="C360" s="2"/>
      <c r="D360" s="2"/>
      <c r="E360" s="5"/>
      <c r="F360" s="2"/>
      <c r="G360" s="5"/>
      <c r="H360" s="8" t="str">
        <f t="shared" si="35"/>
        <v/>
      </c>
      <c r="I360" s="7" t="str">
        <f t="shared" si="36"/>
        <v/>
      </c>
      <c r="J360" s="3" t="str">
        <f t="shared" si="37"/>
        <v/>
      </c>
      <c r="K360" s="4" t="str">
        <f t="shared" si="38"/>
        <v/>
      </c>
      <c r="L360" s="7" t="str">
        <f t="shared" si="39"/>
        <v/>
      </c>
      <c r="M360" s="9" t="str">
        <f t="shared" si="40"/>
        <v/>
      </c>
      <c r="N360" s="9" t="str">
        <f>IF(NOT(ISERROR(VLOOKUP(B360,Deflatores!G$42:H$64,2,FALSE))),VLOOKUP(B360,Deflatores!G$42:H$64,2,FALSE),IF(OR(ISBLANK(C360),ISBLANK(B360)),"",VLOOKUP(C360,Deflatores!G$4:H$38,2,FALSE)*J360+VLOOKUP(C360,Deflatores!G$4:I$38,3,FALSE)))</f>
        <v/>
      </c>
      <c r="O360" s="5"/>
      <c r="P360" s="5"/>
      <c r="Q360" s="6"/>
      <c r="R360" s="10"/>
      <c r="S360" s="104"/>
      <c r="T360" s="162"/>
      <c r="U360" s="10"/>
    </row>
    <row r="361" spans="1:21" ht="21.75" customHeight="1" x14ac:dyDescent="0.2">
      <c r="A361" s="102"/>
      <c r="B361" s="2"/>
      <c r="C361" s="2"/>
      <c r="D361" s="2"/>
      <c r="E361" s="5"/>
      <c r="F361" s="2"/>
      <c r="G361" s="5"/>
      <c r="H361" s="8" t="str">
        <f t="shared" si="35"/>
        <v/>
      </c>
      <c r="I361" s="7" t="str">
        <f t="shared" si="36"/>
        <v/>
      </c>
      <c r="J361" s="3" t="str">
        <f t="shared" si="37"/>
        <v/>
      </c>
      <c r="K361" s="4" t="str">
        <f t="shared" si="38"/>
        <v/>
      </c>
      <c r="L361" s="7" t="str">
        <f t="shared" si="39"/>
        <v/>
      </c>
      <c r="M361" s="9" t="str">
        <f t="shared" si="40"/>
        <v/>
      </c>
      <c r="N361" s="9" t="str">
        <f>IF(NOT(ISERROR(VLOOKUP(B361,Deflatores!G$42:H$64,2,FALSE))),VLOOKUP(B361,Deflatores!G$42:H$64,2,FALSE),IF(OR(ISBLANK(C361),ISBLANK(B361)),"",VLOOKUP(C361,Deflatores!G$4:H$38,2,FALSE)*J361+VLOOKUP(C361,Deflatores!G$4:I$38,3,FALSE)))</f>
        <v/>
      </c>
      <c r="O361" s="5"/>
      <c r="P361" s="5"/>
      <c r="Q361" s="6"/>
      <c r="R361" s="10"/>
      <c r="S361" s="104"/>
      <c r="T361" s="162"/>
      <c r="U361" s="10"/>
    </row>
    <row r="362" spans="1:21" ht="21.75" customHeight="1" x14ac:dyDescent="0.2">
      <c r="A362" s="102"/>
      <c r="B362" s="2"/>
      <c r="C362" s="2"/>
      <c r="D362" s="2"/>
      <c r="E362" s="5"/>
      <c r="F362" s="2"/>
      <c r="G362" s="5"/>
      <c r="H362" s="8" t="str">
        <f t="shared" si="35"/>
        <v/>
      </c>
      <c r="I362" s="7" t="str">
        <f t="shared" si="36"/>
        <v/>
      </c>
      <c r="J362" s="3" t="str">
        <f t="shared" si="37"/>
        <v/>
      </c>
      <c r="K362" s="4" t="str">
        <f t="shared" si="38"/>
        <v/>
      </c>
      <c r="L362" s="7" t="str">
        <f t="shared" si="39"/>
        <v/>
      </c>
      <c r="M362" s="9" t="str">
        <f t="shared" si="40"/>
        <v/>
      </c>
      <c r="N362" s="9" t="str">
        <f>IF(NOT(ISERROR(VLOOKUP(B362,Deflatores!G$42:H$64,2,FALSE))),VLOOKUP(B362,Deflatores!G$42:H$64,2,FALSE),IF(OR(ISBLANK(C362),ISBLANK(B362)),"",VLOOKUP(C362,Deflatores!G$4:H$38,2,FALSE)*J362+VLOOKUP(C362,Deflatores!G$4:I$38,3,FALSE)))</f>
        <v/>
      </c>
      <c r="O362" s="5"/>
      <c r="P362" s="5"/>
      <c r="Q362" s="6"/>
      <c r="R362" s="10"/>
      <c r="S362" s="104"/>
      <c r="T362" s="162"/>
      <c r="U362" s="10"/>
    </row>
    <row r="363" spans="1:21" ht="21.75" customHeight="1" x14ac:dyDescent="0.2">
      <c r="A363" s="102"/>
      <c r="B363" s="2"/>
      <c r="C363" s="2"/>
      <c r="D363" s="2"/>
      <c r="E363" s="5"/>
      <c r="F363" s="2"/>
      <c r="G363" s="5"/>
      <c r="H363" s="8" t="str">
        <f t="shared" si="35"/>
        <v/>
      </c>
      <c r="I363" s="7" t="str">
        <f t="shared" si="36"/>
        <v/>
      </c>
      <c r="J363" s="3" t="str">
        <f t="shared" si="37"/>
        <v/>
      </c>
      <c r="K363" s="4" t="str">
        <f t="shared" si="38"/>
        <v/>
      </c>
      <c r="L363" s="7" t="str">
        <f t="shared" si="39"/>
        <v/>
      </c>
      <c r="M363" s="9" t="str">
        <f t="shared" si="40"/>
        <v/>
      </c>
      <c r="N363" s="9" t="str">
        <f>IF(NOT(ISERROR(VLOOKUP(B363,Deflatores!G$42:H$64,2,FALSE))),VLOOKUP(B363,Deflatores!G$42:H$64,2,FALSE),IF(OR(ISBLANK(C363),ISBLANK(B363)),"",VLOOKUP(C363,Deflatores!G$4:H$38,2,FALSE)*J363+VLOOKUP(C363,Deflatores!G$4:I$38,3,FALSE)))</f>
        <v/>
      </c>
      <c r="O363" s="5"/>
      <c r="P363" s="5"/>
      <c r="Q363" s="6"/>
      <c r="R363" s="10"/>
      <c r="S363" s="104"/>
      <c r="T363" s="162"/>
      <c r="U363" s="10"/>
    </row>
    <row r="364" spans="1:21" ht="21.75" customHeight="1" x14ac:dyDescent="0.2">
      <c r="A364" s="102"/>
      <c r="B364" s="2"/>
      <c r="C364" s="2"/>
      <c r="D364" s="2"/>
      <c r="E364" s="5"/>
      <c r="F364" s="2"/>
      <c r="G364" s="5"/>
      <c r="H364" s="8" t="str">
        <f t="shared" si="35"/>
        <v/>
      </c>
      <c r="I364" s="7" t="str">
        <f t="shared" si="36"/>
        <v/>
      </c>
      <c r="J364" s="3" t="str">
        <f t="shared" si="37"/>
        <v/>
      </c>
      <c r="K364" s="4" t="str">
        <f t="shared" si="38"/>
        <v/>
      </c>
      <c r="L364" s="7" t="str">
        <f t="shared" si="39"/>
        <v/>
      </c>
      <c r="M364" s="9" t="str">
        <f t="shared" si="40"/>
        <v/>
      </c>
      <c r="N364" s="9" t="str">
        <f>IF(NOT(ISERROR(VLOOKUP(B364,Deflatores!G$42:H$64,2,FALSE))),VLOOKUP(B364,Deflatores!G$42:H$64,2,FALSE),IF(OR(ISBLANK(C364),ISBLANK(B364)),"",VLOOKUP(C364,Deflatores!G$4:H$38,2,FALSE)*J364+VLOOKUP(C364,Deflatores!G$4:I$38,3,FALSE)))</f>
        <v/>
      </c>
      <c r="O364" s="5"/>
      <c r="P364" s="5"/>
      <c r="Q364" s="6"/>
      <c r="R364" s="10"/>
      <c r="S364" s="104"/>
      <c r="T364" s="162"/>
      <c r="U364" s="10"/>
    </row>
    <row r="365" spans="1:21" ht="21.75" customHeight="1" x14ac:dyDescent="0.2">
      <c r="A365" s="102"/>
      <c r="B365" s="2"/>
      <c r="C365" s="2"/>
      <c r="D365" s="2"/>
      <c r="E365" s="5"/>
      <c r="F365" s="2"/>
      <c r="G365" s="5"/>
      <c r="H365" s="8" t="str">
        <f t="shared" si="35"/>
        <v/>
      </c>
      <c r="I365" s="7" t="str">
        <f t="shared" si="36"/>
        <v/>
      </c>
      <c r="J365" s="3" t="str">
        <f t="shared" si="37"/>
        <v/>
      </c>
      <c r="K365" s="4" t="str">
        <f t="shared" si="38"/>
        <v/>
      </c>
      <c r="L365" s="7" t="str">
        <f t="shared" si="39"/>
        <v/>
      </c>
      <c r="M365" s="9" t="str">
        <f t="shared" si="40"/>
        <v/>
      </c>
      <c r="N365" s="9" t="str">
        <f>IF(NOT(ISERROR(VLOOKUP(B365,Deflatores!G$42:H$64,2,FALSE))),VLOOKUP(B365,Deflatores!G$42:H$64,2,FALSE),IF(OR(ISBLANK(C365),ISBLANK(B365)),"",VLOOKUP(C365,Deflatores!G$4:H$38,2,FALSE)*J365+VLOOKUP(C365,Deflatores!G$4:I$38,3,FALSE)))</f>
        <v/>
      </c>
      <c r="O365" s="5"/>
      <c r="P365" s="5"/>
      <c r="Q365" s="6"/>
      <c r="R365" s="10"/>
      <c r="S365" s="104"/>
      <c r="T365" s="162"/>
      <c r="U365" s="10"/>
    </row>
    <row r="366" spans="1:21" ht="21.75" customHeight="1" x14ac:dyDescent="0.2">
      <c r="A366" s="102"/>
      <c r="B366" s="2"/>
      <c r="C366" s="2"/>
      <c r="D366" s="2"/>
      <c r="E366" s="5"/>
      <c r="F366" s="2"/>
      <c r="G366" s="5"/>
      <c r="H366" s="8" t="str">
        <f t="shared" si="35"/>
        <v/>
      </c>
      <c r="I366" s="7" t="str">
        <f t="shared" si="36"/>
        <v/>
      </c>
      <c r="J366" s="3" t="str">
        <f t="shared" si="37"/>
        <v/>
      </c>
      <c r="K366" s="4" t="str">
        <f t="shared" si="38"/>
        <v/>
      </c>
      <c r="L366" s="7" t="str">
        <f t="shared" si="39"/>
        <v/>
      </c>
      <c r="M366" s="9" t="str">
        <f t="shared" si="40"/>
        <v/>
      </c>
      <c r="N366" s="9" t="str">
        <f>IF(NOT(ISERROR(VLOOKUP(B366,Deflatores!G$42:H$64,2,FALSE))),VLOOKUP(B366,Deflatores!G$42:H$64,2,FALSE),IF(OR(ISBLANK(C366),ISBLANK(B366)),"",VLOOKUP(C366,Deflatores!G$4:H$38,2,FALSE)*J366+VLOOKUP(C366,Deflatores!G$4:I$38,3,FALSE)))</f>
        <v/>
      </c>
      <c r="O366" s="5"/>
      <c r="P366" s="5"/>
      <c r="Q366" s="6"/>
      <c r="R366" s="10"/>
      <c r="S366" s="104"/>
      <c r="T366" s="162"/>
      <c r="U366" s="10"/>
    </row>
    <row r="367" spans="1:21" ht="21.75" customHeight="1" x14ac:dyDescent="0.2">
      <c r="A367" s="102"/>
      <c r="B367" s="2"/>
      <c r="C367" s="2"/>
      <c r="D367" s="2"/>
      <c r="E367" s="5"/>
      <c r="F367" s="2"/>
      <c r="G367" s="5"/>
      <c r="H367" s="8" t="str">
        <f t="shared" si="35"/>
        <v/>
      </c>
      <c r="I367" s="7" t="str">
        <f t="shared" si="36"/>
        <v/>
      </c>
      <c r="J367" s="3" t="str">
        <f t="shared" si="37"/>
        <v/>
      </c>
      <c r="K367" s="4" t="str">
        <f t="shared" si="38"/>
        <v/>
      </c>
      <c r="L367" s="7" t="str">
        <f t="shared" si="39"/>
        <v/>
      </c>
      <c r="M367" s="9" t="str">
        <f t="shared" si="40"/>
        <v/>
      </c>
      <c r="N367" s="9" t="str">
        <f>IF(NOT(ISERROR(VLOOKUP(B367,Deflatores!G$42:H$64,2,FALSE))),VLOOKUP(B367,Deflatores!G$42:H$64,2,FALSE),IF(OR(ISBLANK(C367),ISBLANK(B367)),"",VLOOKUP(C367,Deflatores!G$4:H$38,2,FALSE)*J367+VLOOKUP(C367,Deflatores!G$4:I$38,3,FALSE)))</f>
        <v/>
      </c>
      <c r="O367" s="5"/>
      <c r="P367" s="5"/>
      <c r="Q367" s="6"/>
      <c r="R367" s="10"/>
      <c r="S367" s="104"/>
      <c r="T367" s="162"/>
      <c r="U367" s="10"/>
    </row>
    <row r="368" spans="1:21" ht="21.75" customHeight="1" x14ac:dyDescent="0.2">
      <c r="A368" s="102"/>
      <c r="B368" s="2"/>
      <c r="C368" s="2"/>
      <c r="D368" s="2"/>
      <c r="E368" s="5"/>
      <c r="F368" s="2"/>
      <c r="G368" s="5"/>
      <c r="H368" s="8" t="str">
        <f t="shared" si="35"/>
        <v/>
      </c>
      <c r="I368" s="7" t="str">
        <f t="shared" si="36"/>
        <v/>
      </c>
      <c r="J368" s="3" t="str">
        <f t="shared" si="37"/>
        <v/>
      </c>
      <c r="K368" s="4" t="str">
        <f t="shared" si="38"/>
        <v/>
      </c>
      <c r="L368" s="7" t="str">
        <f t="shared" si="39"/>
        <v/>
      </c>
      <c r="M368" s="9" t="str">
        <f t="shared" si="40"/>
        <v/>
      </c>
      <c r="N368" s="9" t="str">
        <f>IF(NOT(ISERROR(VLOOKUP(B368,Deflatores!G$42:H$64,2,FALSE))),VLOOKUP(B368,Deflatores!G$42:H$64,2,FALSE),IF(OR(ISBLANK(C368),ISBLANK(B368)),"",VLOOKUP(C368,Deflatores!G$4:H$38,2,FALSE)*J368+VLOOKUP(C368,Deflatores!G$4:I$38,3,FALSE)))</f>
        <v/>
      </c>
      <c r="O368" s="5"/>
      <c r="P368" s="5"/>
      <c r="Q368" s="6"/>
      <c r="R368" s="10"/>
      <c r="S368" s="104"/>
      <c r="T368" s="162"/>
      <c r="U368" s="10"/>
    </row>
    <row r="369" spans="1:21" ht="21.75" customHeight="1" x14ac:dyDescent="0.2">
      <c r="A369" s="102"/>
      <c r="B369" s="2"/>
      <c r="C369" s="2"/>
      <c r="D369" s="2"/>
      <c r="E369" s="5"/>
      <c r="F369" s="2"/>
      <c r="G369" s="5"/>
      <c r="H369" s="8" t="str">
        <f t="shared" si="35"/>
        <v/>
      </c>
      <c r="I369" s="7" t="str">
        <f t="shared" si="36"/>
        <v/>
      </c>
      <c r="J369" s="3" t="str">
        <f t="shared" si="37"/>
        <v/>
      </c>
      <c r="K369" s="4" t="str">
        <f t="shared" si="38"/>
        <v/>
      </c>
      <c r="L369" s="7" t="str">
        <f t="shared" si="39"/>
        <v/>
      </c>
      <c r="M369" s="9" t="str">
        <f t="shared" si="40"/>
        <v/>
      </c>
      <c r="N369" s="9" t="str">
        <f>IF(NOT(ISERROR(VLOOKUP(B369,Deflatores!G$42:H$64,2,FALSE))),VLOOKUP(B369,Deflatores!G$42:H$64,2,FALSE),IF(OR(ISBLANK(C369),ISBLANK(B369)),"",VLOOKUP(C369,Deflatores!G$4:H$38,2,FALSE)*J369+VLOOKUP(C369,Deflatores!G$4:I$38,3,FALSE)))</f>
        <v/>
      </c>
      <c r="O369" s="5"/>
      <c r="P369" s="5"/>
      <c r="Q369" s="6"/>
      <c r="R369" s="10"/>
      <c r="S369" s="104"/>
      <c r="T369" s="162"/>
      <c r="U369" s="10"/>
    </row>
    <row r="370" spans="1:21" ht="21.75" customHeight="1" x14ac:dyDescent="0.2">
      <c r="A370" s="102"/>
      <c r="B370" s="2"/>
      <c r="C370" s="2"/>
      <c r="D370" s="2"/>
      <c r="E370" s="5"/>
      <c r="F370" s="2"/>
      <c r="G370" s="5"/>
      <c r="H370" s="8" t="str">
        <f t="shared" si="35"/>
        <v/>
      </c>
      <c r="I370" s="7" t="str">
        <f t="shared" si="36"/>
        <v/>
      </c>
      <c r="J370" s="3" t="str">
        <f t="shared" si="37"/>
        <v/>
      </c>
      <c r="K370" s="4" t="str">
        <f t="shared" si="38"/>
        <v/>
      </c>
      <c r="L370" s="7" t="str">
        <f t="shared" si="39"/>
        <v/>
      </c>
      <c r="M370" s="9" t="str">
        <f t="shared" si="40"/>
        <v/>
      </c>
      <c r="N370" s="9" t="str">
        <f>IF(NOT(ISERROR(VLOOKUP(B370,Deflatores!G$42:H$64,2,FALSE))),VLOOKUP(B370,Deflatores!G$42:H$64,2,FALSE),IF(OR(ISBLANK(C370),ISBLANK(B370)),"",VLOOKUP(C370,Deflatores!G$4:H$38,2,FALSE)*J370+VLOOKUP(C370,Deflatores!G$4:I$38,3,FALSE)))</f>
        <v/>
      </c>
      <c r="O370" s="5"/>
      <c r="P370" s="5"/>
      <c r="Q370" s="6"/>
      <c r="R370" s="10"/>
      <c r="S370" s="104"/>
      <c r="T370" s="162"/>
      <c r="U370" s="10"/>
    </row>
    <row r="371" spans="1:21" ht="21.75" customHeight="1" x14ac:dyDescent="0.2">
      <c r="A371" s="102"/>
      <c r="B371" s="2"/>
      <c r="C371" s="2"/>
      <c r="D371" s="2"/>
      <c r="E371" s="5"/>
      <c r="F371" s="2"/>
      <c r="G371" s="5"/>
      <c r="H371" s="8" t="str">
        <f t="shared" si="35"/>
        <v/>
      </c>
      <c r="I371" s="7" t="str">
        <f t="shared" si="36"/>
        <v/>
      </c>
      <c r="J371" s="3" t="str">
        <f t="shared" si="37"/>
        <v/>
      </c>
      <c r="K371" s="4" t="str">
        <f t="shared" si="38"/>
        <v/>
      </c>
      <c r="L371" s="7" t="str">
        <f t="shared" si="39"/>
        <v/>
      </c>
      <c r="M371" s="9" t="str">
        <f t="shared" si="40"/>
        <v/>
      </c>
      <c r="N371" s="9" t="str">
        <f>IF(NOT(ISERROR(VLOOKUP(B371,Deflatores!G$42:H$64,2,FALSE))),VLOOKUP(B371,Deflatores!G$42:H$64,2,FALSE),IF(OR(ISBLANK(C371),ISBLANK(B371)),"",VLOOKUP(C371,Deflatores!G$4:H$38,2,FALSE)*J371+VLOOKUP(C371,Deflatores!G$4:I$38,3,FALSE)))</f>
        <v/>
      </c>
      <c r="O371" s="5"/>
      <c r="P371" s="5"/>
      <c r="Q371" s="6"/>
      <c r="R371" s="10"/>
      <c r="S371" s="104"/>
      <c r="T371" s="162"/>
      <c r="U371" s="10"/>
    </row>
    <row r="372" spans="1:21" ht="21.75" customHeight="1" x14ac:dyDescent="0.2">
      <c r="A372" s="102"/>
      <c r="B372" s="2"/>
      <c r="C372" s="2"/>
      <c r="D372" s="2"/>
      <c r="E372" s="5"/>
      <c r="F372" s="2"/>
      <c r="G372" s="5"/>
      <c r="H372" s="8" t="str">
        <f t="shared" si="35"/>
        <v/>
      </c>
      <c r="I372" s="7" t="str">
        <f t="shared" si="36"/>
        <v/>
      </c>
      <c r="J372" s="3" t="str">
        <f t="shared" si="37"/>
        <v/>
      </c>
      <c r="K372" s="4" t="str">
        <f t="shared" si="38"/>
        <v/>
      </c>
      <c r="L372" s="7" t="str">
        <f t="shared" si="39"/>
        <v/>
      </c>
      <c r="M372" s="9" t="str">
        <f t="shared" si="40"/>
        <v/>
      </c>
      <c r="N372" s="9" t="str">
        <f>IF(NOT(ISERROR(VLOOKUP(B372,Deflatores!G$42:H$64,2,FALSE))),VLOOKUP(B372,Deflatores!G$42:H$64,2,FALSE),IF(OR(ISBLANK(C372),ISBLANK(B372)),"",VLOOKUP(C372,Deflatores!G$4:H$38,2,FALSE)*J372+VLOOKUP(C372,Deflatores!G$4:I$38,3,FALSE)))</f>
        <v/>
      </c>
      <c r="O372" s="5"/>
      <c r="P372" s="5"/>
      <c r="Q372" s="6"/>
      <c r="R372" s="10"/>
      <c r="S372" s="104"/>
      <c r="T372" s="162"/>
      <c r="U372" s="10"/>
    </row>
    <row r="373" spans="1:21" ht="21.75" customHeight="1" x14ac:dyDescent="0.2">
      <c r="A373" s="102"/>
      <c r="B373" s="2"/>
      <c r="C373" s="2"/>
      <c r="D373" s="2"/>
      <c r="E373" s="5"/>
      <c r="F373" s="2"/>
      <c r="G373" s="5"/>
      <c r="H373" s="8" t="str">
        <f t="shared" si="35"/>
        <v/>
      </c>
      <c r="I373" s="7" t="str">
        <f t="shared" si="36"/>
        <v/>
      </c>
      <c r="J373" s="3" t="str">
        <f t="shared" si="37"/>
        <v/>
      </c>
      <c r="K373" s="4" t="str">
        <f t="shared" si="38"/>
        <v/>
      </c>
      <c r="L373" s="7" t="str">
        <f t="shared" si="39"/>
        <v/>
      </c>
      <c r="M373" s="9" t="str">
        <f t="shared" si="40"/>
        <v/>
      </c>
      <c r="N373" s="9" t="str">
        <f>IF(NOT(ISERROR(VLOOKUP(B373,Deflatores!G$42:H$64,2,FALSE))),VLOOKUP(B373,Deflatores!G$42:H$64,2,FALSE),IF(OR(ISBLANK(C373),ISBLANK(B373)),"",VLOOKUP(C373,Deflatores!G$4:H$38,2,FALSE)*J373+VLOOKUP(C373,Deflatores!G$4:I$38,3,FALSE)))</f>
        <v/>
      </c>
      <c r="O373" s="5"/>
      <c r="P373" s="5"/>
      <c r="Q373" s="6"/>
      <c r="R373" s="10"/>
      <c r="S373" s="104"/>
      <c r="T373" s="162"/>
      <c r="U373" s="10"/>
    </row>
    <row r="374" spans="1:21" ht="21.75" customHeight="1" x14ac:dyDescent="0.2">
      <c r="A374" s="102"/>
      <c r="B374" s="2"/>
      <c r="C374" s="2"/>
      <c r="D374" s="2"/>
      <c r="E374" s="5"/>
      <c r="F374" s="2"/>
      <c r="G374" s="5"/>
      <c r="H374" s="8" t="str">
        <f t="shared" si="35"/>
        <v/>
      </c>
      <c r="I374" s="7" t="str">
        <f t="shared" si="36"/>
        <v/>
      </c>
      <c r="J374" s="3" t="str">
        <f t="shared" si="37"/>
        <v/>
      </c>
      <c r="K374" s="4" t="str">
        <f t="shared" si="38"/>
        <v/>
      </c>
      <c r="L374" s="7" t="str">
        <f t="shared" si="39"/>
        <v/>
      </c>
      <c r="M374" s="9" t="str">
        <f t="shared" si="40"/>
        <v/>
      </c>
      <c r="N374" s="9" t="str">
        <f>IF(NOT(ISERROR(VLOOKUP(B374,Deflatores!G$42:H$64,2,FALSE))),VLOOKUP(B374,Deflatores!G$42:H$64,2,FALSE),IF(OR(ISBLANK(C374),ISBLANK(B374)),"",VLOOKUP(C374,Deflatores!G$4:H$38,2,FALSE)*J374+VLOOKUP(C374,Deflatores!G$4:I$38,3,FALSE)))</f>
        <v/>
      </c>
      <c r="O374" s="5"/>
      <c r="P374" s="5"/>
      <c r="Q374" s="6"/>
      <c r="R374" s="10"/>
      <c r="S374" s="104"/>
      <c r="T374" s="162"/>
      <c r="U374" s="10"/>
    </row>
    <row r="375" spans="1:21" ht="21.75" customHeight="1" x14ac:dyDescent="0.2">
      <c r="A375" s="102"/>
      <c r="B375" s="2"/>
      <c r="C375" s="2"/>
      <c r="D375" s="2"/>
      <c r="E375" s="5"/>
      <c r="F375" s="2"/>
      <c r="G375" s="5"/>
      <c r="H375" s="8" t="str">
        <f t="shared" si="35"/>
        <v/>
      </c>
      <c r="I375" s="7" t="str">
        <f t="shared" si="36"/>
        <v/>
      </c>
      <c r="J375" s="3" t="str">
        <f t="shared" si="37"/>
        <v/>
      </c>
      <c r="K375" s="4" t="str">
        <f t="shared" si="38"/>
        <v/>
      </c>
      <c r="L375" s="7" t="str">
        <f t="shared" si="39"/>
        <v/>
      </c>
      <c r="M375" s="9" t="str">
        <f t="shared" si="40"/>
        <v/>
      </c>
      <c r="N375" s="9" t="str">
        <f>IF(NOT(ISERROR(VLOOKUP(B375,Deflatores!G$42:H$64,2,FALSE))),VLOOKUP(B375,Deflatores!G$42:H$64,2,FALSE),IF(OR(ISBLANK(C375),ISBLANK(B375)),"",VLOOKUP(C375,Deflatores!G$4:H$38,2,FALSE)*J375+VLOOKUP(C375,Deflatores!G$4:I$38,3,FALSE)))</f>
        <v/>
      </c>
      <c r="O375" s="5"/>
      <c r="P375" s="5"/>
      <c r="Q375" s="6"/>
      <c r="R375" s="10"/>
      <c r="S375" s="104"/>
      <c r="T375" s="162"/>
      <c r="U375" s="10"/>
    </row>
    <row r="376" spans="1:21" ht="21.75" customHeight="1" x14ac:dyDescent="0.2">
      <c r="A376" s="102"/>
      <c r="B376" s="2"/>
      <c r="C376" s="2"/>
      <c r="D376" s="2"/>
      <c r="E376" s="5"/>
      <c r="F376" s="2"/>
      <c r="G376" s="5"/>
      <c r="H376" s="8" t="str">
        <f t="shared" si="35"/>
        <v/>
      </c>
      <c r="I376" s="7" t="str">
        <f t="shared" si="36"/>
        <v/>
      </c>
      <c r="J376" s="3" t="str">
        <f t="shared" si="37"/>
        <v/>
      </c>
      <c r="K376" s="4" t="str">
        <f t="shared" si="38"/>
        <v/>
      </c>
      <c r="L376" s="7" t="str">
        <f t="shared" si="39"/>
        <v/>
      </c>
      <c r="M376" s="9" t="str">
        <f t="shared" si="40"/>
        <v/>
      </c>
      <c r="N376" s="9" t="str">
        <f>IF(NOT(ISERROR(VLOOKUP(B376,Deflatores!G$42:H$64,2,FALSE))),VLOOKUP(B376,Deflatores!G$42:H$64,2,FALSE),IF(OR(ISBLANK(C376),ISBLANK(B376)),"",VLOOKUP(C376,Deflatores!G$4:H$38,2,FALSE)*J376+VLOOKUP(C376,Deflatores!G$4:I$38,3,FALSE)))</f>
        <v/>
      </c>
      <c r="O376" s="5"/>
      <c r="P376" s="5"/>
      <c r="Q376" s="6"/>
      <c r="R376" s="10"/>
      <c r="S376" s="104"/>
      <c r="T376" s="162"/>
      <c r="U376" s="10"/>
    </row>
    <row r="377" spans="1:21" ht="21.75" customHeight="1" x14ac:dyDescent="0.2">
      <c r="A377" s="102"/>
      <c r="B377" s="2"/>
      <c r="C377" s="2"/>
      <c r="D377" s="2"/>
      <c r="E377" s="5"/>
      <c r="F377" s="2"/>
      <c r="G377" s="5"/>
      <c r="H377" s="8" t="str">
        <f t="shared" si="35"/>
        <v/>
      </c>
      <c r="I377" s="7" t="str">
        <f t="shared" si="36"/>
        <v/>
      </c>
      <c r="J377" s="3" t="str">
        <f t="shared" si="37"/>
        <v/>
      </c>
      <c r="K377" s="4" t="str">
        <f t="shared" si="38"/>
        <v/>
      </c>
      <c r="L377" s="7" t="str">
        <f t="shared" si="39"/>
        <v/>
      </c>
      <c r="M377" s="9" t="str">
        <f t="shared" si="40"/>
        <v/>
      </c>
      <c r="N377" s="9" t="str">
        <f>IF(NOT(ISERROR(VLOOKUP(B377,Deflatores!G$42:H$64,2,FALSE))),VLOOKUP(B377,Deflatores!G$42:H$64,2,FALSE),IF(OR(ISBLANK(C377),ISBLANK(B377)),"",VLOOKUP(C377,Deflatores!G$4:H$38,2,FALSE)*J377+VLOOKUP(C377,Deflatores!G$4:I$38,3,FALSE)))</f>
        <v/>
      </c>
      <c r="O377" s="5"/>
      <c r="P377" s="5"/>
      <c r="Q377" s="6"/>
      <c r="R377" s="10"/>
      <c r="S377" s="104"/>
      <c r="T377" s="162"/>
      <c r="U377" s="10"/>
    </row>
    <row r="378" spans="1:21" ht="21.75" customHeight="1" x14ac:dyDescent="0.2">
      <c r="A378" s="102"/>
      <c r="B378" s="2"/>
      <c r="C378" s="2"/>
      <c r="D378" s="2"/>
      <c r="E378" s="5"/>
      <c r="F378" s="2"/>
      <c r="G378" s="5"/>
      <c r="H378" s="8" t="str">
        <f t="shared" si="35"/>
        <v/>
      </c>
      <c r="I378" s="7" t="str">
        <f t="shared" si="36"/>
        <v/>
      </c>
      <c r="J378" s="3" t="str">
        <f t="shared" si="37"/>
        <v/>
      </c>
      <c r="K378" s="4" t="str">
        <f t="shared" si="38"/>
        <v/>
      </c>
      <c r="L378" s="7" t="str">
        <f t="shared" si="39"/>
        <v/>
      </c>
      <c r="M378" s="9" t="str">
        <f t="shared" si="40"/>
        <v/>
      </c>
      <c r="N378" s="9" t="str">
        <f>IF(NOT(ISERROR(VLOOKUP(B378,Deflatores!G$42:H$64,2,FALSE))),VLOOKUP(B378,Deflatores!G$42:H$64,2,FALSE),IF(OR(ISBLANK(C378),ISBLANK(B378)),"",VLOOKUP(C378,Deflatores!G$4:H$38,2,FALSE)*J378+VLOOKUP(C378,Deflatores!G$4:I$38,3,FALSE)))</f>
        <v/>
      </c>
      <c r="O378" s="5"/>
      <c r="P378" s="5"/>
      <c r="Q378" s="6"/>
      <c r="R378" s="10"/>
      <c r="S378" s="104"/>
      <c r="T378" s="162"/>
      <c r="U378" s="10"/>
    </row>
    <row r="379" spans="1:21" ht="21.75" customHeight="1" x14ac:dyDescent="0.2">
      <c r="A379" s="102"/>
      <c r="B379" s="2"/>
      <c r="C379" s="2"/>
      <c r="D379" s="2"/>
      <c r="E379" s="5"/>
      <c r="F379" s="2"/>
      <c r="G379" s="5"/>
      <c r="H379" s="8" t="str">
        <f t="shared" si="35"/>
        <v/>
      </c>
      <c r="I379" s="7" t="str">
        <f t="shared" si="36"/>
        <v/>
      </c>
      <c r="J379" s="3" t="str">
        <f t="shared" si="37"/>
        <v/>
      </c>
      <c r="K379" s="4" t="str">
        <f t="shared" si="38"/>
        <v/>
      </c>
      <c r="L379" s="7" t="str">
        <f t="shared" si="39"/>
        <v/>
      </c>
      <c r="M379" s="9" t="str">
        <f t="shared" si="40"/>
        <v/>
      </c>
      <c r="N379" s="9" t="str">
        <f>IF(NOT(ISERROR(VLOOKUP(B379,Deflatores!G$42:H$64,2,FALSE))),VLOOKUP(B379,Deflatores!G$42:H$64,2,FALSE),IF(OR(ISBLANK(C379),ISBLANK(B379)),"",VLOOKUP(C379,Deflatores!G$4:H$38,2,FALSE)*J379+VLOOKUP(C379,Deflatores!G$4:I$38,3,FALSE)))</f>
        <v/>
      </c>
      <c r="O379" s="5"/>
      <c r="P379" s="5"/>
      <c r="Q379" s="6"/>
      <c r="R379" s="10"/>
      <c r="S379" s="104"/>
      <c r="T379" s="162"/>
      <c r="U379" s="10"/>
    </row>
    <row r="380" spans="1:21" ht="21.75" customHeight="1" x14ac:dyDescent="0.2">
      <c r="A380" s="102"/>
      <c r="B380" s="2"/>
      <c r="C380" s="2"/>
      <c r="D380" s="2"/>
      <c r="E380" s="5"/>
      <c r="F380" s="2"/>
      <c r="G380" s="5"/>
      <c r="H380" s="8" t="str">
        <f t="shared" si="35"/>
        <v/>
      </c>
      <c r="I380" s="7" t="str">
        <f t="shared" si="36"/>
        <v/>
      </c>
      <c r="J380" s="3" t="str">
        <f t="shared" si="37"/>
        <v/>
      </c>
      <c r="K380" s="4" t="str">
        <f t="shared" si="38"/>
        <v/>
      </c>
      <c r="L380" s="7" t="str">
        <f t="shared" si="39"/>
        <v/>
      </c>
      <c r="M380" s="9" t="str">
        <f t="shared" si="40"/>
        <v/>
      </c>
      <c r="N380" s="9" t="str">
        <f>IF(NOT(ISERROR(VLOOKUP(B380,Deflatores!G$42:H$64,2,FALSE))),VLOOKUP(B380,Deflatores!G$42:H$64,2,FALSE),IF(OR(ISBLANK(C380),ISBLANK(B380)),"",VLOOKUP(C380,Deflatores!G$4:H$38,2,FALSE)*J380+VLOOKUP(C380,Deflatores!G$4:I$38,3,FALSE)))</f>
        <v/>
      </c>
      <c r="O380" s="5"/>
      <c r="P380" s="5"/>
      <c r="Q380" s="6"/>
      <c r="R380" s="10"/>
      <c r="S380" s="104"/>
      <c r="T380" s="162"/>
      <c r="U380" s="10"/>
    </row>
    <row r="381" spans="1:21" ht="21.75" customHeight="1" x14ac:dyDescent="0.2">
      <c r="A381" s="102"/>
      <c r="B381" s="2"/>
      <c r="C381" s="2"/>
      <c r="D381" s="2"/>
      <c r="E381" s="5"/>
      <c r="F381" s="2"/>
      <c r="G381" s="5"/>
      <c r="H381" s="8" t="str">
        <f t="shared" si="35"/>
        <v/>
      </c>
      <c r="I381" s="7" t="str">
        <f t="shared" si="36"/>
        <v/>
      </c>
      <c r="J381" s="3" t="str">
        <f t="shared" si="37"/>
        <v/>
      </c>
      <c r="K381" s="4" t="str">
        <f t="shared" si="38"/>
        <v/>
      </c>
      <c r="L381" s="7" t="str">
        <f t="shared" si="39"/>
        <v/>
      </c>
      <c r="M381" s="9" t="str">
        <f t="shared" si="40"/>
        <v/>
      </c>
      <c r="N381" s="9" t="str">
        <f>IF(NOT(ISERROR(VLOOKUP(B381,Deflatores!G$42:H$64,2,FALSE))),VLOOKUP(B381,Deflatores!G$42:H$64,2,FALSE),IF(OR(ISBLANK(C381),ISBLANK(B381)),"",VLOOKUP(C381,Deflatores!G$4:H$38,2,FALSE)*J381+VLOOKUP(C381,Deflatores!G$4:I$38,3,FALSE)))</f>
        <v/>
      </c>
      <c r="O381" s="5"/>
      <c r="P381" s="5"/>
      <c r="Q381" s="6"/>
      <c r="R381" s="10"/>
      <c r="S381" s="104"/>
      <c r="T381" s="162"/>
      <c r="U381" s="10"/>
    </row>
    <row r="382" spans="1:21" ht="21.75" customHeight="1" x14ac:dyDescent="0.2">
      <c r="A382" s="102"/>
      <c r="B382" s="2"/>
      <c r="C382" s="2"/>
      <c r="D382" s="2"/>
      <c r="E382" s="5"/>
      <c r="F382" s="2"/>
      <c r="G382" s="5"/>
      <c r="H382" s="8" t="str">
        <f t="shared" si="35"/>
        <v/>
      </c>
      <c r="I382" s="7" t="str">
        <f t="shared" si="36"/>
        <v/>
      </c>
      <c r="J382" s="3" t="str">
        <f t="shared" si="37"/>
        <v/>
      </c>
      <c r="K382" s="4" t="str">
        <f t="shared" si="38"/>
        <v/>
      </c>
      <c r="L382" s="7" t="str">
        <f t="shared" si="39"/>
        <v/>
      </c>
      <c r="M382" s="9" t="str">
        <f t="shared" si="40"/>
        <v/>
      </c>
      <c r="N382" s="9" t="str">
        <f>IF(NOT(ISERROR(VLOOKUP(B382,Deflatores!G$42:H$64,2,FALSE))),VLOOKUP(B382,Deflatores!G$42:H$64,2,FALSE),IF(OR(ISBLANK(C382),ISBLANK(B382)),"",VLOOKUP(C382,Deflatores!G$4:H$38,2,FALSE)*J382+VLOOKUP(C382,Deflatores!G$4:I$38,3,FALSE)))</f>
        <v/>
      </c>
      <c r="O382" s="5"/>
      <c r="P382" s="5"/>
      <c r="Q382" s="6"/>
      <c r="R382" s="10"/>
      <c r="S382" s="104"/>
      <c r="T382" s="162"/>
      <c r="U382" s="10"/>
    </row>
    <row r="383" spans="1:21" ht="21.75" customHeight="1" x14ac:dyDescent="0.2">
      <c r="A383" s="102"/>
      <c r="B383" s="2"/>
      <c r="C383" s="2"/>
      <c r="D383" s="2"/>
      <c r="E383" s="5"/>
      <c r="F383" s="2"/>
      <c r="G383" s="5"/>
      <c r="H383" s="8" t="str">
        <f t="shared" si="35"/>
        <v/>
      </c>
      <c r="I383" s="7" t="str">
        <f t="shared" si="36"/>
        <v/>
      </c>
      <c r="J383" s="3" t="str">
        <f t="shared" si="37"/>
        <v/>
      </c>
      <c r="K383" s="4" t="str">
        <f t="shared" si="38"/>
        <v/>
      </c>
      <c r="L383" s="7" t="str">
        <f t="shared" si="39"/>
        <v/>
      </c>
      <c r="M383" s="9" t="str">
        <f t="shared" si="40"/>
        <v/>
      </c>
      <c r="N383" s="9" t="str">
        <f>IF(NOT(ISERROR(VLOOKUP(B383,Deflatores!G$42:H$64,2,FALSE))),VLOOKUP(B383,Deflatores!G$42:H$64,2,FALSE),IF(OR(ISBLANK(C383),ISBLANK(B383)),"",VLOOKUP(C383,Deflatores!G$4:H$38,2,FALSE)*J383+VLOOKUP(C383,Deflatores!G$4:I$38,3,FALSE)))</f>
        <v/>
      </c>
      <c r="O383" s="5"/>
      <c r="P383" s="5"/>
      <c r="Q383" s="6"/>
      <c r="R383" s="10"/>
      <c r="S383" s="104"/>
      <c r="T383" s="162"/>
      <c r="U383" s="10"/>
    </row>
    <row r="384" spans="1:21" ht="21.75" customHeight="1" x14ac:dyDescent="0.2">
      <c r="A384" s="102"/>
      <c r="B384" s="2"/>
      <c r="C384" s="2"/>
      <c r="D384" s="2"/>
      <c r="E384" s="5"/>
      <c r="F384" s="2"/>
      <c r="G384" s="5"/>
      <c r="H384" s="8" t="str">
        <f t="shared" si="35"/>
        <v/>
      </c>
      <c r="I384" s="7" t="str">
        <f t="shared" si="36"/>
        <v/>
      </c>
      <c r="J384" s="3" t="str">
        <f t="shared" si="37"/>
        <v/>
      </c>
      <c r="K384" s="4" t="str">
        <f t="shared" si="38"/>
        <v/>
      </c>
      <c r="L384" s="7" t="str">
        <f t="shared" si="39"/>
        <v/>
      </c>
      <c r="M384" s="9" t="str">
        <f t="shared" si="40"/>
        <v/>
      </c>
      <c r="N384" s="9" t="str">
        <f>IF(NOT(ISERROR(VLOOKUP(B384,Deflatores!G$42:H$64,2,FALSE))),VLOOKUP(B384,Deflatores!G$42:H$64,2,FALSE),IF(OR(ISBLANK(C384),ISBLANK(B384)),"",VLOOKUP(C384,Deflatores!G$4:H$38,2,FALSE)*J384+VLOOKUP(C384,Deflatores!G$4:I$38,3,FALSE)))</f>
        <v/>
      </c>
      <c r="O384" s="5"/>
      <c r="P384" s="5"/>
      <c r="Q384" s="6"/>
      <c r="R384" s="10"/>
      <c r="S384" s="104"/>
      <c r="T384" s="162"/>
      <c r="U384" s="10"/>
    </row>
    <row r="385" spans="1:21" ht="21.75" customHeight="1" x14ac:dyDescent="0.2">
      <c r="A385" s="102"/>
      <c r="B385" s="2"/>
      <c r="C385" s="2"/>
      <c r="D385" s="2"/>
      <c r="E385" s="5"/>
      <c r="F385" s="2"/>
      <c r="G385" s="5"/>
      <c r="H385" s="8" t="str">
        <f t="shared" si="35"/>
        <v/>
      </c>
      <c r="I385" s="7" t="str">
        <f t="shared" si="36"/>
        <v/>
      </c>
      <c r="J385" s="3" t="str">
        <f t="shared" si="37"/>
        <v/>
      </c>
      <c r="K385" s="4" t="str">
        <f t="shared" si="38"/>
        <v/>
      </c>
      <c r="L385" s="7" t="str">
        <f t="shared" si="39"/>
        <v/>
      </c>
      <c r="M385" s="9" t="str">
        <f t="shared" si="40"/>
        <v/>
      </c>
      <c r="N385" s="9" t="str">
        <f>IF(NOT(ISERROR(VLOOKUP(B385,Deflatores!G$42:H$64,2,FALSE))),VLOOKUP(B385,Deflatores!G$42:H$64,2,FALSE),IF(OR(ISBLANK(C385),ISBLANK(B385)),"",VLOOKUP(C385,Deflatores!G$4:H$38,2,FALSE)*J385+VLOOKUP(C385,Deflatores!G$4:I$38,3,FALSE)))</f>
        <v/>
      </c>
      <c r="O385" s="5"/>
      <c r="P385" s="5"/>
      <c r="Q385" s="6"/>
      <c r="R385" s="10"/>
      <c r="S385" s="104"/>
      <c r="T385" s="162"/>
      <c r="U385" s="10"/>
    </row>
    <row r="386" spans="1:21" ht="21.75" customHeight="1" x14ac:dyDescent="0.2">
      <c r="A386" s="102"/>
      <c r="B386" s="2"/>
      <c r="C386" s="2"/>
      <c r="D386" s="2"/>
      <c r="E386" s="5"/>
      <c r="F386" s="2"/>
      <c r="G386" s="5"/>
      <c r="H386" s="8" t="str">
        <f t="shared" si="35"/>
        <v/>
      </c>
      <c r="I386" s="7" t="str">
        <f t="shared" si="36"/>
        <v/>
      </c>
      <c r="J386" s="3" t="str">
        <f t="shared" si="37"/>
        <v/>
      </c>
      <c r="K386" s="4" t="str">
        <f t="shared" si="38"/>
        <v/>
      </c>
      <c r="L386" s="7" t="str">
        <f t="shared" si="39"/>
        <v/>
      </c>
      <c r="M386" s="9" t="str">
        <f t="shared" si="40"/>
        <v/>
      </c>
      <c r="N386" s="9" t="str">
        <f>IF(NOT(ISERROR(VLOOKUP(B386,Deflatores!G$42:H$64,2,FALSE))),VLOOKUP(B386,Deflatores!G$42:H$64,2,FALSE),IF(OR(ISBLANK(C386),ISBLANK(B386)),"",VLOOKUP(C386,Deflatores!G$4:H$38,2,FALSE)*J386+VLOOKUP(C386,Deflatores!G$4:I$38,3,FALSE)))</f>
        <v/>
      </c>
      <c r="O386" s="5"/>
      <c r="P386" s="5"/>
      <c r="Q386" s="6"/>
      <c r="R386" s="10"/>
      <c r="S386" s="104"/>
      <c r="T386" s="162"/>
      <c r="U386" s="10"/>
    </row>
    <row r="387" spans="1:21" ht="21.75" customHeight="1" x14ac:dyDescent="0.2">
      <c r="A387" s="102"/>
      <c r="B387" s="2"/>
      <c r="C387" s="2"/>
      <c r="D387" s="2"/>
      <c r="E387" s="5"/>
      <c r="F387" s="2"/>
      <c r="G387" s="5"/>
      <c r="H387" s="8" t="str">
        <f t="shared" si="35"/>
        <v/>
      </c>
      <c r="I387" s="7" t="str">
        <f t="shared" si="36"/>
        <v/>
      </c>
      <c r="J387" s="3" t="str">
        <f t="shared" si="37"/>
        <v/>
      </c>
      <c r="K387" s="4" t="str">
        <f t="shared" si="38"/>
        <v/>
      </c>
      <c r="L387" s="7" t="str">
        <f t="shared" si="39"/>
        <v/>
      </c>
      <c r="M387" s="9" t="str">
        <f t="shared" si="40"/>
        <v/>
      </c>
      <c r="N387" s="9" t="str">
        <f>IF(NOT(ISERROR(VLOOKUP(B387,Deflatores!G$42:H$64,2,FALSE))),VLOOKUP(B387,Deflatores!G$42:H$64,2,FALSE),IF(OR(ISBLANK(C387),ISBLANK(B387)),"",VLOOKUP(C387,Deflatores!G$4:H$38,2,FALSE)*J387+VLOOKUP(C387,Deflatores!G$4:I$38,3,FALSE)))</f>
        <v/>
      </c>
      <c r="O387" s="5"/>
      <c r="P387" s="5"/>
      <c r="Q387" s="6"/>
      <c r="R387" s="10"/>
      <c r="S387" s="104"/>
      <c r="T387" s="162"/>
      <c r="U387" s="10"/>
    </row>
    <row r="388" spans="1:21" ht="21.75" customHeight="1" x14ac:dyDescent="0.2">
      <c r="A388" s="102"/>
      <c r="B388" s="2"/>
      <c r="C388" s="2"/>
      <c r="D388" s="2"/>
      <c r="E388" s="5"/>
      <c r="F388" s="2"/>
      <c r="G388" s="5"/>
      <c r="H388" s="8" t="str">
        <f t="shared" si="35"/>
        <v/>
      </c>
      <c r="I388" s="7" t="str">
        <f t="shared" si="36"/>
        <v/>
      </c>
      <c r="J388" s="3" t="str">
        <f t="shared" si="37"/>
        <v/>
      </c>
      <c r="K388" s="4" t="str">
        <f t="shared" si="38"/>
        <v/>
      </c>
      <c r="L388" s="7" t="str">
        <f t="shared" si="39"/>
        <v/>
      </c>
      <c r="M388" s="9" t="str">
        <f t="shared" si="40"/>
        <v/>
      </c>
      <c r="N388" s="9" t="str">
        <f>IF(NOT(ISERROR(VLOOKUP(B388,Deflatores!G$42:H$64,2,FALSE))),VLOOKUP(B388,Deflatores!G$42:H$64,2,FALSE),IF(OR(ISBLANK(C388),ISBLANK(B388)),"",VLOOKUP(C388,Deflatores!G$4:H$38,2,FALSE)*J388+VLOOKUP(C388,Deflatores!G$4:I$38,3,FALSE)))</f>
        <v/>
      </c>
      <c r="O388" s="5"/>
      <c r="P388" s="5"/>
      <c r="Q388" s="6"/>
      <c r="R388" s="10"/>
      <c r="S388" s="104"/>
      <c r="T388" s="162"/>
      <c r="U388" s="10"/>
    </row>
    <row r="389" spans="1:21" ht="21.75" customHeight="1" x14ac:dyDescent="0.2">
      <c r="A389" s="102"/>
      <c r="B389" s="2"/>
      <c r="C389" s="2"/>
      <c r="D389" s="2"/>
      <c r="E389" s="5"/>
      <c r="F389" s="2"/>
      <c r="G389" s="5"/>
      <c r="H389" s="8" t="str">
        <f t="shared" si="35"/>
        <v/>
      </c>
      <c r="I389" s="7" t="str">
        <f t="shared" si="36"/>
        <v/>
      </c>
      <c r="J389" s="3" t="str">
        <f t="shared" si="37"/>
        <v/>
      </c>
      <c r="K389" s="4" t="str">
        <f t="shared" si="38"/>
        <v/>
      </c>
      <c r="L389" s="7" t="str">
        <f t="shared" si="39"/>
        <v/>
      </c>
      <c r="M389" s="9" t="str">
        <f t="shared" si="40"/>
        <v/>
      </c>
      <c r="N389" s="9" t="str">
        <f>IF(NOT(ISERROR(VLOOKUP(B389,Deflatores!G$42:H$64,2,FALSE))),VLOOKUP(B389,Deflatores!G$42:H$64,2,FALSE),IF(OR(ISBLANK(C389),ISBLANK(B389)),"",VLOOKUP(C389,Deflatores!G$4:H$38,2,FALSE)*J389+VLOOKUP(C389,Deflatores!G$4:I$38,3,FALSE)))</f>
        <v/>
      </c>
      <c r="O389" s="5"/>
      <c r="P389" s="5"/>
      <c r="Q389" s="6"/>
      <c r="R389" s="10"/>
      <c r="S389" s="104"/>
      <c r="T389" s="162"/>
      <c r="U389" s="10"/>
    </row>
    <row r="390" spans="1:21" ht="21.75" customHeight="1" x14ac:dyDescent="0.2">
      <c r="A390" s="102"/>
      <c r="B390" s="2"/>
      <c r="C390" s="2"/>
      <c r="D390" s="2"/>
      <c r="E390" s="5"/>
      <c r="F390" s="2"/>
      <c r="G390" s="5"/>
      <c r="H390" s="8" t="str">
        <f t="shared" si="35"/>
        <v/>
      </c>
      <c r="I390" s="7" t="str">
        <f t="shared" si="36"/>
        <v/>
      </c>
      <c r="J390" s="3" t="str">
        <f t="shared" si="37"/>
        <v/>
      </c>
      <c r="K390" s="4" t="str">
        <f t="shared" si="38"/>
        <v/>
      </c>
      <c r="L390" s="7" t="str">
        <f t="shared" si="39"/>
        <v/>
      </c>
      <c r="M390" s="9" t="str">
        <f t="shared" si="40"/>
        <v/>
      </c>
      <c r="N390" s="9" t="str">
        <f>IF(NOT(ISERROR(VLOOKUP(B390,Deflatores!G$42:H$64,2,FALSE))),VLOOKUP(B390,Deflatores!G$42:H$64,2,FALSE),IF(OR(ISBLANK(C390),ISBLANK(B390)),"",VLOOKUP(C390,Deflatores!G$4:H$38,2,FALSE)*J390+VLOOKUP(C390,Deflatores!G$4:I$38,3,FALSE)))</f>
        <v/>
      </c>
      <c r="O390" s="5"/>
      <c r="P390" s="5"/>
      <c r="Q390" s="6"/>
      <c r="R390" s="10"/>
      <c r="S390" s="104"/>
      <c r="T390" s="162"/>
      <c r="U390" s="10"/>
    </row>
    <row r="391" spans="1:21" ht="21.75" customHeight="1" x14ac:dyDescent="0.2">
      <c r="A391" s="102"/>
      <c r="B391" s="2"/>
      <c r="C391" s="2"/>
      <c r="D391" s="2"/>
      <c r="E391" s="5"/>
      <c r="F391" s="2"/>
      <c r="G391" s="5"/>
      <c r="H391" s="8" t="str">
        <f t="shared" si="35"/>
        <v/>
      </c>
      <c r="I391" s="7" t="str">
        <f t="shared" si="36"/>
        <v/>
      </c>
      <c r="J391" s="3" t="str">
        <f t="shared" si="37"/>
        <v/>
      </c>
      <c r="K391" s="4" t="str">
        <f t="shared" si="38"/>
        <v/>
      </c>
      <c r="L391" s="7" t="str">
        <f t="shared" si="39"/>
        <v/>
      </c>
      <c r="M391" s="9" t="str">
        <f t="shared" si="40"/>
        <v/>
      </c>
      <c r="N391" s="9" t="str">
        <f>IF(NOT(ISERROR(VLOOKUP(B391,Deflatores!G$42:H$64,2,FALSE))),VLOOKUP(B391,Deflatores!G$42:H$64,2,FALSE),IF(OR(ISBLANK(C391),ISBLANK(B391)),"",VLOOKUP(C391,Deflatores!G$4:H$38,2,FALSE)*J391+VLOOKUP(C391,Deflatores!G$4:I$38,3,FALSE)))</f>
        <v/>
      </c>
      <c r="O391" s="5"/>
      <c r="P391" s="5"/>
      <c r="Q391" s="6"/>
      <c r="R391" s="10"/>
      <c r="S391" s="104"/>
      <c r="T391" s="162"/>
      <c r="U391" s="10"/>
    </row>
    <row r="392" spans="1:21" ht="21.75" customHeight="1" x14ac:dyDescent="0.2">
      <c r="A392" s="102"/>
      <c r="B392" s="2"/>
      <c r="C392" s="2"/>
      <c r="D392" s="2"/>
      <c r="E392" s="5"/>
      <c r="F392" s="2"/>
      <c r="G392" s="5"/>
      <c r="H392" s="8" t="str">
        <f t="shared" si="35"/>
        <v/>
      </c>
      <c r="I392" s="7" t="str">
        <f t="shared" si="36"/>
        <v/>
      </c>
      <c r="J392" s="3" t="str">
        <f t="shared" si="37"/>
        <v/>
      </c>
      <c r="K392" s="4" t="str">
        <f t="shared" si="38"/>
        <v/>
      </c>
      <c r="L392" s="7" t="str">
        <f t="shared" si="39"/>
        <v/>
      </c>
      <c r="M392" s="9" t="str">
        <f t="shared" si="40"/>
        <v/>
      </c>
      <c r="N392" s="9" t="str">
        <f>IF(NOT(ISERROR(VLOOKUP(B392,Deflatores!G$42:H$64,2,FALSE))),VLOOKUP(B392,Deflatores!G$42:H$64,2,FALSE),IF(OR(ISBLANK(C392),ISBLANK(B392)),"",VLOOKUP(C392,Deflatores!G$4:H$38,2,FALSE)*J392+VLOOKUP(C392,Deflatores!G$4:I$38,3,FALSE)))</f>
        <v/>
      </c>
      <c r="O392" s="5"/>
      <c r="P392" s="5"/>
      <c r="Q392" s="6"/>
      <c r="R392" s="10"/>
      <c r="S392" s="104"/>
      <c r="T392" s="162"/>
      <c r="U392" s="10"/>
    </row>
    <row r="393" spans="1:21" ht="21.75" customHeight="1" x14ac:dyDescent="0.2">
      <c r="A393" s="102"/>
      <c r="B393" s="2"/>
      <c r="C393" s="2"/>
      <c r="D393" s="2"/>
      <c r="E393" s="5"/>
      <c r="F393" s="2"/>
      <c r="G393" s="5"/>
      <c r="H393" s="8" t="str">
        <f t="shared" ref="H393:H456" si="41">IF(ISBLANK(B393),"",IF(K393="L","Baixa",IF(K393="A","Média",IF(K393="","","Alta"))))</f>
        <v/>
      </c>
      <c r="I393" s="7" t="str">
        <f t="shared" ref="I393:I456" si="42">CONCATENATE(B393,K393)</f>
        <v/>
      </c>
      <c r="J393" s="3" t="str">
        <f t="shared" ref="J393:J456" si="43">IF(ISBLANK(B393),"",IF(B393="ALI",IF(K393="L",7,IF(K393="A",10,15)),IF(B393="AIE",IF(K393="L",5,IF(K393="A",7,10)),IF(B393="SE",IF(K393="L",4,IF(K393="A",5,7)),IF(OR(B393="EE",B393="CE"),IF(K393="L",3,IF(K393="A",4,6)),0)))))</f>
        <v/>
      </c>
      <c r="K393" s="4" t="str">
        <f t="shared" ref="K393:K456" si="44">IF(OR(ISBLANK(D393),ISBLANK(F393)),IF(OR(B393="ALI",B393="AIE"),"L",IF(OR(B393="EE",B393="SE",B393="CE"),"A","")),IF(B393="EE",IF(F393&gt;=3,IF(D393&gt;=5,"H","A"),IF(F393&gt;=2,IF(D393&gt;=16,"H",IF(D393&lt;=4,"L","A")),IF(D393&lt;=15,"L","A"))),IF(OR(B393="SE",B393="CE"),IF(F393&gt;=4,IF(D393&gt;=6,"H","A"),IF(F393&gt;=2,IF(D393&gt;=20,"H",IF(D393&lt;=5,"L","A")),IF(D393&lt;=19,"L","A"))),IF(OR(B393="ALI",B393="AIE"),IF(F393&gt;=6,IF(D393&gt;=20,"H","A"),IF(F393&gt;=2,IF(D393&gt;=51,"H",IF(D393&lt;=19,"L","A")),IF(D393&lt;=50,"L","A"))),""))))</f>
        <v/>
      </c>
      <c r="L393" s="7" t="str">
        <f t="shared" ref="L393:L456" si="45">CONCATENATE(B393,C393)</f>
        <v/>
      </c>
      <c r="M393" s="9" t="str">
        <f t="shared" ref="M393:M456" si="46">IF(OR(J393="",J393=0),N393,J393)</f>
        <v/>
      </c>
      <c r="N393" s="9" t="str">
        <f>IF(NOT(ISERROR(VLOOKUP(B393,Deflatores!G$42:H$64,2,FALSE))),VLOOKUP(B393,Deflatores!G$42:H$64,2,FALSE),IF(OR(ISBLANK(C393),ISBLANK(B393)),"",VLOOKUP(C393,Deflatores!G$4:H$38,2,FALSE)*J393+VLOOKUP(C393,Deflatores!G$4:I$38,3,FALSE)))</f>
        <v/>
      </c>
      <c r="O393" s="5"/>
      <c r="P393" s="5"/>
      <c r="Q393" s="6"/>
      <c r="R393" s="10"/>
      <c r="S393" s="104"/>
      <c r="T393" s="162"/>
      <c r="U393" s="10"/>
    </row>
    <row r="394" spans="1:21" ht="21.75" customHeight="1" x14ac:dyDescent="0.2">
      <c r="A394" s="102"/>
      <c r="B394" s="2"/>
      <c r="C394" s="2"/>
      <c r="D394" s="2"/>
      <c r="E394" s="5"/>
      <c r="F394" s="2"/>
      <c r="G394" s="5"/>
      <c r="H394" s="8" t="str">
        <f t="shared" si="41"/>
        <v/>
      </c>
      <c r="I394" s="7" t="str">
        <f t="shared" si="42"/>
        <v/>
      </c>
      <c r="J394" s="3" t="str">
        <f t="shared" si="43"/>
        <v/>
      </c>
      <c r="K394" s="4" t="str">
        <f t="shared" si="44"/>
        <v/>
      </c>
      <c r="L394" s="7" t="str">
        <f t="shared" si="45"/>
        <v/>
      </c>
      <c r="M394" s="9" t="str">
        <f t="shared" si="46"/>
        <v/>
      </c>
      <c r="N394" s="9" t="str">
        <f>IF(NOT(ISERROR(VLOOKUP(B394,Deflatores!G$42:H$64,2,FALSE))),VLOOKUP(B394,Deflatores!G$42:H$64,2,FALSE),IF(OR(ISBLANK(C394),ISBLANK(B394)),"",VLOOKUP(C394,Deflatores!G$4:H$38,2,FALSE)*J394+VLOOKUP(C394,Deflatores!G$4:I$38,3,FALSE)))</f>
        <v/>
      </c>
      <c r="O394" s="5"/>
      <c r="P394" s="5"/>
      <c r="Q394" s="6"/>
      <c r="R394" s="10"/>
      <c r="S394" s="104"/>
      <c r="T394" s="162"/>
      <c r="U394" s="10"/>
    </row>
    <row r="395" spans="1:21" ht="21.75" customHeight="1" x14ac:dyDescent="0.2">
      <c r="A395" s="102"/>
      <c r="B395" s="2"/>
      <c r="C395" s="2"/>
      <c r="D395" s="2"/>
      <c r="E395" s="5"/>
      <c r="F395" s="2"/>
      <c r="G395" s="5"/>
      <c r="H395" s="8" t="str">
        <f t="shared" si="41"/>
        <v/>
      </c>
      <c r="I395" s="7" t="str">
        <f t="shared" si="42"/>
        <v/>
      </c>
      <c r="J395" s="3" t="str">
        <f t="shared" si="43"/>
        <v/>
      </c>
      <c r="K395" s="4" t="str">
        <f t="shared" si="44"/>
        <v/>
      </c>
      <c r="L395" s="7" t="str">
        <f t="shared" si="45"/>
        <v/>
      </c>
      <c r="M395" s="9" t="str">
        <f t="shared" si="46"/>
        <v/>
      </c>
      <c r="N395" s="9" t="str">
        <f>IF(NOT(ISERROR(VLOOKUP(B395,Deflatores!G$42:H$64,2,FALSE))),VLOOKUP(B395,Deflatores!G$42:H$64,2,FALSE),IF(OR(ISBLANK(C395),ISBLANK(B395)),"",VLOOKUP(C395,Deflatores!G$4:H$38,2,FALSE)*J395+VLOOKUP(C395,Deflatores!G$4:I$38,3,FALSE)))</f>
        <v/>
      </c>
      <c r="O395" s="5"/>
      <c r="P395" s="5"/>
      <c r="Q395" s="6"/>
      <c r="R395" s="10"/>
      <c r="S395" s="104"/>
      <c r="T395" s="162"/>
      <c r="U395" s="10"/>
    </row>
    <row r="396" spans="1:21" ht="21.75" customHeight="1" x14ac:dyDescent="0.2">
      <c r="A396" s="102"/>
      <c r="B396" s="2"/>
      <c r="C396" s="2"/>
      <c r="D396" s="2"/>
      <c r="E396" s="5"/>
      <c r="F396" s="2"/>
      <c r="G396" s="5"/>
      <c r="H396" s="8" t="str">
        <f t="shared" si="41"/>
        <v/>
      </c>
      <c r="I396" s="7" t="str">
        <f t="shared" si="42"/>
        <v/>
      </c>
      <c r="J396" s="3" t="str">
        <f t="shared" si="43"/>
        <v/>
      </c>
      <c r="K396" s="4" t="str">
        <f t="shared" si="44"/>
        <v/>
      </c>
      <c r="L396" s="7" t="str">
        <f t="shared" si="45"/>
        <v/>
      </c>
      <c r="M396" s="9" t="str">
        <f t="shared" si="46"/>
        <v/>
      </c>
      <c r="N396" s="9" t="str">
        <f>IF(NOT(ISERROR(VLOOKUP(B396,Deflatores!G$42:H$64,2,FALSE))),VLOOKUP(B396,Deflatores!G$42:H$64,2,FALSE),IF(OR(ISBLANK(C396),ISBLANK(B396)),"",VLOOKUP(C396,Deflatores!G$4:H$38,2,FALSE)*J396+VLOOKUP(C396,Deflatores!G$4:I$38,3,FALSE)))</f>
        <v/>
      </c>
      <c r="O396" s="5"/>
      <c r="P396" s="5"/>
      <c r="Q396" s="6"/>
      <c r="R396" s="10"/>
      <c r="S396" s="104"/>
      <c r="T396" s="162"/>
      <c r="U396" s="10"/>
    </row>
    <row r="397" spans="1:21" ht="21.75" customHeight="1" x14ac:dyDescent="0.2">
      <c r="A397" s="102"/>
      <c r="B397" s="2"/>
      <c r="C397" s="2"/>
      <c r="D397" s="2"/>
      <c r="E397" s="5"/>
      <c r="F397" s="2"/>
      <c r="G397" s="5"/>
      <c r="H397" s="8" t="str">
        <f t="shared" si="41"/>
        <v/>
      </c>
      <c r="I397" s="7" t="str">
        <f t="shared" si="42"/>
        <v/>
      </c>
      <c r="J397" s="3" t="str">
        <f t="shared" si="43"/>
        <v/>
      </c>
      <c r="K397" s="4" t="str">
        <f t="shared" si="44"/>
        <v/>
      </c>
      <c r="L397" s="7" t="str">
        <f t="shared" si="45"/>
        <v/>
      </c>
      <c r="M397" s="9" t="str">
        <f t="shared" si="46"/>
        <v/>
      </c>
      <c r="N397" s="9" t="str">
        <f>IF(NOT(ISERROR(VLOOKUP(B397,Deflatores!G$42:H$64,2,FALSE))),VLOOKUP(B397,Deflatores!G$42:H$64,2,FALSE),IF(OR(ISBLANK(C397),ISBLANK(B397)),"",VLOOKUP(C397,Deflatores!G$4:H$38,2,FALSE)*J397+VLOOKUP(C397,Deflatores!G$4:I$38,3,FALSE)))</f>
        <v/>
      </c>
      <c r="O397" s="5"/>
      <c r="P397" s="5"/>
      <c r="Q397" s="6"/>
      <c r="R397" s="10"/>
      <c r="S397" s="104"/>
      <c r="T397" s="162"/>
      <c r="U397" s="10"/>
    </row>
    <row r="398" spans="1:21" ht="21.75" customHeight="1" x14ac:dyDescent="0.2">
      <c r="A398" s="102"/>
      <c r="B398" s="2"/>
      <c r="C398" s="2"/>
      <c r="D398" s="2"/>
      <c r="E398" s="5"/>
      <c r="F398" s="2"/>
      <c r="G398" s="5"/>
      <c r="H398" s="8" t="str">
        <f t="shared" si="41"/>
        <v/>
      </c>
      <c r="I398" s="7" t="str">
        <f t="shared" si="42"/>
        <v/>
      </c>
      <c r="J398" s="3" t="str">
        <f t="shared" si="43"/>
        <v/>
      </c>
      <c r="K398" s="4" t="str">
        <f t="shared" si="44"/>
        <v/>
      </c>
      <c r="L398" s="7" t="str">
        <f t="shared" si="45"/>
        <v/>
      </c>
      <c r="M398" s="9" t="str">
        <f t="shared" si="46"/>
        <v/>
      </c>
      <c r="N398" s="9" t="str">
        <f>IF(NOT(ISERROR(VLOOKUP(B398,Deflatores!G$42:H$64,2,FALSE))),VLOOKUP(B398,Deflatores!G$42:H$64,2,FALSE),IF(OR(ISBLANK(C398),ISBLANK(B398)),"",VLOOKUP(C398,Deflatores!G$4:H$38,2,FALSE)*J398+VLOOKUP(C398,Deflatores!G$4:I$38,3,FALSE)))</f>
        <v/>
      </c>
      <c r="O398" s="5"/>
      <c r="P398" s="5"/>
      <c r="Q398" s="6"/>
      <c r="R398" s="10"/>
      <c r="S398" s="104"/>
      <c r="T398" s="162"/>
      <c r="U398" s="10"/>
    </row>
    <row r="399" spans="1:21" ht="21.75" customHeight="1" x14ac:dyDescent="0.2">
      <c r="A399" s="102"/>
      <c r="B399" s="2"/>
      <c r="C399" s="2"/>
      <c r="D399" s="2"/>
      <c r="E399" s="5"/>
      <c r="F399" s="2"/>
      <c r="G399" s="5"/>
      <c r="H399" s="8" t="str">
        <f t="shared" si="41"/>
        <v/>
      </c>
      <c r="I399" s="7" t="str">
        <f t="shared" si="42"/>
        <v/>
      </c>
      <c r="J399" s="3" t="str">
        <f t="shared" si="43"/>
        <v/>
      </c>
      <c r="K399" s="4" t="str">
        <f t="shared" si="44"/>
        <v/>
      </c>
      <c r="L399" s="7" t="str">
        <f t="shared" si="45"/>
        <v/>
      </c>
      <c r="M399" s="9" t="str">
        <f t="shared" si="46"/>
        <v/>
      </c>
      <c r="N399" s="9" t="str">
        <f>IF(NOT(ISERROR(VLOOKUP(B399,Deflatores!G$42:H$64,2,FALSE))),VLOOKUP(B399,Deflatores!G$42:H$64,2,FALSE),IF(OR(ISBLANK(C399),ISBLANK(B399)),"",VLOOKUP(C399,Deflatores!G$4:H$38,2,FALSE)*J399+VLOOKUP(C399,Deflatores!G$4:I$38,3,FALSE)))</f>
        <v/>
      </c>
      <c r="O399" s="5"/>
      <c r="P399" s="5"/>
      <c r="Q399" s="6"/>
      <c r="R399" s="10"/>
      <c r="S399" s="104"/>
      <c r="T399" s="162"/>
      <c r="U399" s="10"/>
    </row>
    <row r="400" spans="1:21" ht="21.75" customHeight="1" x14ac:dyDescent="0.2">
      <c r="A400" s="102"/>
      <c r="B400" s="2"/>
      <c r="C400" s="2"/>
      <c r="D400" s="2"/>
      <c r="E400" s="5"/>
      <c r="F400" s="2"/>
      <c r="G400" s="5"/>
      <c r="H400" s="8" t="str">
        <f t="shared" si="41"/>
        <v/>
      </c>
      <c r="I400" s="7" t="str">
        <f t="shared" si="42"/>
        <v/>
      </c>
      <c r="J400" s="3" t="str">
        <f t="shared" si="43"/>
        <v/>
      </c>
      <c r="K400" s="4" t="str">
        <f t="shared" si="44"/>
        <v/>
      </c>
      <c r="L400" s="7" t="str">
        <f t="shared" si="45"/>
        <v/>
      </c>
      <c r="M400" s="9" t="str">
        <f t="shared" si="46"/>
        <v/>
      </c>
      <c r="N400" s="9" t="str">
        <f>IF(NOT(ISERROR(VLOOKUP(B400,Deflatores!G$42:H$64,2,FALSE))),VLOOKUP(B400,Deflatores!G$42:H$64,2,FALSE),IF(OR(ISBLANK(C400),ISBLANK(B400)),"",VLOOKUP(C400,Deflatores!G$4:H$38,2,FALSE)*J400+VLOOKUP(C400,Deflatores!G$4:I$38,3,FALSE)))</f>
        <v/>
      </c>
      <c r="O400" s="5"/>
      <c r="P400" s="5"/>
      <c r="Q400" s="6"/>
      <c r="R400" s="10"/>
      <c r="S400" s="104"/>
      <c r="T400" s="162"/>
      <c r="U400" s="10"/>
    </row>
    <row r="401" spans="1:21" ht="21.75" customHeight="1" x14ac:dyDescent="0.2">
      <c r="A401" s="102"/>
      <c r="B401" s="2"/>
      <c r="C401" s="2"/>
      <c r="D401" s="2"/>
      <c r="E401" s="5"/>
      <c r="F401" s="2"/>
      <c r="G401" s="5"/>
      <c r="H401" s="8" t="str">
        <f t="shared" si="41"/>
        <v/>
      </c>
      <c r="I401" s="7" t="str">
        <f t="shared" si="42"/>
        <v/>
      </c>
      <c r="J401" s="3" t="str">
        <f t="shared" si="43"/>
        <v/>
      </c>
      <c r="K401" s="4" t="str">
        <f t="shared" si="44"/>
        <v/>
      </c>
      <c r="L401" s="7" t="str">
        <f t="shared" si="45"/>
        <v/>
      </c>
      <c r="M401" s="9" t="str">
        <f t="shared" si="46"/>
        <v/>
      </c>
      <c r="N401" s="9" t="str">
        <f>IF(NOT(ISERROR(VLOOKUP(B401,Deflatores!G$42:H$64,2,FALSE))),VLOOKUP(B401,Deflatores!G$42:H$64,2,FALSE),IF(OR(ISBLANK(C401),ISBLANK(B401)),"",VLOOKUP(C401,Deflatores!G$4:H$38,2,FALSE)*J401+VLOOKUP(C401,Deflatores!G$4:I$38,3,FALSE)))</f>
        <v/>
      </c>
      <c r="O401" s="5"/>
      <c r="P401" s="5"/>
      <c r="Q401" s="6"/>
      <c r="R401" s="10"/>
      <c r="S401" s="104"/>
      <c r="T401" s="162"/>
      <c r="U401" s="10"/>
    </row>
    <row r="402" spans="1:21" ht="21.75" customHeight="1" x14ac:dyDescent="0.2">
      <c r="A402" s="102"/>
      <c r="B402" s="2"/>
      <c r="C402" s="2"/>
      <c r="D402" s="2"/>
      <c r="E402" s="5"/>
      <c r="F402" s="2"/>
      <c r="G402" s="5"/>
      <c r="H402" s="8" t="str">
        <f t="shared" si="41"/>
        <v/>
      </c>
      <c r="I402" s="7" t="str">
        <f t="shared" si="42"/>
        <v/>
      </c>
      <c r="J402" s="3" t="str">
        <f t="shared" si="43"/>
        <v/>
      </c>
      <c r="K402" s="4" t="str">
        <f t="shared" si="44"/>
        <v/>
      </c>
      <c r="L402" s="7" t="str">
        <f t="shared" si="45"/>
        <v/>
      </c>
      <c r="M402" s="9" t="str">
        <f t="shared" si="46"/>
        <v/>
      </c>
      <c r="N402" s="9" t="str">
        <f>IF(NOT(ISERROR(VLOOKUP(B402,Deflatores!G$42:H$64,2,FALSE))),VLOOKUP(B402,Deflatores!G$42:H$64,2,FALSE),IF(OR(ISBLANK(C402),ISBLANK(B402)),"",VLOOKUP(C402,Deflatores!G$4:H$38,2,FALSE)*J402+VLOOKUP(C402,Deflatores!G$4:I$38,3,FALSE)))</f>
        <v/>
      </c>
      <c r="O402" s="5"/>
      <c r="P402" s="5"/>
      <c r="Q402" s="6"/>
      <c r="R402" s="10"/>
      <c r="S402" s="104"/>
      <c r="T402" s="162"/>
      <c r="U402" s="10"/>
    </row>
    <row r="403" spans="1:21" ht="21.75" customHeight="1" x14ac:dyDescent="0.2">
      <c r="A403" s="102"/>
      <c r="B403" s="2"/>
      <c r="C403" s="2"/>
      <c r="D403" s="2"/>
      <c r="E403" s="5"/>
      <c r="F403" s="2"/>
      <c r="G403" s="5"/>
      <c r="H403" s="8" t="str">
        <f t="shared" si="41"/>
        <v/>
      </c>
      <c r="I403" s="7" t="str">
        <f t="shared" si="42"/>
        <v/>
      </c>
      <c r="J403" s="3" t="str">
        <f t="shared" si="43"/>
        <v/>
      </c>
      <c r="K403" s="4" t="str">
        <f t="shared" si="44"/>
        <v/>
      </c>
      <c r="L403" s="7" t="str">
        <f t="shared" si="45"/>
        <v/>
      </c>
      <c r="M403" s="9" t="str">
        <f t="shared" si="46"/>
        <v/>
      </c>
      <c r="N403" s="9" t="str">
        <f>IF(NOT(ISERROR(VLOOKUP(B403,Deflatores!G$42:H$64,2,FALSE))),VLOOKUP(B403,Deflatores!G$42:H$64,2,FALSE),IF(OR(ISBLANK(C403),ISBLANK(B403)),"",VLOOKUP(C403,Deflatores!G$4:H$38,2,FALSE)*J403+VLOOKUP(C403,Deflatores!G$4:I$38,3,FALSE)))</f>
        <v/>
      </c>
      <c r="O403" s="5"/>
      <c r="P403" s="5"/>
      <c r="Q403" s="6"/>
      <c r="R403" s="10"/>
      <c r="S403" s="104"/>
      <c r="T403" s="162"/>
      <c r="U403" s="10"/>
    </row>
    <row r="404" spans="1:21" ht="21.75" customHeight="1" x14ac:dyDescent="0.2">
      <c r="A404" s="102"/>
      <c r="B404" s="2"/>
      <c r="C404" s="2"/>
      <c r="D404" s="2"/>
      <c r="E404" s="5"/>
      <c r="F404" s="2"/>
      <c r="G404" s="5"/>
      <c r="H404" s="8" t="str">
        <f t="shared" si="41"/>
        <v/>
      </c>
      <c r="I404" s="7" t="str">
        <f t="shared" si="42"/>
        <v/>
      </c>
      <c r="J404" s="3" t="str">
        <f t="shared" si="43"/>
        <v/>
      </c>
      <c r="K404" s="4" t="str">
        <f t="shared" si="44"/>
        <v/>
      </c>
      <c r="L404" s="7" t="str">
        <f t="shared" si="45"/>
        <v/>
      </c>
      <c r="M404" s="9" t="str">
        <f t="shared" si="46"/>
        <v/>
      </c>
      <c r="N404" s="9" t="str">
        <f>IF(NOT(ISERROR(VLOOKUP(B404,Deflatores!G$42:H$64,2,FALSE))),VLOOKUP(B404,Deflatores!G$42:H$64,2,FALSE),IF(OR(ISBLANK(C404),ISBLANK(B404)),"",VLOOKUP(C404,Deflatores!G$4:H$38,2,FALSE)*J404+VLOOKUP(C404,Deflatores!G$4:I$38,3,FALSE)))</f>
        <v/>
      </c>
      <c r="O404" s="5"/>
      <c r="P404" s="5"/>
      <c r="Q404" s="6"/>
      <c r="R404" s="10"/>
      <c r="S404" s="104"/>
      <c r="T404" s="162"/>
      <c r="U404" s="10"/>
    </row>
    <row r="405" spans="1:21" ht="21.75" customHeight="1" x14ac:dyDescent="0.2">
      <c r="A405" s="102"/>
      <c r="B405" s="2"/>
      <c r="C405" s="2"/>
      <c r="D405" s="2"/>
      <c r="E405" s="5"/>
      <c r="F405" s="2"/>
      <c r="G405" s="5"/>
      <c r="H405" s="8" t="str">
        <f t="shared" si="41"/>
        <v/>
      </c>
      <c r="I405" s="7" t="str">
        <f t="shared" si="42"/>
        <v/>
      </c>
      <c r="J405" s="3" t="str">
        <f t="shared" si="43"/>
        <v/>
      </c>
      <c r="K405" s="4" t="str">
        <f t="shared" si="44"/>
        <v/>
      </c>
      <c r="L405" s="7" t="str">
        <f t="shared" si="45"/>
        <v/>
      </c>
      <c r="M405" s="9" t="str">
        <f t="shared" si="46"/>
        <v/>
      </c>
      <c r="N405" s="9" t="str">
        <f>IF(NOT(ISERROR(VLOOKUP(B405,Deflatores!G$42:H$64,2,FALSE))),VLOOKUP(B405,Deflatores!G$42:H$64,2,FALSE),IF(OR(ISBLANK(C405),ISBLANK(B405)),"",VLOOKUP(C405,Deflatores!G$4:H$38,2,FALSE)*J405+VLOOKUP(C405,Deflatores!G$4:I$38,3,FALSE)))</f>
        <v/>
      </c>
      <c r="O405" s="5"/>
      <c r="P405" s="5"/>
      <c r="Q405" s="6"/>
      <c r="R405" s="10"/>
      <c r="S405" s="104"/>
      <c r="T405" s="162"/>
      <c r="U405" s="10"/>
    </row>
    <row r="406" spans="1:21" ht="21.75" customHeight="1" x14ac:dyDescent="0.2">
      <c r="A406" s="102"/>
      <c r="B406" s="2"/>
      <c r="C406" s="2"/>
      <c r="D406" s="2"/>
      <c r="E406" s="5"/>
      <c r="F406" s="2"/>
      <c r="G406" s="5"/>
      <c r="H406" s="8" t="str">
        <f t="shared" si="41"/>
        <v/>
      </c>
      <c r="I406" s="7" t="str">
        <f t="shared" si="42"/>
        <v/>
      </c>
      <c r="J406" s="3" t="str">
        <f t="shared" si="43"/>
        <v/>
      </c>
      <c r="K406" s="4" t="str">
        <f t="shared" si="44"/>
        <v/>
      </c>
      <c r="L406" s="7" t="str">
        <f t="shared" si="45"/>
        <v/>
      </c>
      <c r="M406" s="9" t="str">
        <f t="shared" si="46"/>
        <v/>
      </c>
      <c r="N406" s="9" t="str">
        <f>IF(NOT(ISERROR(VLOOKUP(B406,Deflatores!G$42:H$64,2,FALSE))),VLOOKUP(B406,Deflatores!G$42:H$64,2,FALSE),IF(OR(ISBLANK(C406),ISBLANK(B406)),"",VLOOKUP(C406,Deflatores!G$4:H$38,2,FALSE)*J406+VLOOKUP(C406,Deflatores!G$4:I$38,3,FALSE)))</f>
        <v/>
      </c>
      <c r="O406" s="5"/>
      <c r="P406" s="5"/>
      <c r="Q406" s="6"/>
      <c r="R406" s="10"/>
      <c r="S406" s="104"/>
      <c r="T406" s="162"/>
      <c r="U406" s="10"/>
    </row>
    <row r="407" spans="1:21" ht="21.75" customHeight="1" x14ac:dyDescent="0.2">
      <c r="A407" s="102"/>
      <c r="B407" s="2"/>
      <c r="C407" s="2"/>
      <c r="D407" s="2"/>
      <c r="E407" s="5"/>
      <c r="F407" s="2"/>
      <c r="G407" s="5"/>
      <c r="H407" s="8" t="str">
        <f t="shared" si="41"/>
        <v/>
      </c>
      <c r="I407" s="7" t="str">
        <f t="shared" si="42"/>
        <v/>
      </c>
      <c r="J407" s="3" t="str">
        <f t="shared" si="43"/>
        <v/>
      </c>
      <c r="K407" s="4" t="str">
        <f t="shared" si="44"/>
        <v/>
      </c>
      <c r="L407" s="7" t="str">
        <f t="shared" si="45"/>
        <v/>
      </c>
      <c r="M407" s="9" t="str">
        <f t="shared" si="46"/>
        <v/>
      </c>
      <c r="N407" s="9" t="str">
        <f>IF(NOT(ISERROR(VLOOKUP(B407,Deflatores!G$42:H$64,2,FALSE))),VLOOKUP(B407,Deflatores!G$42:H$64,2,FALSE),IF(OR(ISBLANK(C407),ISBLANK(B407)),"",VLOOKUP(C407,Deflatores!G$4:H$38,2,FALSE)*J407+VLOOKUP(C407,Deflatores!G$4:I$38,3,FALSE)))</f>
        <v/>
      </c>
      <c r="O407" s="5"/>
      <c r="P407" s="5"/>
      <c r="Q407" s="6"/>
      <c r="R407" s="10"/>
      <c r="S407" s="104"/>
      <c r="T407" s="162"/>
      <c r="U407" s="10"/>
    </row>
    <row r="408" spans="1:21" ht="21.75" customHeight="1" x14ac:dyDescent="0.2">
      <c r="A408" s="102"/>
      <c r="B408" s="2"/>
      <c r="C408" s="2"/>
      <c r="D408" s="2"/>
      <c r="E408" s="5"/>
      <c r="F408" s="2"/>
      <c r="G408" s="5"/>
      <c r="H408" s="8" t="str">
        <f t="shared" si="41"/>
        <v/>
      </c>
      <c r="I408" s="7" t="str">
        <f t="shared" si="42"/>
        <v/>
      </c>
      <c r="J408" s="3" t="str">
        <f t="shared" si="43"/>
        <v/>
      </c>
      <c r="K408" s="4" t="str">
        <f t="shared" si="44"/>
        <v/>
      </c>
      <c r="L408" s="7" t="str">
        <f t="shared" si="45"/>
        <v/>
      </c>
      <c r="M408" s="9" t="str">
        <f t="shared" si="46"/>
        <v/>
      </c>
      <c r="N408" s="9" t="str">
        <f>IF(NOT(ISERROR(VLOOKUP(B408,Deflatores!G$42:H$64,2,FALSE))),VLOOKUP(B408,Deflatores!G$42:H$64,2,FALSE),IF(OR(ISBLANK(C408),ISBLANK(B408)),"",VLOOKUP(C408,Deflatores!G$4:H$38,2,FALSE)*J408+VLOOKUP(C408,Deflatores!G$4:I$38,3,FALSE)))</f>
        <v/>
      </c>
      <c r="O408" s="5"/>
      <c r="P408" s="5"/>
      <c r="Q408" s="6"/>
      <c r="R408" s="10"/>
      <c r="S408" s="104"/>
      <c r="T408" s="162"/>
      <c r="U408" s="10"/>
    </row>
    <row r="409" spans="1:21" ht="21.75" customHeight="1" x14ac:dyDescent="0.2">
      <c r="A409" s="102"/>
      <c r="B409" s="2"/>
      <c r="C409" s="2"/>
      <c r="D409" s="2"/>
      <c r="E409" s="5"/>
      <c r="F409" s="2"/>
      <c r="G409" s="5"/>
      <c r="H409" s="8" t="str">
        <f t="shared" si="41"/>
        <v/>
      </c>
      <c r="I409" s="7" t="str">
        <f t="shared" si="42"/>
        <v/>
      </c>
      <c r="J409" s="3" t="str">
        <f t="shared" si="43"/>
        <v/>
      </c>
      <c r="K409" s="4" t="str">
        <f t="shared" si="44"/>
        <v/>
      </c>
      <c r="L409" s="7" t="str">
        <f t="shared" si="45"/>
        <v/>
      </c>
      <c r="M409" s="9" t="str">
        <f t="shared" si="46"/>
        <v/>
      </c>
      <c r="N409" s="9" t="str">
        <f>IF(NOT(ISERROR(VLOOKUP(B409,Deflatores!G$42:H$64,2,FALSE))),VLOOKUP(B409,Deflatores!G$42:H$64,2,FALSE),IF(OR(ISBLANK(C409),ISBLANK(B409)),"",VLOOKUP(C409,Deflatores!G$4:H$38,2,FALSE)*J409+VLOOKUP(C409,Deflatores!G$4:I$38,3,FALSE)))</f>
        <v/>
      </c>
      <c r="O409" s="5"/>
      <c r="P409" s="5"/>
      <c r="Q409" s="6"/>
      <c r="R409" s="10"/>
      <c r="S409" s="104"/>
      <c r="T409" s="162"/>
      <c r="U409" s="10"/>
    </row>
    <row r="410" spans="1:21" ht="21.75" customHeight="1" x14ac:dyDescent="0.2">
      <c r="A410" s="102"/>
      <c r="B410" s="2"/>
      <c r="C410" s="2"/>
      <c r="D410" s="2"/>
      <c r="E410" s="5"/>
      <c r="F410" s="2"/>
      <c r="G410" s="5"/>
      <c r="H410" s="8" t="str">
        <f t="shared" si="41"/>
        <v/>
      </c>
      <c r="I410" s="7" t="str">
        <f t="shared" si="42"/>
        <v/>
      </c>
      <c r="J410" s="3" t="str">
        <f t="shared" si="43"/>
        <v/>
      </c>
      <c r="K410" s="4" t="str">
        <f t="shared" si="44"/>
        <v/>
      </c>
      <c r="L410" s="7" t="str">
        <f t="shared" si="45"/>
        <v/>
      </c>
      <c r="M410" s="9" t="str">
        <f t="shared" si="46"/>
        <v/>
      </c>
      <c r="N410" s="9" t="str">
        <f>IF(NOT(ISERROR(VLOOKUP(B410,Deflatores!G$42:H$64,2,FALSE))),VLOOKUP(B410,Deflatores!G$42:H$64,2,FALSE),IF(OR(ISBLANK(C410),ISBLANK(B410)),"",VLOOKUP(C410,Deflatores!G$4:H$38,2,FALSE)*J410+VLOOKUP(C410,Deflatores!G$4:I$38,3,FALSE)))</f>
        <v/>
      </c>
      <c r="O410" s="5"/>
      <c r="P410" s="5"/>
      <c r="Q410" s="6"/>
      <c r="R410" s="10"/>
      <c r="S410" s="104"/>
      <c r="T410" s="162"/>
      <c r="U410" s="10"/>
    </row>
    <row r="411" spans="1:21" ht="21.75" customHeight="1" x14ac:dyDescent="0.2">
      <c r="A411" s="102"/>
      <c r="B411" s="2"/>
      <c r="C411" s="2"/>
      <c r="D411" s="2"/>
      <c r="E411" s="5"/>
      <c r="F411" s="2"/>
      <c r="G411" s="5"/>
      <c r="H411" s="8" t="str">
        <f t="shared" si="41"/>
        <v/>
      </c>
      <c r="I411" s="7" t="str">
        <f t="shared" si="42"/>
        <v/>
      </c>
      <c r="J411" s="3" t="str">
        <f t="shared" si="43"/>
        <v/>
      </c>
      <c r="K411" s="4" t="str">
        <f t="shared" si="44"/>
        <v/>
      </c>
      <c r="L411" s="7" t="str">
        <f t="shared" si="45"/>
        <v/>
      </c>
      <c r="M411" s="9" t="str">
        <f t="shared" si="46"/>
        <v/>
      </c>
      <c r="N411" s="9" t="str">
        <f>IF(NOT(ISERROR(VLOOKUP(B411,Deflatores!G$42:H$64,2,FALSE))),VLOOKUP(B411,Deflatores!G$42:H$64,2,FALSE),IF(OR(ISBLANK(C411),ISBLANK(B411)),"",VLOOKUP(C411,Deflatores!G$4:H$38,2,FALSE)*J411+VLOOKUP(C411,Deflatores!G$4:I$38,3,FALSE)))</f>
        <v/>
      </c>
      <c r="O411" s="5"/>
      <c r="P411" s="5"/>
      <c r="Q411" s="6"/>
      <c r="R411" s="10"/>
      <c r="S411" s="104"/>
      <c r="T411" s="162"/>
      <c r="U411" s="10"/>
    </row>
    <row r="412" spans="1:21" ht="21.75" customHeight="1" x14ac:dyDescent="0.2">
      <c r="A412" s="102"/>
      <c r="B412" s="2"/>
      <c r="C412" s="2"/>
      <c r="D412" s="2"/>
      <c r="E412" s="5"/>
      <c r="F412" s="2"/>
      <c r="G412" s="5"/>
      <c r="H412" s="8" t="str">
        <f t="shared" si="41"/>
        <v/>
      </c>
      <c r="I412" s="7" t="str">
        <f t="shared" si="42"/>
        <v/>
      </c>
      <c r="J412" s="3" t="str">
        <f t="shared" si="43"/>
        <v/>
      </c>
      <c r="K412" s="4" t="str">
        <f t="shared" si="44"/>
        <v/>
      </c>
      <c r="L412" s="7" t="str">
        <f t="shared" si="45"/>
        <v/>
      </c>
      <c r="M412" s="9" t="str">
        <f t="shared" si="46"/>
        <v/>
      </c>
      <c r="N412" s="9" t="str">
        <f>IF(NOT(ISERROR(VLOOKUP(B412,Deflatores!G$42:H$64,2,FALSE))),VLOOKUP(B412,Deflatores!G$42:H$64,2,FALSE),IF(OR(ISBLANK(C412),ISBLANK(B412)),"",VLOOKUP(C412,Deflatores!G$4:H$38,2,FALSE)*J412+VLOOKUP(C412,Deflatores!G$4:I$38,3,FALSE)))</f>
        <v/>
      </c>
      <c r="O412" s="5"/>
      <c r="P412" s="5"/>
      <c r="Q412" s="6"/>
      <c r="R412" s="10"/>
      <c r="S412" s="104"/>
      <c r="T412" s="162"/>
      <c r="U412" s="10"/>
    </row>
    <row r="413" spans="1:21" ht="21.75" customHeight="1" x14ac:dyDescent="0.2">
      <c r="A413" s="102"/>
      <c r="B413" s="2"/>
      <c r="C413" s="2"/>
      <c r="D413" s="2"/>
      <c r="E413" s="5"/>
      <c r="F413" s="2"/>
      <c r="G413" s="5"/>
      <c r="H413" s="8" t="str">
        <f t="shared" si="41"/>
        <v/>
      </c>
      <c r="I413" s="7" t="str">
        <f t="shared" si="42"/>
        <v/>
      </c>
      <c r="J413" s="3" t="str">
        <f t="shared" si="43"/>
        <v/>
      </c>
      <c r="K413" s="4" t="str">
        <f t="shared" si="44"/>
        <v/>
      </c>
      <c r="L413" s="7" t="str">
        <f t="shared" si="45"/>
        <v/>
      </c>
      <c r="M413" s="9" t="str">
        <f t="shared" si="46"/>
        <v/>
      </c>
      <c r="N413" s="9" t="str">
        <f>IF(NOT(ISERROR(VLOOKUP(B413,Deflatores!G$42:H$64,2,FALSE))),VLOOKUP(B413,Deflatores!G$42:H$64,2,FALSE),IF(OR(ISBLANK(C413),ISBLANK(B413)),"",VLOOKUP(C413,Deflatores!G$4:H$38,2,FALSE)*J413+VLOOKUP(C413,Deflatores!G$4:I$38,3,FALSE)))</f>
        <v/>
      </c>
      <c r="O413" s="5"/>
      <c r="P413" s="5"/>
      <c r="Q413" s="6"/>
      <c r="R413" s="10"/>
      <c r="S413" s="104"/>
      <c r="T413" s="162"/>
      <c r="U413" s="10"/>
    </row>
    <row r="414" spans="1:21" ht="21.75" customHeight="1" x14ac:dyDescent="0.2">
      <c r="A414" s="102"/>
      <c r="B414" s="2"/>
      <c r="C414" s="2"/>
      <c r="D414" s="2"/>
      <c r="E414" s="5"/>
      <c r="F414" s="2"/>
      <c r="G414" s="5"/>
      <c r="H414" s="8" t="str">
        <f t="shared" si="41"/>
        <v/>
      </c>
      <c r="I414" s="7" t="str">
        <f t="shared" si="42"/>
        <v/>
      </c>
      <c r="J414" s="3" t="str">
        <f t="shared" si="43"/>
        <v/>
      </c>
      <c r="K414" s="4" t="str">
        <f t="shared" si="44"/>
        <v/>
      </c>
      <c r="L414" s="7" t="str">
        <f t="shared" si="45"/>
        <v/>
      </c>
      <c r="M414" s="9" t="str">
        <f t="shared" si="46"/>
        <v/>
      </c>
      <c r="N414" s="9" t="str">
        <f>IF(NOT(ISERROR(VLOOKUP(B414,Deflatores!G$42:H$64,2,FALSE))),VLOOKUP(B414,Deflatores!G$42:H$64,2,FALSE),IF(OR(ISBLANK(C414),ISBLANK(B414)),"",VLOOKUP(C414,Deflatores!G$4:H$38,2,FALSE)*J414+VLOOKUP(C414,Deflatores!G$4:I$38,3,FALSE)))</f>
        <v/>
      </c>
      <c r="O414" s="5"/>
      <c r="P414" s="5"/>
      <c r="Q414" s="6"/>
      <c r="R414" s="10"/>
      <c r="S414" s="104"/>
      <c r="T414" s="162"/>
      <c r="U414" s="10"/>
    </row>
    <row r="415" spans="1:21" ht="21.75" customHeight="1" x14ac:dyDescent="0.2">
      <c r="A415" s="102"/>
      <c r="B415" s="2"/>
      <c r="C415" s="2"/>
      <c r="D415" s="2"/>
      <c r="E415" s="5"/>
      <c r="F415" s="2"/>
      <c r="G415" s="5"/>
      <c r="H415" s="8" t="str">
        <f t="shared" si="41"/>
        <v/>
      </c>
      <c r="I415" s="7" t="str">
        <f t="shared" si="42"/>
        <v/>
      </c>
      <c r="J415" s="3" t="str">
        <f t="shared" si="43"/>
        <v/>
      </c>
      <c r="K415" s="4" t="str">
        <f t="shared" si="44"/>
        <v/>
      </c>
      <c r="L415" s="7" t="str">
        <f t="shared" si="45"/>
        <v/>
      </c>
      <c r="M415" s="9" t="str">
        <f t="shared" si="46"/>
        <v/>
      </c>
      <c r="N415" s="9" t="str">
        <f>IF(NOT(ISERROR(VLOOKUP(B415,Deflatores!G$42:H$64,2,FALSE))),VLOOKUP(B415,Deflatores!G$42:H$64,2,FALSE),IF(OR(ISBLANK(C415),ISBLANK(B415)),"",VLOOKUP(C415,Deflatores!G$4:H$38,2,FALSE)*J415+VLOOKUP(C415,Deflatores!G$4:I$38,3,FALSE)))</f>
        <v/>
      </c>
      <c r="O415" s="5"/>
      <c r="P415" s="5"/>
      <c r="Q415" s="6"/>
      <c r="R415" s="10"/>
      <c r="S415" s="104"/>
      <c r="T415" s="162"/>
      <c r="U415" s="10"/>
    </row>
    <row r="416" spans="1:21" ht="21.75" customHeight="1" x14ac:dyDescent="0.2">
      <c r="A416" s="102"/>
      <c r="B416" s="2"/>
      <c r="C416" s="2"/>
      <c r="D416" s="2"/>
      <c r="E416" s="5"/>
      <c r="F416" s="2"/>
      <c r="G416" s="5"/>
      <c r="H416" s="8" t="str">
        <f t="shared" si="41"/>
        <v/>
      </c>
      <c r="I416" s="7" t="str">
        <f t="shared" si="42"/>
        <v/>
      </c>
      <c r="J416" s="3" t="str">
        <f t="shared" si="43"/>
        <v/>
      </c>
      <c r="K416" s="4" t="str">
        <f t="shared" si="44"/>
        <v/>
      </c>
      <c r="L416" s="7" t="str">
        <f t="shared" si="45"/>
        <v/>
      </c>
      <c r="M416" s="9" t="str">
        <f t="shared" si="46"/>
        <v/>
      </c>
      <c r="N416" s="9" t="str">
        <f>IF(NOT(ISERROR(VLOOKUP(B416,Deflatores!G$42:H$64,2,FALSE))),VLOOKUP(B416,Deflatores!G$42:H$64,2,FALSE),IF(OR(ISBLANK(C416),ISBLANK(B416)),"",VLOOKUP(C416,Deflatores!G$4:H$38,2,FALSE)*J416+VLOOKUP(C416,Deflatores!G$4:I$38,3,FALSE)))</f>
        <v/>
      </c>
      <c r="O416" s="5"/>
      <c r="P416" s="5"/>
      <c r="Q416" s="6"/>
      <c r="R416" s="10"/>
      <c r="S416" s="104"/>
      <c r="T416" s="162"/>
      <c r="U416" s="10"/>
    </row>
    <row r="417" spans="1:21" ht="21.75" customHeight="1" x14ac:dyDescent="0.2">
      <c r="A417" s="102"/>
      <c r="B417" s="2"/>
      <c r="C417" s="2"/>
      <c r="D417" s="2"/>
      <c r="E417" s="5"/>
      <c r="F417" s="2"/>
      <c r="G417" s="5"/>
      <c r="H417" s="8" t="str">
        <f t="shared" si="41"/>
        <v/>
      </c>
      <c r="I417" s="7" t="str">
        <f t="shared" si="42"/>
        <v/>
      </c>
      <c r="J417" s="3" t="str">
        <f t="shared" si="43"/>
        <v/>
      </c>
      <c r="K417" s="4" t="str">
        <f t="shared" si="44"/>
        <v/>
      </c>
      <c r="L417" s="7" t="str">
        <f t="shared" si="45"/>
        <v/>
      </c>
      <c r="M417" s="9" t="str">
        <f t="shared" si="46"/>
        <v/>
      </c>
      <c r="N417" s="9" t="str">
        <f>IF(NOT(ISERROR(VLOOKUP(B417,Deflatores!G$42:H$64,2,FALSE))),VLOOKUP(B417,Deflatores!G$42:H$64,2,FALSE),IF(OR(ISBLANK(C417),ISBLANK(B417)),"",VLOOKUP(C417,Deflatores!G$4:H$38,2,FALSE)*J417+VLOOKUP(C417,Deflatores!G$4:I$38,3,FALSE)))</f>
        <v/>
      </c>
      <c r="O417" s="5"/>
      <c r="P417" s="5"/>
      <c r="Q417" s="6"/>
      <c r="R417" s="10"/>
      <c r="S417" s="104"/>
      <c r="T417" s="162"/>
      <c r="U417" s="10"/>
    </row>
    <row r="418" spans="1:21" ht="21.75" customHeight="1" x14ac:dyDescent="0.2">
      <c r="A418" s="102"/>
      <c r="B418" s="2"/>
      <c r="C418" s="2"/>
      <c r="D418" s="2"/>
      <c r="E418" s="5"/>
      <c r="F418" s="2"/>
      <c r="G418" s="5"/>
      <c r="H418" s="8" t="str">
        <f t="shared" si="41"/>
        <v/>
      </c>
      <c r="I418" s="7" t="str">
        <f t="shared" si="42"/>
        <v/>
      </c>
      <c r="J418" s="3" t="str">
        <f t="shared" si="43"/>
        <v/>
      </c>
      <c r="K418" s="4" t="str">
        <f t="shared" si="44"/>
        <v/>
      </c>
      <c r="L418" s="7" t="str">
        <f t="shared" si="45"/>
        <v/>
      </c>
      <c r="M418" s="9" t="str">
        <f t="shared" si="46"/>
        <v/>
      </c>
      <c r="N418" s="9" t="str">
        <f>IF(NOT(ISERROR(VLOOKUP(B418,Deflatores!G$42:H$64,2,FALSE))),VLOOKUP(B418,Deflatores!G$42:H$64,2,FALSE),IF(OR(ISBLANK(C418),ISBLANK(B418)),"",VLOOKUP(C418,Deflatores!G$4:H$38,2,FALSE)*J418+VLOOKUP(C418,Deflatores!G$4:I$38,3,FALSE)))</f>
        <v/>
      </c>
      <c r="O418" s="5"/>
      <c r="P418" s="5"/>
      <c r="Q418" s="6"/>
      <c r="R418" s="10"/>
      <c r="S418" s="104"/>
      <c r="T418" s="162"/>
      <c r="U418" s="10"/>
    </row>
    <row r="419" spans="1:21" ht="21.75" customHeight="1" x14ac:dyDescent="0.2">
      <c r="A419" s="102"/>
      <c r="B419" s="2"/>
      <c r="C419" s="2"/>
      <c r="D419" s="2"/>
      <c r="E419" s="5"/>
      <c r="F419" s="2"/>
      <c r="G419" s="5"/>
      <c r="H419" s="8" t="str">
        <f t="shared" si="41"/>
        <v/>
      </c>
      <c r="I419" s="7" t="str">
        <f t="shared" si="42"/>
        <v/>
      </c>
      <c r="J419" s="3" t="str">
        <f t="shared" si="43"/>
        <v/>
      </c>
      <c r="K419" s="4" t="str">
        <f t="shared" si="44"/>
        <v/>
      </c>
      <c r="L419" s="7" t="str">
        <f t="shared" si="45"/>
        <v/>
      </c>
      <c r="M419" s="9" t="str">
        <f t="shared" si="46"/>
        <v/>
      </c>
      <c r="N419" s="9" t="str">
        <f>IF(NOT(ISERROR(VLOOKUP(B419,Deflatores!G$42:H$64,2,FALSE))),VLOOKUP(B419,Deflatores!G$42:H$64,2,FALSE),IF(OR(ISBLANK(C419),ISBLANK(B419)),"",VLOOKUP(C419,Deflatores!G$4:H$38,2,FALSE)*J419+VLOOKUP(C419,Deflatores!G$4:I$38,3,FALSE)))</f>
        <v/>
      </c>
      <c r="O419" s="5"/>
      <c r="P419" s="5"/>
      <c r="Q419" s="6"/>
      <c r="R419" s="10"/>
      <c r="S419" s="104"/>
      <c r="T419" s="162"/>
      <c r="U419" s="10"/>
    </row>
    <row r="420" spans="1:21" ht="21.75" customHeight="1" x14ac:dyDescent="0.2">
      <c r="A420" s="102"/>
      <c r="B420" s="2"/>
      <c r="C420" s="2"/>
      <c r="D420" s="2"/>
      <c r="E420" s="5"/>
      <c r="F420" s="2"/>
      <c r="G420" s="5"/>
      <c r="H420" s="8" t="str">
        <f t="shared" si="41"/>
        <v/>
      </c>
      <c r="I420" s="7" t="str">
        <f t="shared" si="42"/>
        <v/>
      </c>
      <c r="J420" s="3" t="str">
        <f t="shared" si="43"/>
        <v/>
      </c>
      <c r="K420" s="4" t="str">
        <f t="shared" si="44"/>
        <v/>
      </c>
      <c r="L420" s="7" t="str">
        <f t="shared" si="45"/>
        <v/>
      </c>
      <c r="M420" s="9" t="str">
        <f t="shared" si="46"/>
        <v/>
      </c>
      <c r="N420" s="9" t="str">
        <f>IF(NOT(ISERROR(VLOOKUP(B420,Deflatores!G$42:H$64,2,FALSE))),VLOOKUP(B420,Deflatores!G$42:H$64,2,FALSE),IF(OR(ISBLANK(C420),ISBLANK(B420)),"",VLOOKUP(C420,Deflatores!G$4:H$38,2,FALSE)*J420+VLOOKUP(C420,Deflatores!G$4:I$38,3,FALSE)))</f>
        <v/>
      </c>
      <c r="O420" s="5"/>
      <c r="P420" s="5"/>
      <c r="Q420" s="6"/>
      <c r="R420" s="10"/>
      <c r="S420" s="104"/>
      <c r="T420" s="162"/>
      <c r="U420" s="10"/>
    </row>
    <row r="421" spans="1:21" ht="21.75" customHeight="1" x14ac:dyDescent="0.2">
      <c r="A421" s="102"/>
      <c r="B421" s="2"/>
      <c r="C421" s="2"/>
      <c r="D421" s="2"/>
      <c r="E421" s="5"/>
      <c r="F421" s="2"/>
      <c r="G421" s="5"/>
      <c r="H421" s="8" t="str">
        <f t="shared" si="41"/>
        <v/>
      </c>
      <c r="I421" s="7" t="str">
        <f t="shared" si="42"/>
        <v/>
      </c>
      <c r="J421" s="3" t="str">
        <f t="shared" si="43"/>
        <v/>
      </c>
      <c r="K421" s="4" t="str">
        <f t="shared" si="44"/>
        <v/>
      </c>
      <c r="L421" s="7" t="str">
        <f t="shared" si="45"/>
        <v/>
      </c>
      <c r="M421" s="9" t="str">
        <f t="shared" si="46"/>
        <v/>
      </c>
      <c r="N421" s="9" t="str">
        <f>IF(NOT(ISERROR(VLOOKUP(B421,Deflatores!G$42:H$64,2,FALSE))),VLOOKUP(B421,Deflatores!G$42:H$64,2,FALSE),IF(OR(ISBLANK(C421),ISBLANK(B421)),"",VLOOKUP(C421,Deflatores!G$4:H$38,2,FALSE)*J421+VLOOKUP(C421,Deflatores!G$4:I$38,3,FALSE)))</f>
        <v/>
      </c>
      <c r="O421" s="5"/>
      <c r="P421" s="5"/>
      <c r="Q421" s="6"/>
      <c r="R421" s="10"/>
      <c r="S421" s="104"/>
      <c r="T421" s="162"/>
      <c r="U421" s="10"/>
    </row>
    <row r="422" spans="1:21" ht="21.75" customHeight="1" x14ac:dyDescent="0.2">
      <c r="A422" s="102"/>
      <c r="B422" s="2"/>
      <c r="C422" s="2"/>
      <c r="D422" s="2"/>
      <c r="E422" s="5"/>
      <c r="F422" s="2"/>
      <c r="G422" s="5"/>
      <c r="H422" s="8" t="str">
        <f t="shared" si="41"/>
        <v/>
      </c>
      <c r="I422" s="7" t="str">
        <f t="shared" si="42"/>
        <v/>
      </c>
      <c r="J422" s="3" t="str">
        <f t="shared" si="43"/>
        <v/>
      </c>
      <c r="K422" s="4" t="str">
        <f t="shared" si="44"/>
        <v/>
      </c>
      <c r="L422" s="7" t="str">
        <f t="shared" si="45"/>
        <v/>
      </c>
      <c r="M422" s="9" t="str">
        <f t="shared" si="46"/>
        <v/>
      </c>
      <c r="N422" s="9" t="str">
        <f>IF(NOT(ISERROR(VLOOKUP(B422,Deflatores!G$42:H$64,2,FALSE))),VLOOKUP(B422,Deflatores!G$42:H$64,2,FALSE),IF(OR(ISBLANK(C422),ISBLANK(B422)),"",VLOOKUP(C422,Deflatores!G$4:H$38,2,FALSE)*J422+VLOOKUP(C422,Deflatores!G$4:I$38,3,FALSE)))</f>
        <v/>
      </c>
      <c r="O422" s="5"/>
      <c r="P422" s="5"/>
      <c r="Q422" s="6"/>
      <c r="R422" s="10"/>
      <c r="S422" s="104"/>
      <c r="T422" s="162"/>
      <c r="U422" s="10"/>
    </row>
    <row r="423" spans="1:21" ht="21.75" customHeight="1" x14ac:dyDescent="0.2">
      <c r="A423" s="102"/>
      <c r="B423" s="2"/>
      <c r="C423" s="2"/>
      <c r="D423" s="2"/>
      <c r="E423" s="5"/>
      <c r="F423" s="2"/>
      <c r="G423" s="5"/>
      <c r="H423" s="8" t="str">
        <f t="shared" si="41"/>
        <v/>
      </c>
      <c r="I423" s="7" t="str">
        <f t="shared" si="42"/>
        <v/>
      </c>
      <c r="J423" s="3" t="str">
        <f t="shared" si="43"/>
        <v/>
      </c>
      <c r="K423" s="4" t="str">
        <f t="shared" si="44"/>
        <v/>
      </c>
      <c r="L423" s="7" t="str">
        <f t="shared" si="45"/>
        <v/>
      </c>
      <c r="M423" s="9" t="str">
        <f t="shared" si="46"/>
        <v/>
      </c>
      <c r="N423" s="9" t="str">
        <f>IF(NOT(ISERROR(VLOOKUP(B423,Deflatores!G$42:H$64,2,FALSE))),VLOOKUP(B423,Deflatores!G$42:H$64,2,FALSE),IF(OR(ISBLANK(C423),ISBLANK(B423)),"",VLOOKUP(C423,Deflatores!G$4:H$38,2,FALSE)*J423+VLOOKUP(C423,Deflatores!G$4:I$38,3,FALSE)))</f>
        <v/>
      </c>
      <c r="O423" s="5"/>
      <c r="P423" s="5"/>
      <c r="Q423" s="6"/>
      <c r="R423" s="10"/>
      <c r="S423" s="104"/>
      <c r="T423" s="162"/>
      <c r="U423" s="10"/>
    </row>
    <row r="424" spans="1:21" ht="21.75" customHeight="1" x14ac:dyDescent="0.2">
      <c r="A424" s="102"/>
      <c r="B424" s="2"/>
      <c r="C424" s="2"/>
      <c r="D424" s="2"/>
      <c r="E424" s="5"/>
      <c r="F424" s="2"/>
      <c r="G424" s="5"/>
      <c r="H424" s="8" t="str">
        <f t="shared" si="41"/>
        <v/>
      </c>
      <c r="I424" s="7" t="str">
        <f t="shared" si="42"/>
        <v/>
      </c>
      <c r="J424" s="3" t="str">
        <f t="shared" si="43"/>
        <v/>
      </c>
      <c r="K424" s="4" t="str">
        <f t="shared" si="44"/>
        <v/>
      </c>
      <c r="L424" s="7" t="str">
        <f t="shared" si="45"/>
        <v/>
      </c>
      <c r="M424" s="9" t="str">
        <f t="shared" si="46"/>
        <v/>
      </c>
      <c r="N424" s="9" t="str">
        <f>IF(NOT(ISERROR(VLOOKUP(B424,Deflatores!G$42:H$64,2,FALSE))),VLOOKUP(B424,Deflatores!G$42:H$64,2,FALSE),IF(OR(ISBLANK(C424),ISBLANK(B424)),"",VLOOKUP(C424,Deflatores!G$4:H$38,2,FALSE)*J424+VLOOKUP(C424,Deflatores!G$4:I$38,3,FALSE)))</f>
        <v/>
      </c>
      <c r="O424" s="5"/>
      <c r="P424" s="5"/>
      <c r="Q424" s="6"/>
      <c r="R424" s="10"/>
      <c r="S424" s="104"/>
      <c r="T424" s="162"/>
      <c r="U424" s="10"/>
    </row>
    <row r="425" spans="1:21" ht="21.75" customHeight="1" x14ac:dyDescent="0.2">
      <c r="A425" s="102"/>
      <c r="B425" s="2"/>
      <c r="C425" s="2"/>
      <c r="D425" s="2"/>
      <c r="E425" s="5"/>
      <c r="F425" s="2"/>
      <c r="G425" s="5"/>
      <c r="H425" s="8" t="str">
        <f t="shared" si="41"/>
        <v/>
      </c>
      <c r="I425" s="7" t="str">
        <f t="shared" si="42"/>
        <v/>
      </c>
      <c r="J425" s="3" t="str">
        <f t="shared" si="43"/>
        <v/>
      </c>
      <c r="K425" s="4" t="str">
        <f t="shared" si="44"/>
        <v/>
      </c>
      <c r="L425" s="7" t="str">
        <f t="shared" si="45"/>
        <v/>
      </c>
      <c r="M425" s="9" t="str">
        <f t="shared" si="46"/>
        <v/>
      </c>
      <c r="N425" s="9" t="str">
        <f>IF(NOT(ISERROR(VLOOKUP(B425,Deflatores!G$42:H$64,2,FALSE))),VLOOKUP(B425,Deflatores!G$42:H$64,2,FALSE),IF(OR(ISBLANK(C425),ISBLANK(B425)),"",VLOOKUP(C425,Deflatores!G$4:H$38,2,FALSE)*J425+VLOOKUP(C425,Deflatores!G$4:I$38,3,FALSE)))</f>
        <v/>
      </c>
      <c r="O425" s="5"/>
      <c r="P425" s="5"/>
      <c r="Q425" s="6"/>
      <c r="R425" s="10"/>
      <c r="S425" s="104"/>
      <c r="T425" s="162"/>
      <c r="U425" s="10"/>
    </row>
    <row r="426" spans="1:21" ht="21.75" customHeight="1" x14ac:dyDescent="0.2">
      <c r="A426" s="102"/>
      <c r="B426" s="2"/>
      <c r="C426" s="2"/>
      <c r="D426" s="2"/>
      <c r="E426" s="5"/>
      <c r="F426" s="2"/>
      <c r="G426" s="5"/>
      <c r="H426" s="8" t="str">
        <f t="shared" si="41"/>
        <v/>
      </c>
      <c r="I426" s="7" t="str">
        <f t="shared" si="42"/>
        <v/>
      </c>
      <c r="J426" s="3" t="str">
        <f t="shared" si="43"/>
        <v/>
      </c>
      <c r="K426" s="4" t="str">
        <f t="shared" si="44"/>
        <v/>
      </c>
      <c r="L426" s="7" t="str">
        <f t="shared" si="45"/>
        <v/>
      </c>
      <c r="M426" s="9" t="str">
        <f t="shared" si="46"/>
        <v/>
      </c>
      <c r="N426" s="9" t="str">
        <f>IF(NOT(ISERROR(VLOOKUP(B426,Deflatores!G$42:H$64,2,FALSE))),VLOOKUP(B426,Deflatores!G$42:H$64,2,FALSE),IF(OR(ISBLANK(C426),ISBLANK(B426)),"",VLOOKUP(C426,Deflatores!G$4:H$38,2,FALSE)*J426+VLOOKUP(C426,Deflatores!G$4:I$38,3,FALSE)))</f>
        <v/>
      </c>
      <c r="O426" s="5"/>
      <c r="P426" s="5"/>
      <c r="Q426" s="6"/>
      <c r="R426" s="10"/>
      <c r="S426" s="104"/>
      <c r="T426" s="162"/>
      <c r="U426" s="10"/>
    </row>
    <row r="427" spans="1:21" ht="21.75" customHeight="1" x14ac:dyDescent="0.2">
      <c r="A427" s="102"/>
      <c r="B427" s="2"/>
      <c r="C427" s="2"/>
      <c r="D427" s="2"/>
      <c r="E427" s="5"/>
      <c r="F427" s="2"/>
      <c r="G427" s="5"/>
      <c r="H427" s="8" t="str">
        <f t="shared" si="41"/>
        <v/>
      </c>
      <c r="I427" s="7" t="str">
        <f t="shared" si="42"/>
        <v/>
      </c>
      <c r="J427" s="3" t="str">
        <f t="shared" si="43"/>
        <v/>
      </c>
      <c r="K427" s="4" t="str">
        <f t="shared" si="44"/>
        <v/>
      </c>
      <c r="L427" s="7" t="str">
        <f t="shared" si="45"/>
        <v/>
      </c>
      <c r="M427" s="9" t="str">
        <f t="shared" si="46"/>
        <v/>
      </c>
      <c r="N427" s="9" t="str">
        <f>IF(NOT(ISERROR(VLOOKUP(B427,Deflatores!G$42:H$64,2,FALSE))),VLOOKUP(B427,Deflatores!G$42:H$64,2,FALSE),IF(OR(ISBLANK(C427),ISBLANK(B427)),"",VLOOKUP(C427,Deflatores!G$4:H$38,2,FALSE)*J427+VLOOKUP(C427,Deflatores!G$4:I$38,3,FALSE)))</f>
        <v/>
      </c>
      <c r="O427" s="5"/>
      <c r="P427" s="5"/>
      <c r="Q427" s="6"/>
      <c r="R427" s="10"/>
      <c r="S427" s="104"/>
      <c r="T427" s="162"/>
      <c r="U427" s="10"/>
    </row>
    <row r="428" spans="1:21" ht="21.75" customHeight="1" x14ac:dyDescent="0.2">
      <c r="A428" s="102"/>
      <c r="B428" s="2"/>
      <c r="C428" s="2"/>
      <c r="D428" s="2"/>
      <c r="E428" s="5"/>
      <c r="F428" s="2"/>
      <c r="G428" s="5"/>
      <c r="H428" s="8" t="str">
        <f t="shared" si="41"/>
        <v/>
      </c>
      <c r="I428" s="7" t="str">
        <f t="shared" si="42"/>
        <v/>
      </c>
      <c r="J428" s="3" t="str">
        <f t="shared" si="43"/>
        <v/>
      </c>
      <c r="K428" s="4" t="str">
        <f t="shared" si="44"/>
        <v/>
      </c>
      <c r="L428" s="7" t="str">
        <f t="shared" si="45"/>
        <v/>
      </c>
      <c r="M428" s="9" t="str">
        <f t="shared" si="46"/>
        <v/>
      </c>
      <c r="N428" s="9" t="str">
        <f>IF(NOT(ISERROR(VLOOKUP(B428,Deflatores!G$42:H$64,2,FALSE))),VLOOKUP(B428,Deflatores!G$42:H$64,2,FALSE),IF(OR(ISBLANK(C428),ISBLANK(B428)),"",VLOOKUP(C428,Deflatores!G$4:H$38,2,FALSE)*J428+VLOOKUP(C428,Deflatores!G$4:I$38,3,FALSE)))</f>
        <v/>
      </c>
      <c r="O428" s="5"/>
      <c r="P428" s="5"/>
      <c r="Q428" s="6"/>
      <c r="R428" s="10"/>
      <c r="S428" s="104"/>
      <c r="T428" s="162"/>
      <c r="U428" s="10"/>
    </row>
    <row r="429" spans="1:21" ht="21.75" customHeight="1" x14ac:dyDescent="0.2">
      <c r="A429" s="102"/>
      <c r="B429" s="2"/>
      <c r="C429" s="2"/>
      <c r="D429" s="2"/>
      <c r="E429" s="5"/>
      <c r="F429" s="2"/>
      <c r="G429" s="5"/>
      <c r="H429" s="8" t="str">
        <f t="shared" si="41"/>
        <v/>
      </c>
      <c r="I429" s="7" t="str">
        <f t="shared" si="42"/>
        <v/>
      </c>
      <c r="J429" s="3" t="str">
        <f t="shared" si="43"/>
        <v/>
      </c>
      <c r="K429" s="4" t="str">
        <f t="shared" si="44"/>
        <v/>
      </c>
      <c r="L429" s="7" t="str">
        <f t="shared" si="45"/>
        <v/>
      </c>
      <c r="M429" s="9" t="str">
        <f t="shared" si="46"/>
        <v/>
      </c>
      <c r="N429" s="9" t="str">
        <f>IF(NOT(ISERROR(VLOOKUP(B429,Deflatores!G$42:H$64,2,FALSE))),VLOOKUP(B429,Deflatores!G$42:H$64,2,FALSE),IF(OR(ISBLANK(C429),ISBLANK(B429)),"",VLOOKUP(C429,Deflatores!G$4:H$38,2,FALSE)*J429+VLOOKUP(C429,Deflatores!G$4:I$38,3,FALSE)))</f>
        <v/>
      </c>
      <c r="O429" s="5"/>
      <c r="P429" s="5"/>
      <c r="Q429" s="6"/>
      <c r="R429" s="10"/>
      <c r="S429" s="104"/>
      <c r="T429" s="162"/>
      <c r="U429" s="10"/>
    </row>
    <row r="430" spans="1:21" ht="21.75" customHeight="1" x14ac:dyDescent="0.2">
      <c r="A430" s="102"/>
      <c r="B430" s="2"/>
      <c r="C430" s="2"/>
      <c r="D430" s="2"/>
      <c r="E430" s="5"/>
      <c r="F430" s="2"/>
      <c r="G430" s="5"/>
      <c r="H430" s="8" t="str">
        <f t="shared" si="41"/>
        <v/>
      </c>
      <c r="I430" s="7" t="str">
        <f t="shared" si="42"/>
        <v/>
      </c>
      <c r="J430" s="3" t="str">
        <f t="shared" si="43"/>
        <v/>
      </c>
      <c r="K430" s="4" t="str">
        <f t="shared" si="44"/>
        <v/>
      </c>
      <c r="L430" s="7" t="str">
        <f t="shared" si="45"/>
        <v/>
      </c>
      <c r="M430" s="9" t="str">
        <f t="shared" si="46"/>
        <v/>
      </c>
      <c r="N430" s="9" t="str">
        <f>IF(NOT(ISERROR(VLOOKUP(B430,Deflatores!G$42:H$64,2,FALSE))),VLOOKUP(B430,Deflatores!G$42:H$64,2,FALSE),IF(OR(ISBLANK(C430),ISBLANK(B430)),"",VLOOKUP(C430,Deflatores!G$4:H$38,2,FALSE)*J430+VLOOKUP(C430,Deflatores!G$4:I$38,3,FALSE)))</f>
        <v/>
      </c>
      <c r="O430" s="5"/>
      <c r="P430" s="5"/>
      <c r="Q430" s="6"/>
      <c r="R430" s="10"/>
      <c r="S430" s="104"/>
      <c r="T430" s="162"/>
      <c r="U430" s="10"/>
    </row>
    <row r="431" spans="1:21" ht="21.75" customHeight="1" x14ac:dyDescent="0.2">
      <c r="A431" s="102"/>
      <c r="B431" s="2"/>
      <c r="C431" s="2"/>
      <c r="D431" s="2"/>
      <c r="E431" s="5"/>
      <c r="F431" s="2"/>
      <c r="G431" s="5"/>
      <c r="H431" s="8" t="str">
        <f t="shared" si="41"/>
        <v/>
      </c>
      <c r="I431" s="7" t="str">
        <f t="shared" si="42"/>
        <v/>
      </c>
      <c r="J431" s="3" t="str">
        <f t="shared" si="43"/>
        <v/>
      </c>
      <c r="K431" s="4" t="str">
        <f t="shared" si="44"/>
        <v/>
      </c>
      <c r="L431" s="7" t="str">
        <f t="shared" si="45"/>
        <v/>
      </c>
      <c r="M431" s="9" t="str">
        <f t="shared" si="46"/>
        <v/>
      </c>
      <c r="N431" s="9" t="str">
        <f>IF(NOT(ISERROR(VLOOKUP(B431,Deflatores!G$42:H$64,2,FALSE))),VLOOKUP(B431,Deflatores!G$42:H$64,2,FALSE),IF(OR(ISBLANK(C431),ISBLANK(B431)),"",VLOOKUP(C431,Deflatores!G$4:H$38,2,FALSE)*J431+VLOOKUP(C431,Deflatores!G$4:I$38,3,FALSE)))</f>
        <v/>
      </c>
      <c r="O431" s="5"/>
      <c r="P431" s="5"/>
      <c r="Q431" s="6"/>
      <c r="R431" s="10"/>
      <c r="S431" s="104"/>
      <c r="T431" s="162"/>
      <c r="U431" s="10"/>
    </row>
    <row r="432" spans="1:21" ht="21.75" customHeight="1" x14ac:dyDescent="0.2">
      <c r="A432" s="102"/>
      <c r="B432" s="2"/>
      <c r="C432" s="2"/>
      <c r="D432" s="2"/>
      <c r="E432" s="5"/>
      <c r="F432" s="2"/>
      <c r="G432" s="5"/>
      <c r="H432" s="8" t="str">
        <f t="shared" si="41"/>
        <v/>
      </c>
      <c r="I432" s="7" t="str">
        <f t="shared" si="42"/>
        <v/>
      </c>
      <c r="J432" s="3" t="str">
        <f t="shared" si="43"/>
        <v/>
      </c>
      <c r="K432" s="4" t="str">
        <f t="shared" si="44"/>
        <v/>
      </c>
      <c r="L432" s="7" t="str">
        <f t="shared" si="45"/>
        <v/>
      </c>
      <c r="M432" s="9" t="str">
        <f t="shared" si="46"/>
        <v/>
      </c>
      <c r="N432" s="9" t="str">
        <f>IF(NOT(ISERROR(VLOOKUP(B432,Deflatores!G$42:H$64,2,FALSE))),VLOOKUP(B432,Deflatores!G$42:H$64,2,FALSE),IF(OR(ISBLANK(C432),ISBLANK(B432)),"",VLOOKUP(C432,Deflatores!G$4:H$38,2,FALSE)*J432+VLOOKUP(C432,Deflatores!G$4:I$38,3,FALSE)))</f>
        <v/>
      </c>
      <c r="O432" s="5"/>
      <c r="P432" s="5"/>
      <c r="Q432" s="6"/>
      <c r="R432" s="10"/>
      <c r="S432" s="104"/>
      <c r="T432" s="162"/>
      <c r="U432" s="10"/>
    </row>
    <row r="433" spans="1:21" ht="21.75" customHeight="1" x14ac:dyDescent="0.2">
      <c r="A433" s="102"/>
      <c r="B433" s="2"/>
      <c r="C433" s="2"/>
      <c r="D433" s="2"/>
      <c r="E433" s="5"/>
      <c r="F433" s="2"/>
      <c r="G433" s="5"/>
      <c r="H433" s="8" t="str">
        <f t="shared" si="41"/>
        <v/>
      </c>
      <c r="I433" s="7" t="str">
        <f t="shared" si="42"/>
        <v/>
      </c>
      <c r="J433" s="3" t="str">
        <f t="shared" si="43"/>
        <v/>
      </c>
      <c r="K433" s="4" t="str">
        <f t="shared" si="44"/>
        <v/>
      </c>
      <c r="L433" s="7" t="str">
        <f t="shared" si="45"/>
        <v/>
      </c>
      <c r="M433" s="9" t="str">
        <f t="shared" si="46"/>
        <v/>
      </c>
      <c r="N433" s="9" t="str">
        <f>IF(NOT(ISERROR(VLOOKUP(B433,Deflatores!G$42:H$64,2,FALSE))),VLOOKUP(B433,Deflatores!G$42:H$64,2,FALSE),IF(OR(ISBLANK(C433),ISBLANK(B433)),"",VLOOKUP(C433,Deflatores!G$4:H$38,2,FALSE)*J433+VLOOKUP(C433,Deflatores!G$4:I$38,3,FALSE)))</f>
        <v/>
      </c>
      <c r="O433" s="5"/>
      <c r="P433" s="5"/>
      <c r="Q433" s="6"/>
      <c r="R433" s="10"/>
      <c r="S433" s="104"/>
      <c r="T433" s="162"/>
      <c r="U433" s="10"/>
    </row>
    <row r="434" spans="1:21" ht="21.75" customHeight="1" x14ac:dyDescent="0.2">
      <c r="A434" s="102"/>
      <c r="B434" s="2"/>
      <c r="C434" s="2"/>
      <c r="D434" s="2"/>
      <c r="E434" s="5"/>
      <c r="F434" s="2"/>
      <c r="G434" s="5"/>
      <c r="H434" s="8" t="str">
        <f t="shared" si="41"/>
        <v/>
      </c>
      <c r="I434" s="7" t="str">
        <f t="shared" si="42"/>
        <v/>
      </c>
      <c r="J434" s="3" t="str">
        <f t="shared" si="43"/>
        <v/>
      </c>
      <c r="K434" s="4" t="str">
        <f t="shared" si="44"/>
        <v/>
      </c>
      <c r="L434" s="7" t="str">
        <f t="shared" si="45"/>
        <v/>
      </c>
      <c r="M434" s="9" t="str">
        <f t="shared" si="46"/>
        <v/>
      </c>
      <c r="N434" s="9" t="str">
        <f>IF(NOT(ISERROR(VLOOKUP(B434,Deflatores!G$42:H$64,2,FALSE))),VLOOKUP(B434,Deflatores!G$42:H$64,2,FALSE),IF(OR(ISBLANK(C434),ISBLANK(B434)),"",VLOOKUP(C434,Deflatores!G$4:H$38,2,FALSE)*J434+VLOOKUP(C434,Deflatores!G$4:I$38,3,FALSE)))</f>
        <v/>
      </c>
      <c r="O434" s="5"/>
      <c r="P434" s="5"/>
      <c r="Q434" s="6"/>
      <c r="R434" s="10"/>
      <c r="S434" s="104"/>
      <c r="T434" s="162"/>
      <c r="U434" s="10"/>
    </row>
    <row r="435" spans="1:21" ht="21.75" customHeight="1" x14ac:dyDescent="0.2">
      <c r="A435" s="102"/>
      <c r="B435" s="2"/>
      <c r="C435" s="2"/>
      <c r="D435" s="2"/>
      <c r="E435" s="5"/>
      <c r="F435" s="2"/>
      <c r="G435" s="5"/>
      <c r="H435" s="8" t="str">
        <f t="shared" si="41"/>
        <v/>
      </c>
      <c r="I435" s="7" t="str">
        <f t="shared" si="42"/>
        <v/>
      </c>
      <c r="J435" s="3" t="str">
        <f t="shared" si="43"/>
        <v/>
      </c>
      <c r="K435" s="4" t="str">
        <f t="shared" si="44"/>
        <v/>
      </c>
      <c r="L435" s="7" t="str">
        <f t="shared" si="45"/>
        <v/>
      </c>
      <c r="M435" s="9" t="str">
        <f t="shared" si="46"/>
        <v/>
      </c>
      <c r="N435" s="9" t="str">
        <f>IF(NOT(ISERROR(VLOOKUP(B435,Deflatores!G$42:H$64,2,FALSE))),VLOOKUP(B435,Deflatores!G$42:H$64,2,FALSE),IF(OR(ISBLANK(C435),ISBLANK(B435)),"",VLOOKUP(C435,Deflatores!G$4:H$38,2,FALSE)*J435+VLOOKUP(C435,Deflatores!G$4:I$38,3,FALSE)))</f>
        <v/>
      </c>
      <c r="O435" s="5"/>
      <c r="P435" s="5"/>
      <c r="Q435" s="6"/>
      <c r="R435" s="10"/>
      <c r="S435" s="104"/>
      <c r="T435" s="162"/>
      <c r="U435" s="10"/>
    </row>
    <row r="436" spans="1:21" ht="21.75" customHeight="1" x14ac:dyDescent="0.2">
      <c r="A436" s="102"/>
      <c r="B436" s="2"/>
      <c r="C436" s="2"/>
      <c r="D436" s="2"/>
      <c r="E436" s="5"/>
      <c r="F436" s="2"/>
      <c r="G436" s="5"/>
      <c r="H436" s="8" t="str">
        <f t="shared" si="41"/>
        <v/>
      </c>
      <c r="I436" s="7" t="str">
        <f t="shared" si="42"/>
        <v/>
      </c>
      <c r="J436" s="3" t="str">
        <f t="shared" si="43"/>
        <v/>
      </c>
      <c r="K436" s="4" t="str">
        <f t="shared" si="44"/>
        <v/>
      </c>
      <c r="L436" s="7" t="str">
        <f t="shared" si="45"/>
        <v/>
      </c>
      <c r="M436" s="9" t="str">
        <f t="shared" si="46"/>
        <v/>
      </c>
      <c r="N436" s="9" t="str">
        <f>IF(NOT(ISERROR(VLOOKUP(B436,Deflatores!G$42:H$64,2,FALSE))),VLOOKUP(B436,Deflatores!G$42:H$64,2,FALSE),IF(OR(ISBLANK(C436),ISBLANK(B436)),"",VLOOKUP(C436,Deflatores!G$4:H$38,2,FALSE)*J436+VLOOKUP(C436,Deflatores!G$4:I$38,3,FALSE)))</f>
        <v/>
      </c>
      <c r="O436" s="5"/>
      <c r="P436" s="5"/>
      <c r="Q436" s="6"/>
      <c r="R436" s="10"/>
      <c r="S436" s="104"/>
      <c r="T436" s="162"/>
      <c r="U436" s="10"/>
    </row>
    <row r="437" spans="1:21" ht="21.75" customHeight="1" x14ac:dyDescent="0.2">
      <c r="A437" s="102"/>
      <c r="B437" s="2"/>
      <c r="C437" s="2"/>
      <c r="D437" s="2"/>
      <c r="E437" s="5"/>
      <c r="F437" s="2"/>
      <c r="G437" s="5"/>
      <c r="H437" s="8" t="str">
        <f t="shared" si="41"/>
        <v/>
      </c>
      <c r="I437" s="7" t="str">
        <f t="shared" si="42"/>
        <v/>
      </c>
      <c r="J437" s="3" t="str">
        <f t="shared" si="43"/>
        <v/>
      </c>
      <c r="K437" s="4" t="str">
        <f t="shared" si="44"/>
        <v/>
      </c>
      <c r="L437" s="7" t="str">
        <f t="shared" si="45"/>
        <v/>
      </c>
      <c r="M437" s="9" t="str">
        <f t="shared" si="46"/>
        <v/>
      </c>
      <c r="N437" s="9" t="str">
        <f>IF(NOT(ISERROR(VLOOKUP(B437,Deflatores!G$42:H$64,2,FALSE))),VLOOKUP(B437,Deflatores!G$42:H$64,2,FALSE),IF(OR(ISBLANK(C437),ISBLANK(B437)),"",VLOOKUP(C437,Deflatores!G$4:H$38,2,FALSE)*J437+VLOOKUP(C437,Deflatores!G$4:I$38,3,FALSE)))</f>
        <v/>
      </c>
      <c r="O437" s="5"/>
      <c r="P437" s="5"/>
      <c r="Q437" s="6"/>
      <c r="R437" s="10"/>
      <c r="S437" s="104"/>
      <c r="T437" s="162"/>
      <c r="U437" s="10"/>
    </row>
    <row r="438" spans="1:21" ht="21.75" customHeight="1" x14ac:dyDescent="0.2">
      <c r="A438" s="102"/>
      <c r="B438" s="2"/>
      <c r="C438" s="2"/>
      <c r="D438" s="2"/>
      <c r="E438" s="5"/>
      <c r="F438" s="2"/>
      <c r="G438" s="5"/>
      <c r="H438" s="8" t="str">
        <f t="shared" si="41"/>
        <v/>
      </c>
      <c r="I438" s="7" t="str">
        <f t="shared" si="42"/>
        <v/>
      </c>
      <c r="J438" s="3" t="str">
        <f t="shared" si="43"/>
        <v/>
      </c>
      <c r="K438" s="4" t="str">
        <f t="shared" si="44"/>
        <v/>
      </c>
      <c r="L438" s="7" t="str">
        <f t="shared" si="45"/>
        <v/>
      </c>
      <c r="M438" s="9" t="str">
        <f t="shared" si="46"/>
        <v/>
      </c>
      <c r="N438" s="9" t="str">
        <f>IF(NOT(ISERROR(VLOOKUP(B438,Deflatores!G$42:H$64,2,FALSE))),VLOOKUP(B438,Deflatores!G$42:H$64,2,FALSE),IF(OR(ISBLANK(C438),ISBLANK(B438)),"",VLOOKUP(C438,Deflatores!G$4:H$38,2,FALSE)*J438+VLOOKUP(C438,Deflatores!G$4:I$38,3,FALSE)))</f>
        <v/>
      </c>
      <c r="O438" s="5"/>
      <c r="P438" s="5"/>
      <c r="Q438" s="6"/>
      <c r="R438" s="10"/>
      <c r="S438" s="104"/>
      <c r="T438" s="162"/>
      <c r="U438" s="10"/>
    </row>
    <row r="439" spans="1:21" ht="21.75" customHeight="1" x14ac:dyDescent="0.2">
      <c r="A439" s="102"/>
      <c r="B439" s="2"/>
      <c r="C439" s="2"/>
      <c r="D439" s="2"/>
      <c r="E439" s="5"/>
      <c r="F439" s="2"/>
      <c r="G439" s="5"/>
      <c r="H439" s="8" t="str">
        <f t="shared" si="41"/>
        <v/>
      </c>
      <c r="I439" s="7" t="str">
        <f t="shared" si="42"/>
        <v/>
      </c>
      <c r="J439" s="3" t="str">
        <f t="shared" si="43"/>
        <v/>
      </c>
      <c r="K439" s="4" t="str">
        <f t="shared" si="44"/>
        <v/>
      </c>
      <c r="L439" s="7" t="str">
        <f t="shared" si="45"/>
        <v/>
      </c>
      <c r="M439" s="9" t="str">
        <f t="shared" si="46"/>
        <v/>
      </c>
      <c r="N439" s="9" t="str">
        <f>IF(NOT(ISERROR(VLOOKUP(B439,Deflatores!G$42:H$64,2,FALSE))),VLOOKUP(B439,Deflatores!G$42:H$64,2,FALSE),IF(OR(ISBLANK(C439),ISBLANK(B439)),"",VLOOKUP(C439,Deflatores!G$4:H$38,2,FALSE)*J439+VLOOKUP(C439,Deflatores!G$4:I$38,3,FALSE)))</f>
        <v/>
      </c>
      <c r="O439" s="5"/>
      <c r="P439" s="5"/>
      <c r="Q439" s="6"/>
      <c r="R439" s="10"/>
      <c r="S439" s="104"/>
      <c r="T439" s="162"/>
      <c r="U439" s="10"/>
    </row>
    <row r="440" spans="1:21" ht="21.75" customHeight="1" x14ac:dyDescent="0.2">
      <c r="A440" s="102"/>
      <c r="B440" s="2"/>
      <c r="C440" s="2"/>
      <c r="D440" s="2"/>
      <c r="E440" s="5"/>
      <c r="F440" s="2"/>
      <c r="G440" s="5"/>
      <c r="H440" s="8" t="str">
        <f t="shared" si="41"/>
        <v/>
      </c>
      <c r="I440" s="7" t="str">
        <f t="shared" si="42"/>
        <v/>
      </c>
      <c r="J440" s="3" t="str">
        <f t="shared" si="43"/>
        <v/>
      </c>
      <c r="K440" s="4" t="str">
        <f t="shared" si="44"/>
        <v/>
      </c>
      <c r="L440" s="7" t="str">
        <f t="shared" si="45"/>
        <v/>
      </c>
      <c r="M440" s="9" t="str">
        <f t="shared" si="46"/>
        <v/>
      </c>
      <c r="N440" s="9" t="str">
        <f>IF(NOT(ISERROR(VLOOKUP(B440,Deflatores!G$42:H$64,2,FALSE))),VLOOKUP(B440,Deflatores!G$42:H$64,2,FALSE),IF(OR(ISBLANK(C440),ISBLANK(B440)),"",VLOOKUP(C440,Deflatores!G$4:H$38,2,FALSE)*J440+VLOOKUP(C440,Deflatores!G$4:I$38,3,FALSE)))</f>
        <v/>
      </c>
      <c r="O440" s="5"/>
      <c r="P440" s="5"/>
      <c r="Q440" s="6"/>
      <c r="R440" s="10"/>
      <c r="S440" s="104"/>
      <c r="T440" s="162"/>
      <c r="U440" s="10"/>
    </row>
    <row r="441" spans="1:21" ht="21.75" customHeight="1" x14ac:dyDescent="0.2">
      <c r="A441" s="102"/>
      <c r="B441" s="2"/>
      <c r="C441" s="2"/>
      <c r="D441" s="2"/>
      <c r="E441" s="5"/>
      <c r="F441" s="2"/>
      <c r="G441" s="5"/>
      <c r="H441" s="8" t="str">
        <f t="shared" si="41"/>
        <v/>
      </c>
      <c r="I441" s="7" t="str">
        <f t="shared" si="42"/>
        <v/>
      </c>
      <c r="J441" s="3" t="str">
        <f t="shared" si="43"/>
        <v/>
      </c>
      <c r="K441" s="4" t="str">
        <f t="shared" si="44"/>
        <v/>
      </c>
      <c r="L441" s="7" t="str">
        <f t="shared" si="45"/>
        <v/>
      </c>
      <c r="M441" s="9" t="str">
        <f t="shared" si="46"/>
        <v/>
      </c>
      <c r="N441" s="9" t="str">
        <f>IF(NOT(ISERROR(VLOOKUP(B441,Deflatores!G$42:H$64,2,FALSE))),VLOOKUP(B441,Deflatores!G$42:H$64,2,FALSE),IF(OR(ISBLANK(C441),ISBLANK(B441)),"",VLOOKUP(C441,Deflatores!G$4:H$38,2,FALSE)*J441+VLOOKUP(C441,Deflatores!G$4:I$38,3,FALSE)))</f>
        <v/>
      </c>
      <c r="O441" s="5"/>
      <c r="P441" s="5"/>
      <c r="Q441" s="6"/>
      <c r="R441" s="10"/>
      <c r="S441" s="104"/>
      <c r="T441" s="162"/>
      <c r="U441" s="10"/>
    </row>
    <row r="442" spans="1:21" ht="21.75" customHeight="1" x14ac:dyDescent="0.2">
      <c r="A442" s="102"/>
      <c r="B442" s="2"/>
      <c r="C442" s="2"/>
      <c r="D442" s="2"/>
      <c r="E442" s="5"/>
      <c r="F442" s="2"/>
      <c r="G442" s="5"/>
      <c r="H442" s="8" t="str">
        <f t="shared" si="41"/>
        <v/>
      </c>
      <c r="I442" s="7" t="str">
        <f t="shared" si="42"/>
        <v/>
      </c>
      <c r="J442" s="3" t="str">
        <f t="shared" si="43"/>
        <v/>
      </c>
      <c r="K442" s="4" t="str">
        <f t="shared" si="44"/>
        <v/>
      </c>
      <c r="L442" s="7" t="str">
        <f t="shared" si="45"/>
        <v/>
      </c>
      <c r="M442" s="9" t="str">
        <f t="shared" si="46"/>
        <v/>
      </c>
      <c r="N442" s="9" t="str">
        <f>IF(NOT(ISERROR(VLOOKUP(B442,Deflatores!G$42:H$64,2,FALSE))),VLOOKUP(B442,Deflatores!G$42:H$64,2,FALSE),IF(OR(ISBLANK(C442),ISBLANK(B442)),"",VLOOKUP(C442,Deflatores!G$4:H$38,2,FALSE)*J442+VLOOKUP(C442,Deflatores!G$4:I$38,3,FALSE)))</f>
        <v/>
      </c>
      <c r="O442" s="5"/>
      <c r="P442" s="5"/>
      <c r="Q442" s="6"/>
      <c r="R442" s="10"/>
      <c r="S442" s="104"/>
      <c r="T442" s="162"/>
      <c r="U442" s="10"/>
    </row>
    <row r="443" spans="1:21" ht="21.75" customHeight="1" x14ac:dyDescent="0.2">
      <c r="A443" s="102"/>
      <c r="B443" s="2"/>
      <c r="C443" s="2"/>
      <c r="D443" s="2"/>
      <c r="E443" s="5"/>
      <c r="F443" s="2"/>
      <c r="G443" s="5"/>
      <c r="H443" s="8" t="str">
        <f t="shared" si="41"/>
        <v/>
      </c>
      <c r="I443" s="7" t="str">
        <f t="shared" si="42"/>
        <v/>
      </c>
      <c r="J443" s="3" t="str">
        <f t="shared" si="43"/>
        <v/>
      </c>
      <c r="K443" s="4" t="str">
        <f t="shared" si="44"/>
        <v/>
      </c>
      <c r="L443" s="7" t="str">
        <f t="shared" si="45"/>
        <v/>
      </c>
      <c r="M443" s="9" t="str">
        <f t="shared" si="46"/>
        <v/>
      </c>
      <c r="N443" s="9" t="str">
        <f>IF(NOT(ISERROR(VLOOKUP(B443,Deflatores!G$42:H$64,2,FALSE))),VLOOKUP(B443,Deflatores!G$42:H$64,2,FALSE),IF(OR(ISBLANK(C443),ISBLANK(B443)),"",VLOOKUP(C443,Deflatores!G$4:H$38,2,FALSE)*J443+VLOOKUP(C443,Deflatores!G$4:I$38,3,FALSE)))</f>
        <v/>
      </c>
      <c r="O443" s="5"/>
      <c r="P443" s="5"/>
      <c r="Q443" s="6"/>
      <c r="R443" s="10"/>
      <c r="S443" s="104"/>
      <c r="T443" s="162"/>
      <c r="U443" s="10"/>
    </row>
    <row r="444" spans="1:21" ht="21.75" customHeight="1" x14ac:dyDescent="0.2">
      <c r="A444" s="102"/>
      <c r="B444" s="2"/>
      <c r="C444" s="2"/>
      <c r="D444" s="2"/>
      <c r="E444" s="5"/>
      <c r="F444" s="2"/>
      <c r="G444" s="5"/>
      <c r="H444" s="8" t="str">
        <f t="shared" si="41"/>
        <v/>
      </c>
      <c r="I444" s="7" t="str">
        <f t="shared" si="42"/>
        <v/>
      </c>
      <c r="J444" s="3" t="str">
        <f t="shared" si="43"/>
        <v/>
      </c>
      <c r="K444" s="4" t="str">
        <f t="shared" si="44"/>
        <v/>
      </c>
      <c r="L444" s="7" t="str">
        <f t="shared" si="45"/>
        <v/>
      </c>
      <c r="M444" s="9" t="str">
        <f t="shared" si="46"/>
        <v/>
      </c>
      <c r="N444" s="9" t="str">
        <f>IF(NOT(ISERROR(VLOOKUP(B444,Deflatores!G$42:H$64,2,FALSE))),VLOOKUP(B444,Deflatores!G$42:H$64,2,FALSE),IF(OR(ISBLANK(C444),ISBLANK(B444)),"",VLOOKUP(C444,Deflatores!G$4:H$38,2,FALSE)*J444+VLOOKUP(C444,Deflatores!G$4:I$38,3,FALSE)))</f>
        <v/>
      </c>
      <c r="O444" s="5"/>
      <c r="P444" s="5"/>
      <c r="Q444" s="6"/>
      <c r="R444" s="10"/>
      <c r="S444" s="104"/>
      <c r="T444" s="162"/>
      <c r="U444" s="10"/>
    </row>
    <row r="445" spans="1:21" ht="21.75" customHeight="1" x14ac:dyDescent="0.2">
      <c r="A445" s="102"/>
      <c r="B445" s="2"/>
      <c r="C445" s="2"/>
      <c r="D445" s="2"/>
      <c r="E445" s="5"/>
      <c r="F445" s="2"/>
      <c r="G445" s="5"/>
      <c r="H445" s="8" t="str">
        <f t="shared" si="41"/>
        <v/>
      </c>
      <c r="I445" s="7" t="str">
        <f t="shared" si="42"/>
        <v/>
      </c>
      <c r="J445" s="3" t="str">
        <f t="shared" si="43"/>
        <v/>
      </c>
      <c r="K445" s="4" t="str">
        <f t="shared" si="44"/>
        <v/>
      </c>
      <c r="L445" s="7" t="str">
        <f t="shared" si="45"/>
        <v/>
      </c>
      <c r="M445" s="9" t="str">
        <f t="shared" si="46"/>
        <v/>
      </c>
      <c r="N445" s="9" t="str">
        <f>IF(NOT(ISERROR(VLOOKUP(B445,Deflatores!G$42:H$64,2,FALSE))),VLOOKUP(B445,Deflatores!G$42:H$64,2,FALSE),IF(OR(ISBLANK(C445),ISBLANK(B445)),"",VLOOKUP(C445,Deflatores!G$4:H$38,2,FALSE)*J445+VLOOKUP(C445,Deflatores!G$4:I$38,3,FALSE)))</f>
        <v/>
      </c>
      <c r="O445" s="5"/>
      <c r="P445" s="5"/>
      <c r="Q445" s="6"/>
      <c r="R445" s="10"/>
      <c r="S445" s="104"/>
      <c r="T445" s="162"/>
      <c r="U445" s="10"/>
    </row>
    <row r="446" spans="1:21" ht="21.75" customHeight="1" x14ac:dyDescent="0.2">
      <c r="A446" s="102"/>
      <c r="B446" s="2"/>
      <c r="C446" s="2"/>
      <c r="D446" s="2"/>
      <c r="E446" s="5"/>
      <c r="F446" s="2"/>
      <c r="G446" s="5"/>
      <c r="H446" s="8" t="str">
        <f t="shared" si="41"/>
        <v/>
      </c>
      <c r="I446" s="7" t="str">
        <f t="shared" si="42"/>
        <v/>
      </c>
      <c r="J446" s="3" t="str">
        <f t="shared" si="43"/>
        <v/>
      </c>
      <c r="K446" s="4" t="str">
        <f t="shared" si="44"/>
        <v/>
      </c>
      <c r="L446" s="7" t="str">
        <f t="shared" si="45"/>
        <v/>
      </c>
      <c r="M446" s="9" t="str">
        <f t="shared" si="46"/>
        <v/>
      </c>
      <c r="N446" s="9" t="str">
        <f>IF(NOT(ISERROR(VLOOKUP(B446,Deflatores!G$42:H$64,2,FALSE))),VLOOKUP(B446,Deflatores!G$42:H$64,2,FALSE),IF(OR(ISBLANK(C446),ISBLANK(B446)),"",VLOOKUP(C446,Deflatores!G$4:H$38,2,FALSE)*J446+VLOOKUP(C446,Deflatores!G$4:I$38,3,FALSE)))</f>
        <v/>
      </c>
      <c r="O446" s="5"/>
      <c r="P446" s="5"/>
      <c r="Q446" s="6"/>
      <c r="R446" s="10"/>
      <c r="S446" s="104"/>
      <c r="T446" s="162"/>
      <c r="U446" s="10"/>
    </row>
    <row r="447" spans="1:21" ht="21.75" customHeight="1" x14ac:dyDescent="0.2">
      <c r="A447" s="102"/>
      <c r="B447" s="2"/>
      <c r="C447" s="2"/>
      <c r="D447" s="2"/>
      <c r="E447" s="5"/>
      <c r="F447" s="2"/>
      <c r="G447" s="5"/>
      <c r="H447" s="8" t="str">
        <f t="shared" si="41"/>
        <v/>
      </c>
      <c r="I447" s="7" t="str">
        <f t="shared" si="42"/>
        <v/>
      </c>
      <c r="J447" s="3" t="str">
        <f t="shared" si="43"/>
        <v/>
      </c>
      <c r="K447" s="4" t="str">
        <f t="shared" si="44"/>
        <v/>
      </c>
      <c r="L447" s="7" t="str">
        <f t="shared" si="45"/>
        <v/>
      </c>
      <c r="M447" s="9" t="str">
        <f t="shared" si="46"/>
        <v/>
      </c>
      <c r="N447" s="9" t="str">
        <f>IF(NOT(ISERROR(VLOOKUP(B447,Deflatores!G$42:H$64,2,FALSE))),VLOOKUP(B447,Deflatores!G$42:H$64,2,FALSE),IF(OR(ISBLANK(C447),ISBLANK(B447)),"",VLOOKUP(C447,Deflatores!G$4:H$38,2,FALSE)*J447+VLOOKUP(C447,Deflatores!G$4:I$38,3,FALSE)))</f>
        <v/>
      </c>
      <c r="O447" s="5"/>
      <c r="P447" s="5"/>
      <c r="Q447" s="6"/>
      <c r="R447" s="10"/>
      <c r="S447" s="104"/>
      <c r="T447" s="162"/>
      <c r="U447" s="10"/>
    </row>
    <row r="448" spans="1:21" ht="21.75" customHeight="1" x14ac:dyDescent="0.2">
      <c r="A448" s="102"/>
      <c r="B448" s="2"/>
      <c r="C448" s="2"/>
      <c r="D448" s="2"/>
      <c r="E448" s="5"/>
      <c r="F448" s="2"/>
      <c r="G448" s="5"/>
      <c r="H448" s="8" t="str">
        <f t="shared" si="41"/>
        <v/>
      </c>
      <c r="I448" s="7" t="str">
        <f t="shared" si="42"/>
        <v/>
      </c>
      <c r="J448" s="3" t="str">
        <f t="shared" si="43"/>
        <v/>
      </c>
      <c r="K448" s="4" t="str">
        <f t="shared" si="44"/>
        <v/>
      </c>
      <c r="L448" s="7" t="str">
        <f t="shared" si="45"/>
        <v/>
      </c>
      <c r="M448" s="9" t="str">
        <f t="shared" si="46"/>
        <v/>
      </c>
      <c r="N448" s="9" t="str">
        <f>IF(NOT(ISERROR(VLOOKUP(B448,Deflatores!G$42:H$64,2,FALSE))),VLOOKUP(B448,Deflatores!G$42:H$64,2,FALSE),IF(OR(ISBLANK(C448),ISBLANK(B448)),"",VLOOKUP(C448,Deflatores!G$4:H$38,2,FALSE)*J448+VLOOKUP(C448,Deflatores!G$4:I$38,3,FALSE)))</f>
        <v/>
      </c>
      <c r="O448" s="5"/>
      <c r="P448" s="5"/>
      <c r="Q448" s="6"/>
      <c r="R448" s="10"/>
      <c r="S448" s="104"/>
      <c r="T448" s="162"/>
      <c r="U448" s="10"/>
    </row>
    <row r="449" spans="1:21" ht="21.75" customHeight="1" x14ac:dyDescent="0.2">
      <c r="A449" s="102"/>
      <c r="B449" s="2"/>
      <c r="C449" s="2"/>
      <c r="D449" s="2"/>
      <c r="E449" s="5"/>
      <c r="F449" s="2"/>
      <c r="G449" s="5"/>
      <c r="H449" s="8" t="str">
        <f t="shared" si="41"/>
        <v/>
      </c>
      <c r="I449" s="7" t="str">
        <f t="shared" si="42"/>
        <v/>
      </c>
      <c r="J449" s="3" t="str">
        <f t="shared" si="43"/>
        <v/>
      </c>
      <c r="K449" s="4" t="str">
        <f t="shared" si="44"/>
        <v/>
      </c>
      <c r="L449" s="7" t="str">
        <f t="shared" si="45"/>
        <v/>
      </c>
      <c r="M449" s="9" t="str">
        <f t="shared" si="46"/>
        <v/>
      </c>
      <c r="N449" s="9" t="str">
        <f>IF(NOT(ISERROR(VLOOKUP(B449,Deflatores!G$42:H$64,2,FALSE))),VLOOKUP(B449,Deflatores!G$42:H$64,2,FALSE),IF(OR(ISBLANK(C449),ISBLANK(B449)),"",VLOOKUP(C449,Deflatores!G$4:H$38,2,FALSE)*J449+VLOOKUP(C449,Deflatores!G$4:I$38,3,FALSE)))</f>
        <v/>
      </c>
      <c r="O449" s="5"/>
      <c r="P449" s="5"/>
      <c r="Q449" s="6"/>
      <c r="R449" s="10"/>
      <c r="S449" s="104"/>
      <c r="T449" s="162"/>
      <c r="U449" s="10"/>
    </row>
    <row r="450" spans="1:21" ht="21.75" customHeight="1" x14ac:dyDescent="0.2">
      <c r="A450" s="102"/>
      <c r="B450" s="2"/>
      <c r="C450" s="2"/>
      <c r="D450" s="2"/>
      <c r="E450" s="5"/>
      <c r="F450" s="2"/>
      <c r="G450" s="5"/>
      <c r="H450" s="8" t="str">
        <f t="shared" si="41"/>
        <v/>
      </c>
      <c r="I450" s="7" t="str">
        <f t="shared" si="42"/>
        <v/>
      </c>
      <c r="J450" s="3" t="str">
        <f t="shared" si="43"/>
        <v/>
      </c>
      <c r="K450" s="4" t="str">
        <f t="shared" si="44"/>
        <v/>
      </c>
      <c r="L450" s="7" t="str">
        <f t="shared" si="45"/>
        <v/>
      </c>
      <c r="M450" s="9" t="str">
        <f t="shared" si="46"/>
        <v/>
      </c>
      <c r="N450" s="9" t="str">
        <f>IF(NOT(ISERROR(VLOOKUP(B450,Deflatores!G$42:H$64,2,FALSE))),VLOOKUP(B450,Deflatores!G$42:H$64,2,FALSE),IF(OR(ISBLANK(C450),ISBLANK(B450)),"",VLOOKUP(C450,Deflatores!G$4:H$38,2,FALSE)*J450+VLOOKUP(C450,Deflatores!G$4:I$38,3,FALSE)))</f>
        <v/>
      </c>
      <c r="O450" s="5"/>
      <c r="P450" s="5"/>
      <c r="Q450" s="6"/>
      <c r="R450" s="10"/>
      <c r="S450" s="104"/>
      <c r="T450" s="162"/>
      <c r="U450" s="10"/>
    </row>
    <row r="451" spans="1:21" ht="21.75" customHeight="1" x14ac:dyDescent="0.2">
      <c r="A451" s="102"/>
      <c r="B451" s="2"/>
      <c r="C451" s="2"/>
      <c r="D451" s="2"/>
      <c r="E451" s="5"/>
      <c r="F451" s="2"/>
      <c r="G451" s="5"/>
      <c r="H451" s="8" t="str">
        <f t="shared" si="41"/>
        <v/>
      </c>
      <c r="I451" s="7" t="str">
        <f t="shared" si="42"/>
        <v/>
      </c>
      <c r="J451" s="3" t="str">
        <f t="shared" si="43"/>
        <v/>
      </c>
      <c r="K451" s="4" t="str">
        <f t="shared" si="44"/>
        <v/>
      </c>
      <c r="L451" s="7" t="str">
        <f t="shared" si="45"/>
        <v/>
      </c>
      <c r="M451" s="9" t="str">
        <f t="shared" si="46"/>
        <v/>
      </c>
      <c r="N451" s="9" t="str">
        <f>IF(NOT(ISERROR(VLOOKUP(B451,Deflatores!G$42:H$64,2,FALSE))),VLOOKUP(B451,Deflatores!G$42:H$64,2,FALSE),IF(OR(ISBLANK(C451),ISBLANK(B451)),"",VLOOKUP(C451,Deflatores!G$4:H$38,2,FALSE)*J451+VLOOKUP(C451,Deflatores!G$4:I$38,3,FALSE)))</f>
        <v/>
      </c>
      <c r="O451" s="5"/>
      <c r="P451" s="5"/>
      <c r="Q451" s="6"/>
      <c r="R451" s="10"/>
      <c r="S451" s="104"/>
      <c r="T451" s="162"/>
      <c r="U451" s="10"/>
    </row>
    <row r="452" spans="1:21" ht="21.75" customHeight="1" x14ac:dyDescent="0.2">
      <c r="A452" s="102"/>
      <c r="B452" s="2"/>
      <c r="C452" s="2"/>
      <c r="D452" s="2"/>
      <c r="E452" s="5"/>
      <c r="F452" s="2"/>
      <c r="G452" s="5"/>
      <c r="H452" s="8" t="str">
        <f t="shared" si="41"/>
        <v/>
      </c>
      <c r="I452" s="7" t="str">
        <f t="shared" si="42"/>
        <v/>
      </c>
      <c r="J452" s="3" t="str">
        <f t="shared" si="43"/>
        <v/>
      </c>
      <c r="K452" s="4" t="str">
        <f t="shared" si="44"/>
        <v/>
      </c>
      <c r="L452" s="7" t="str">
        <f t="shared" si="45"/>
        <v/>
      </c>
      <c r="M452" s="9" t="str">
        <f t="shared" si="46"/>
        <v/>
      </c>
      <c r="N452" s="9" t="str">
        <f>IF(NOT(ISERROR(VLOOKUP(B452,Deflatores!G$42:H$64,2,FALSE))),VLOOKUP(B452,Deflatores!G$42:H$64,2,FALSE),IF(OR(ISBLANK(C452),ISBLANK(B452)),"",VLOOKUP(C452,Deflatores!G$4:H$38,2,FALSE)*J452+VLOOKUP(C452,Deflatores!G$4:I$38,3,FALSE)))</f>
        <v/>
      </c>
      <c r="O452" s="5"/>
      <c r="P452" s="5"/>
      <c r="Q452" s="6"/>
      <c r="R452" s="10"/>
      <c r="S452" s="104"/>
      <c r="T452" s="162"/>
      <c r="U452" s="10"/>
    </row>
    <row r="453" spans="1:21" ht="21.75" customHeight="1" x14ac:dyDescent="0.2">
      <c r="A453" s="102"/>
      <c r="B453" s="2"/>
      <c r="C453" s="2"/>
      <c r="D453" s="2"/>
      <c r="E453" s="5"/>
      <c r="F453" s="2"/>
      <c r="G453" s="5"/>
      <c r="H453" s="8" t="str">
        <f t="shared" si="41"/>
        <v/>
      </c>
      <c r="I453" s="7" t="str">
        <f t="shared" si="42"/>
        <v/>
      </c>
      <c r="J453" s="3" t="str">
        <f t="shared" si="43"/>
        <v/>
      </c>
      <c r="K453" s="4" t="str">
        <f t="shared" si="44"/>
        <v/>
      </c>
      <c r="L453" s="7" t="str">
        <f t="shared" si="45"/>
        <v/>
      </c>
      <c r="M453" s="9" t="str">
        <f t="shared" si="46"/>
        <v/>
      </c>
      <c r="N453" s="9" t="str">
        <f>IF(NOT(ISERROR(VLOOKUP(B453,Deflatores!G$42:H$64,2,FALSE))),VLOOKUP(B453,Deflatores!G$42:H$64,2,FALSE),IF(OR(ISBLANK(C453),ISBLANK(B453)),"",VLOOKUP(C453,Deflatores!G$4:H$38,2,FALSE)*J453+VLOOKUP(C453,Deflatores!G$4:I$38,3,FALSE)))</f>
        <v/>
      </c>
      <c r="O453" s="5"/>
      <c r="P453" s="5"/>
      <c r="Q453" s="6"/>
      <c r="R453" s="10"/>
      <c r="S453" s="104"/>
      <c r="T453" s="162"/>
      <c r="U453" s="10"/>
    </row>
    <row r="454" spans="1:21" ht="21.75" customHeight="1" x14ac:dyDescent="0.2">
      <c r="A454" s="102"/>
      <c r="B454" s="2"/>
      <c r="C454" s="2"/>
      <c r="D454" s="2"/>
      <c r="E454" s="5"/>
      <c r="F454" s="2"/>
      <c r="G454" s="5"/>
      <c r="H454" s="8" t="str">
        <f t="shared" si="41"/>
        <v/>
      </c>
      <c r="I454" s="7" t="str">
        <f t="shared" si="42"/>
        <v/>
      </c>
      <c r="J454" s="3" t="str">
        <f t="shared" si="43"/>
        <v/>
      </c>
      <c r="K454" s="4" t="str">
        <f t="shared" si="44"/>
        <v/>
      </c>
      <c r="L454" s="7" t="str">
        <f t="shared" si="45"/>
        <v/>
      </c>
      <c r="M454" s="9" t="str">
        <f t="shared" si="46"/>
        <v/>
      </c>
      <c r="N454" s="9" t="str">
        <f>IF(NOT(ISERROR(VLOOKUP(B454,Deflatores!G$42:H$64,2,FALSE))),VLOOKUP(B454,Deflatores!G$42:H$64,2,FALSE),IF(OR(ISBLANK(C454),ISBLANK(B454)),"",VLOOKUP(C454,Deflatores!G$4:H$38,2,FALSE)*J454+VLOOKUP(C454,Deflatores!G$4:I$38,3,FALSE)))</f>
        <v/>
      </c>
      <c r="O454" s="5"/>
      <c r="P454" s="5"/>
      <c r="Q454" s="6"/>
      <c r="R454" s="10"/>
      <c r="S454" s="104"/>
      <c r="T454" s="162"/>
      <c r="U454" s="10"/>
    </row>
    <row r="455" spans="1:21" ht="21.75" customHeight="1" x14ac:dyDescent="0.2">
      <c r="A455" s="102"/>
      <c r="B455" s="2"/>
      <c r="C455" s="2"/>
      <c r="D455" s="2"/>
      <c r="E455" s="5"/>
      <c r="F455" s="2"/>
      <c r="G455" s="5"/>
      <c r="H455" s="8" t="str">
        <f t="shared" si="41"/>
        <v/>
      </c>
      <c r="I455" s="7" t="str">
        <f t="shared" si="42"/>
        <v/>
      </c>
      <c r="J455" s="3" t="str">
        <f t="shared" si="43"/>
        <v/>
      </c>
      <c r="K455" s="4" t="str">
        <f t="shared" si="44"/>
        <v/>
      </c>
      <c r="L455" s="7" t="str">
        <f t="shared" si="45"/>
        <v/>
      </c>
      <c r="M455" s="9" t="str">
        <f t="shared" si="46"/>
        <v/>
      </c>
      <c r="N455" s="9" t="str">
        <f>IF(NOT(ISERROR(VLOOKUP(B455,Deflatores!G$42:H$64,2,FALSE))),VLOOKUP(B455,Deflatores!G$42:H$64,2,FALSE),IF(OR(ISBLANK(C455),ISBLANK(B455)),"",VLOOKUP(C455,Deflatores!G$4:H$38,2,FALSE)*J455+VLOOKUP(C455,Deflatores!G$4:I$38,3,FALSE)))</f>
        <v/>
      </c>
      <c r="O455" s="5"/>
      <c r="P455" s="5"/>
      <c r="Q455" s="6"/>
      <c r="R455" s="10"/>
      <c r="S455" s="104"/>
      <c r="T455" s="162"/>
      <c r="U455" s="10"/>
    </row>
    <row r="456" spans="1:21" ht="21.75" customHeight="1" x14ac:dyDescent="0.2">
      <c r="A456" s="102"/>
      <c r="B456" s="2"/>
      <c r="C456" s="2"/>
      <c r="D456" s="2"/>
      <c r="E456" s="5"/>
      <c r="F456" s="2"/>
      <c r="G456" s="5"/>
      <c r="H456" s="8" t="str">
        <f t="shared" si="41"/>
        <v/>
      </c>
      <c r="I456" s="7" t="str">
        <f t="shared" si="42"/>
        <v/>
      </c>
      <c r="J456" s="3" t="str">
        <f t="shared" si="43"/>
        <v/>
      </c>
      <c r="K456" s="4" t="str">
        <f t="shared" si="44"/>
        <v/>
      </c>
      <c r="L456" s="7" t="str">
        <f t="shared" si="45"/>
        <v/>
      </c>
      <c r="M456" s="9" t="str">
        <f t="shared" si="46"/>
        <v/>
      </c>
      <c r="N456" s="9" t="str">
        <f>IF(NOT(ISERROR(VLOOKUP(B456,Deflatores!G$42:H$64,2,FALSE))),VLOOKUP(B456,Deflatores!G$42:H$64,2,FALSE),IF(OR(ISBLANK(C456),ISBLANK(B456)),"",VLOOKUP(C456,Deflatores!G$4:H$38,2,FALSE)*J456+VLOOKUP(C456,Deflatores!G$4:I$38,3,FALSE)))</f>
        <v/>
      </c>
      <c r="O456" s="5"/>
      <c r="P456" s="5"/>
      <c r="Q456" s="6"/>
      <c r="R456" s="10"/>
      <c r="S456" s="104"/>
      <c r="T456" s="162"/>
      <c r="U456" s="10"/>
    </row>
    <row r="457" spans="1:21" ht="21.75" customHeight="1" x14ac:dyDescent="0.2">
      <c r="A457" s="102"/>
      <c r="B457" s="2"/>
      <c r="C457" s="2"/>
      <c r="D457" s="2"/>
      <c r="E457" s="5"/>
      <c r="F457" s="2"/>
      <c r="G457" s="5"/>
      <c r="H457" s="8" t="str">
        <f t="shared" ref="H457:H520" si="47">IF(ISBLANK(B457),"",IF(K457="L","Baixa",IF(K457="A","Média",IF(K457="","","Alta"))))</f>
        <v/>
      </c>
      <c r="I457" s="7" t="str">
        <f t="shared" ref="I457:I520" si="48">CONCATENATE(B457,K457)</f>
        <v/>
      </c>
      <c r="J457" s="3" t="str">
        <f t="shared" ref="J457:J520" si="49">IF(ISBLANK(B457),"",IF(B457="ALI",IF(K457="L",7,IF(K457="A",10,15)),IF(B457="AIE",IF(K457="L",5,IF(K457="A",7,10)),IF(B457="SE",IF(K457="L",4,IF(K457="A",5,7)),IF(OR(B457="EE",B457="CE"),IF(K457="L",3,IF(K457="A",4,6)),0)))))</f>
        <v/>
      </c>
      <c r="K457" s="4" t="str">
        <f t="shared" ref="K457:K520" si="50">IF(OR(ISBLANK(D457),ISBLANK(F457)),IF(OR(B457="ALI",B457="AIE"),"L",IF(OR(B457="EE",B457="SE",B457="CE"),"A","")),IF(B457="EE",IF(F457&gt;=3,IF(D457&gt;=5,"H","A"),IF(F457&gt;=2,IF(D457&gt;=16,"H",IF(D457&lt;=4,"L","A")),IF(D457&lt;=15,"L","A"))),IF(OR(B457="SE",B457="CE"),IF(F457&gt;=4,IF(D457&gt;=6,"H","A"),IF(F457&gt;=2,IF(D457&gt;=20,"H",IF(D457&lt;=5,"L","A")),IF(D457&lt;=19,"L","A"))),IF(OR(B457="ALI",B457="AIE"),IF(F457&gt;=6,IF(D457&gt;=20,"H","A"),IF(F457&gt;=2,IF(D457&gt;=51,"H",IF(D457&lt;=19,"L","A")),IF(D457&lt;=50,"L","A"))),""))))</f>
        <v/>
      </c>
      <c r="L457" s="7" t="str">
        <f t="shared" ref="L457:L520" si="51">CONCATENATE(B457,C457)</f>
        <v/>
      </c>
      <c r="M457" s="9" t="str">
        <f t="shared" ref="M457:M520" si="52">IF(OR(J457="",J457=0),N457,J457)</f>
        <v/>
      </c>
      <c r="N457" s="9" t="str">
        <f>IF(NOT(ISERROR(VLOOKUP(B457,Deflatores!G$42:H$64,2,FALSE))),VLOOKUP(B457,Deflatores!G$42:H$64,2,FALSE),IF(OR(ISBLANK(C457),ISBLANK(B457)),"",VLOOKUP(C457,Deflatores!G$4:H$38,2,FALSE)*J457+VLOOKUP(C457,Deflatores!G$4:I$38,3,FALSE)))</f>
        <v/>
      </c>
      <c r="O457" s="5"/>
      <c r="P457" s="5"/>
      <c r="Q457" s="6"/>
      <c r="R457" s="10"/>
      <c r="S457" s="104"/>
      <c r="T457" s="162"/>
      <c r="U457" s="10"/>
    </row>
    <row r="458" spans="1:21" ht="21.75" customHeight="1" x14ac:dyDescent="0.2">
      <c r="A458" s="102"/>
      <c r="B458" s="2"/>
      <c r="C458" s="2"/>
      <c r="D458" s="2"/>
      <c r="E458" s="5"/>
      <c r="F458" s="2"/>
      <c r="G458" s="5"/>
      <c r="H458" s="8" t="str">
        <f t="shared" si="47"/>
        <v/>
      </c>
      <c r="I458" s="7" t="str">
        <f t="shared" si="48"/>
        <v/>
      </c>
      <c r="J458" s="3" t="str">
        <f t="shared" si="49"/>
        <v/>
      </c>
      <c r="K458" s="4" t="str">
        <f t="shared" si="50"/>
        <v/>
      </c>
      <c r="L458" s="7" t="str">
        <f t="shared" si="51"/>
        <v/>
      </c>
      <c r="M458" s="9" t="str">
        <f t="shared" si="52"/>
        <v/>
      </c>
      <c r="N458" s="9" t="str">
        <f>IF(NOT(ISERROR(VLOOKUP(B458,Deflatores!G$42:H$64,2,FALSE))),VLOOKUP(B458,Deflatores!G$42:H$64,2,FALSE),IF(OR(ISBLANK(C458),ISBLANK(B458)),"",VLOOKUP(C458,Deflatores!G$4:H$38,2,FALSE)*J458+VLOOKUP(C458,Deflatores!G$4:I$38,3,FALSE)))</f>
        <v/>
      </c>
      <c r="O458" s="5"/>
      <c r="P458" s="5"/>
      <c r="Q458" s="6"/>
      <c r="R458" s="10"/>
      <c r="S458" s="104"/>
      <c r="T458" s="162"/>
      <c r="U458" s="10"/>
    </row>
    <row r="459" spans="1:21" ht="21.75" customHeight="1" x14ac:dyDescent="0.2">
      <c r="A459" s="102"/>
      <c r="B459" s="2"/>
      <c r="C459" s="2"/>
      <c r="D459" s="2"/>
      <c r="E459" s="5"/>
      <c r="F459" s="2"/>
      <c r="G459" s="5"/>
      <c r="H459" s="8" t="str">
        <f t="shared" si="47"/>
        <v/>
      </c>
      <c r="I459" s="7" t="str">
        <f t="shared" si="48"/>
        <v/>
      </c>
      <c r="J459" s="3" t="str">
        <f t="shared" si="49"/>
        <v/>
      </c>
      <c r="K459" s="4" t="str">
        <f t="shared" si="50"/>
        <v/>
      </c>
      <c r="L459" s="7" t="str">
        <f t="shared" si="51"/>
        <v/>
      </c>
      <c r="M459" s="9" t="str">
        <f t="shared" si="52"/>
        <v/>
      </c>
      <c r="N459" s="9" t="str">
        <f>IF(NOT(ISERROR(VLOOKUP(B459,Deflatores!G$42:H$64,2,FALSE))),VLOOKUP(B459,Deflatores!G$42:H$64,2,FALSE),IF(OR(ISBLANK(C459),ISBLANK(B459)),"",VLOOKUP(C459,Deflatores!G$4:H$38,2,FALSE)*J459+VLOOKUP(C459,Deflatores!G$4:I$38,3,FALSE)))</f>
        <v/>
      </c>
      <c r="O459" s="5"/>
      <c r="P459" s="5"/>
      <c r="Q459" s="6"/>
      <c r="R459" s="10"/>
      <c r="S459" s="104"/>
      <c r="T459" s="162"/>
      <c r="U459" s="10"/>
    </row>
    <row r="460" spans="1:21" ht="21.75" customHeight="1" x14ac:dyDescent="0.2">
      <c r="A460" s="102"/>
      <c r="B460" s="2"/>
      <c r="C460" s="2"/>
      <c r="D460" s="2"/>
      <c r="E460" s="5"/>
      <c r="F460" s="2"/>
      <c r="G460" s="5"/>
      <c r="H460" s="8" t="str">
        <f t="shared" si="47"/>
        <v/>
      </c>
      <c r="I460" s="7" t="str">
        <f t="shared" si="48"/>
        <v/>
      </c>
      <c r="J460" s="3" t="str">
        <f t="shared" si="49"/>
        <v/>
      </c>
      <c r="K460" s="4" t="str">
        <f t="shared" si="50"/>
        <v/>
      </c>
      <c r="L460" s="7" t="str">
        <f t="shared" si="51"/>
        <v/>
      </c>
      <c r="M460" s="9" t="str">
        <f t="shared" si="52"/>
        <v/>
      </c>
      <c r="N460" s="9" t="str">
        <f>IF(NOT(ISERROR(VLOOKUP(B460,Deflatores!G$42:H$64,2,FALSE))),VLOOKUP(B460,Deflatores!G$42:H$64,2,FALSE),IF(OR(ISBLANK(C460),ISBLANK(B460)),"",VLOOKUP(C460,Deflatores!G$4:H$38,2,FALSE)*J460+VLOOKUP(C460,Deflatores!G$4:I$38,3,FALSE)))</f>
        <v/>
      </c>
      <c r="O460" s="5"/>
      <c r="P460" s="5"/>
      <c r="Q460" s="6"/>
      <c r="R460" s="10"/>
      <c r="S460" s="104"/>
      <c r="T460" s="162"/>
      <c r="U460" s="10"/>
    </row>
    <row r="461" spans="1:21" ht="21.75" customHeight="1" x14ac:dyDescent="0.2">
      <c r="A461" s="102"/>
      <c r="B461" s="2"/>
      <c r="C461" s="2"/>
      <c r="D461" s="2"/>
      <c r="E461" s="5"/>
      <c r="F461" s="2"/>
      <c r="G461" s="5"/>
      <c r="H461" s="8" t="str">
        <f t="shared" si="47"/>
        <v/>
      </c>
      <c r="I461" s="7" t="str">
        <f t="shared" si="48"/>
        <v/>
      </c>
      <c r="J461" s="3" t="str">
        <f t="shared" si="49"/>
        <v/>
      </c>
      <c r="K461" s="4" t="str">
        <f t="shared" si="50"/>
        <v/>
      </c>
      <c r="L461" s="7" t="str">
        <f t="shared" si="51"/>
        <v/>
      </c>
      <c r="M461" s="9" t="str">
        <f t="shared" si="52"/>
        <v/>
      </c>
      <c r="N461" s="9" t="str">
        <f>IF(NOT(ISERROR(VLOOKUP(B461,Deflatores!G$42:H$64,2,FALSE))),VLOOKUP(B461,Deflatores!G$42:H$64,2,FALSE),IF(OR(ISBLANK(C461),ISBLANK(B461)),"",VLOOKUP(C461,Deflatores!G$4:H$38,2,FALSE)*J461+VLOOKUP(C461,Deflatores!G$4:I$38,3,FALSE)))</f>
        <v/>
      </c>
      <c r="O461" s="5"/>
      <c r="P461" s="5"/>
      <c r="Q461" s="6"/>
      <c r="R461" s="10"/>
      <c r="S461" s="104"/>
      <c r="T461" s="162"/>
      <c r="U461" s="10"/>
    </row>
    <row r="462" spans="1:21" ht="21.75" customHeight="1" x14ac:dyDescent="0.2">
      <c r="A462" s="102"/>
      <c r="B462" s="2"/>
      <c r="C462" s="2"/>
      <c r="D462" s="2"/>
      <c r="E462" s="5"/>
      <c r="F462" s="2"/>
      <c r="G462" s="5"/>
      <c r="H462" s="8" t="str">
        <f t="shared" si="47"/>
        <v/>
      </c>
      <c r="I462" s="7" t="str">
        <f t="shared" si="48"/>
        <v/>
      </c>
      <c r="J462" s="3" t="str">
        <f t="shared" si="49"/>
        <v/>
      </c>
      <c r="K462" s="4" t="str">
        <f t="shared" si="50"/>
        <v/>
      </c>
      <c r="L462" s="7" t="str">
        <f t="shared" si="51"/>
        <v/>
      </c>
      <c r="M462" s="9" t="str">
        <f t="shared" si="52"/>
        <v/>
      </c>
      <c r="N462" s="9" t="str">
        <f>IF(NOT(ISERROR(VLOOKUP(B462,Deflatores!G$42:H$64,2,FALSE))),VLOOKUP(B462,Deflatores!G$42:H$64,2,FALSE),IF(OR(ISBLANK(C462),ISBLANK(B462)),"",VLOOKUP(C462,Deflatores!G$4:H$38,2,FALSE)*J462+VLOOKUP(C462,Deflatores!G$4:I$38,3,FALSE)))</f>
        <v/>
      </c>
      <c r="O462" s="5"/>
      <c r="P462" s="5"/>
      <c r="Q462" s="6"/>
      <c r="R462" s="10"/>
      <c r="S462" s="104"/>
      <c r="T462" s="162"/>
      <c r="U462" s="10"/>
    </row>
    <row r="463" spans="1:21" ht="21.75" customHeight="1" x14ac:dyDescent="0.2">
      <c r="A463" s="102"/>
      <c r="B463" s="2"/>
      <c r="C463" s="2"/>
      <c r="D463" s="2"/>
      <c r="E463" s="5"/>
      <c r="F463" s="2"/>
      <c r="G463" s="5"/>
      <c r="H463" s="8" t="str">
        <f t="shared" si="47"/>
        <v/>
      </c>
      <c r="I463" s="7" t="str">
        <f t="shared" si="48"/>
        <v/>
      </c>
      <c r="J463" s="3" t="str">
        <f t="shared" si="49"/>
        <v/>
      </c>
      <c r="K463" s="4" t="str">
        <f t="shared" si="50"/>
        <v/>
      </c>
      <c r="L463" s="7" t="str">
        <f t="shared" si="51"/>
        <v/>
      </c>
      <c r="M463" s="9" t="str">
        <f t="shared" si="52"/>
        <v/>
      </c>
      <c r="N463" s="9" t="str">
        <f>IF(NOT(ISERROR(VLOOKUP(B463,Deflatores!G$42:H$64,2,FALSE))),VLOOKUP(B463,Deflatores!G$42:H$64,2,FALSE),IF(OR(ISBLANK(C463),ISBLANK(B463)),"",VLOOKUP(C463,Deflatores!G$4:H$38,2,FALSE)*J463+VLOOKUP(C463,Deflatores!G$4:I$38,3,FALSE)))</f>
        <v/>
      </c>
      <c r="O463" s="5"/>
      <c r="P463" s="5"/>
      <c r="Q463" s="6"/>
      <c r="R463" s="10"/>
      <c r="S463" s="104"/>
      <c r="T463" s="162"/>
      <c r="U463" s="10"/>
    </row>
    <row r="464" spans="1:21" ht="21.75" customHeight="1" x14ac:dyDescent="0.2">
      <c r="A464" s="102"/>
      <c r="B464" s="2"/>
      <c r="C464" s="2"/>
      <c r="D464" s="2"/>
      <c r="E464" s="5"/>
      <c r="F464" s="2"/>
      <c r="G464" s="5"/>
      <c r="H464" s="8" t="str">
        <f t="shared" si="47"/>
        <v/>
      </c>
      <c r="I464" s="7" t="str">
        <f t="shared" si="48"/>
        <v/>
      </c>
      <c r="J464" s="3" t="str">
        <f t="shared" si="49"/>
        <v/>
      </c>
      <c r="K464" s="4" t="str">
        <f t="shared" si="50"/>
        <v/>
      </c>
      <c r="L464" s="7" t="str">
        <f t="shared" si="51"/>
        <v/>
      </c>
      <c r="M464" s="9" t="str">
        <f t="shared" si="52"/>
        <v/>
      </c>
      <c r="N464" s="9" t="str">
        <f>IF(NOT(ISERROR(VLOOKUP(B464,Deflatores!G$42:H$64,2,FALSE))),VLOOKUP(B464,Deflatores!G$42:H$64,2,FALSE),IF(OR(ISBLANK(C464),ISBLANK(B464)),"",VLOOKUP(C464,Deflatores!G$4:H$38,2,FALSE)*J464+VLOOKUP(C464,Deflatores!G$4:I$38,3,FALSE)))</f>
        <v/>
      </c>
      <c r="O464" s="5"/>
      <c r="P464" s="5"/>
      <c r="Q464" s="6"/>
      <c r="R464" s="10"/>
      <c r="S464" s="104"/>
      <c r="T464" s="162"/>
      <c r="U464" s="10"/>
    </row>
    <row r="465" spans="1:21" ht="21.75" customHeight="1" x14ac:dyDescent="0.2">
      <c r="A465" s="102"/>
      <c r="B465" s="2"/>
      <c r="C465" s="2"/>
      <c r="D465" s="2"/>
      <c r="E465" s="5"/>
      <c r="F465" s="2"/>
      <c r="G465" s="5"/>
      <c r="H465" s="8" t="str">
        <f t="shared" si="47"/>
        <v/>
      </c>
      <c r="I465" s="7" t="str">
        <f t="shared" si="48"/>
        <v/>
      </c>
      <c r="J465" s="3" t="str">
        <f t="shared" si="49"/>
        <v/>
      </c>
      <c r="K465" s="4" t="str">
        <f t="shared" si="50"/>
        <v/>
      </c>
      <c r="L465" s="7" t="str">
        <f t="shared" si="51"/>
        <v/>
      </c>
      <c r="M465" s="9" t="str">
        <f t="shared" si="52"/>
        <v/>
      </c>
      <c r="N465" s="9" t="str">
        <f>IF(NOT(ISERROR(VLOOKUP(B465,Deflatores!G$42:H$64,2,FALSE))),VLOOKUP(B465,Deflatores!G$42:H$64,2,FALSE),IF(OR(ISBLANK(C465),ISBLANK(B465)),"",VLOOKUP(C465,Deflatores!G$4:H$38,2,FALSE)*J465+VLOOKUP(C465,Deflatores!G$4:I$38,3,FALSE)))</f>
        <v/>
      </c>
      <c r="O465" s="5"/>
      <c r="P465" s="5"/>
      <c r="Q465" s="6"/>
      <c r="R465" s="10"/>
      <c r="S465" s="104"/>
      <c r="T465" s="162"/>
      <c r="U465" s="10"/>
    </row>
    <row r="466" spans="1:21" ht="21.75" customHeight="1" x14ac:dyDescent="0.2">
      <c r="A466" s="102"/>
      <c r="B466" s="2"/>
      <c r="C466" s="2"/>
      <c r="D466" s="2"/>
      <c r="E466" s="5"/>
      <c r="F466" s="2"/>
      <c r="G466" s="5"/>
      <c r="H466" s="8" t="str">
        <f t="shared" si="47"/>
        <v/>
      </c>
      <c r="I466" s="7" t="str">
        <f t="shared" si="48"/>
        <v/>
      </c>
      <c r="J466" s="3" t="str">
        <f t="shared" si="49"/>
        <v/>
      </c>
      <c r="K466" s="4" t="str">
        <f t="shared" si="50"/>
        <v/>
      </c>
      <c r="L466" s="7" t="str">
        <f t="shared" si="51"/>
        <v/>
      </c>
      <c r="M466" s="9" t="str">
        <f t="shared" si="52"/>
        <v/>
      </c>
      <c r="N466" s="9" t="str">
        <f>IF(NOT(ISERROR(VLOOKUP(B466,Deflatores!G$42:H$64,2,FALSE))),VLOOKUP(B466,Deflatores!G$42:H$64,2,FALSE),IF(OR(ISBLANK(C466),ISBLANK(B466)),"",VLOOKUP(C466,Deflatores!G$4:H$38,2,FALSE)*J466+VLOOKUP(C466,Deflatores!G$4:I$38,3,FALSE)))</f>
        <v/>
      </c>
      <c r="O466" s="5"/>
      <c r="P466" s="5"/>
      <c r="Q466" s="6"/>
      <c r="R466" s="10"/>
      <c r="S466" s="104"/>
      <c r="T466" s="162"/>
      <c r="U466" s="10"/>
    </row>
    <row r="467" spans="1:21" ht="21.75" customHeight="1" x14ac:dyDescent="0.2">
      <c r="A467" s="102"/>
      <c r="B467" s="2"/>
      <c r="C467" s="2"/>
      <c r="D467" s="2"/>
      <c r="E467" s="5"/>
      <c r="F467" s="2"/>
      <c r="G467" s="5"/>
      <c r="H467" s="8" t="str">
        <f t="shared" si="47"/>
        <v/>
      </c>
      <c r="I467" s="7" t="str">
        <f t="shared" si="48"/>
        <v/>
      </c>
      <c r="J467" s="3" t="str">
        <f t="shared" si="49"/>
        <v/>
      </c>
      <c r="K467" s="4" t="str">
        <f t="shared" si="50"/>
        <v/>
      </c>
      <c r="L467" s="7" t="str">
        <f t="shared" si="51"/>
        <v/>
      </c>
      <c r="M467" s="9" t="str">
        <f t="shared" si="52"/>
        <v/>
      </c>
      <c r="N467" s="9" t="str">
        <f>IF(NOT(ISERROR(VLOOKUP(B467,Deflatores!G$42:H$64,2,FALSE))),VLOOKUP(B467,Deflatores!G$42:H$64,2,FALSE),IF(OR(ISBLANK(C467),ISBLANK(B467)),"",VLOOKUP(C467,Deflatores!G$4:H$38,2,FALSE)*J467+VLOOKUP(C467,Deflatores!G$4:I$38,3,FALSE)))</f>
        <v/>
      </c>
      <c r="O467" s="5"/>
      <c r="P467" s="5"/>
      <c r="Q467" s="6"/>
      <c r="R467" s="10"/>
      <c r="S467" s="104"/>
      <c r="T467" s="162"/>
      <c r="U467" s="10"/>
    </row>
    <row r="468" spans="1:21" ht="21.75" customHeight="1" x14ac:dyDescent="0.2">
      <c r="A468" s="102"/>
      <c r="B468" s="2"/>
      <c r="C468" s="2"/>
      <c r="D468" s="2"/>
      <c r="E468" s="5"/>
      <c r="F468" s="2"/>
      <c r="G468" s="5"/>
      <c r="H468" s="8" t="str">
        <f t="shared" si="47"/>
        <v/>
      </c>
      <c r="I468" s="7" t="str">
        <f t="shared" si="48"/>
        <v/>
      </c>
      <c r="J468" s="3" t="str">
        <f t="shared" si="49"/>
        <v/>
      </c>
      <c r="K468" s="4" t="str">
        <f t="shared" si="50"/>
        <v/>
      </c>
      <c r="L468" s="7" t="str">
        <f t="shared" si="51"/>
        <v/>
      </c>
      <c r="M468" s="9" t="str">
        <f t="shared" si="52"/>
        <v/>
      </c>
      <c r="N468" s="9" t="str">
        <f>IF(NOT(ISERROR(VLOOKUP(B468,Deflatores!G$42:H$64,2,FALSE))),VLOOKUP(B468,Deflatores!G$42:H$64,2,FALSE),IF(OR(ISBLANK(C468),ISBLANK(B468)),"",VLOOKUP(C468,Deflatores!G$4:H$38,2,FALSE)*J468+VLOOKUP(C468,Deflatores!G$4:I$38,3,FALSE)))</f>
        <v/>
      </c>
      <c r="O468" s="5"/>
      <c r="P468" s="5"/>
      <c r="Q468" s="6"/>
      <c r="R468" s="10"/>
      <c r="S468" s="104"/>
      <c r="T468" s="162"/>
      <c r="U468" s="10"/>
    </row>
    <row r="469" spans="1:21" ht="21.75" customHeight="1" x14ac:dyDescent="0.2">
      <c r="A469" s="102"/>
      <c r="B469" s="2"/>
      <c r="C469" s="2"/>
      <c r="D469" s="2"/>
      <c r="E469" s="5"/>
      <c r="F469" s="2"/>
      <c r="G469" s="5"/>
      <c r="H469" s="8" t="str">
        <f t="shared" si="47"/>
        <v/>
      </c>
      <c r="I469" s="7" t="str">
        <f t="shared" si="48"/>
        <v/>
      </c>
      <c r="J469" s="3" t="str">
        <f t="shared" si="49"/>
        <v/>
      </c>
      <c r="K469" s="4" t="str">
        <f t="shared" si="50"/>
        <v/>
      </c>
      <c r="L469" s="7" t="str">
        <f t="shared" si="51"/>
        <v/>
      </c>
      <c r="M469" s="9" t="str">
        <f t="shared" si="52"/>
        <v/>
      </c>
      <c r="N469" s="9" t="str">
        <f>IF(NOT(ISERROR(VLOOKUP(B469,Deflatores!G$42:H$64,2,FALSE))),VLOOKUP(B469,Deflatores!G$42:H$64,2,FALSE),IF(OR(ISBLANK(C469),ISBLANK(B469)),"",VLOOKUP(C469,Deflatores!G$4:H$38,2,FALSE)*J469+VLOOKUP(C469,Deflatores!G$4:I$38,3,FALSE)))</f>
        <v/>
      </c>
      <c r="O469" s="5"/>
      <c r="P469" s="5"/>
      <c r="Q469" s="6"/>
      <c r="R469" s="10"/>
      <c r="S469" s="104"/>
      <c r="T469" s="162"/>
      <c r="U469" s="10"/>
    </row>
    <row r="470" spans="1:21" ht="21.75" customHeight="1" x14ac:dyDescent="0.2">
      <c r="A470" s="102"/>
      <c r="B470" s="2"/>
      <c r="C470" s="2"/>
      <c r="D470" s="2"/>
      <c r="E470" s="5"/>
      <c r="F470" s="2"/>
      <c r="G470" s="5"/>
      <c r="H470" s="8" t="str">
        <f t="shared" si="47"/>
        <v/>
      </c>
      <c r="I470" s="7" t="str">
        <f t="shared" si="48"/>
        <v/>
      </c>
      <c r="J470" s="3" t="str">
        <f t="shared" si="49"/>
        <v/>
      </c>
      <c r="K470" s="4" t="str">
        <f t="shared" si="50"/>
        <v/>
      </c>
      <c r="L470" s="7" t="str">
        <f t="shared" si="51"/>
        <v/>
      </c>
      <c r="M470" s="9" t="str">
        <f t="shared" si="52"/>
        <v/>
      </c>
      <c r="N470" s="9" t="str">
        <f>IF(NOT(ISERROR(VLOOKUP(B470,Deflatores!G$42:H$64,2,FALSE))),VLOOKUP(B470,Deflatores!G$42:H$64,2,FALSE),IF(OR(ISBLANK(C470),ISBLANK(B470)),"",VLOOKUP(C470,Deflatores!G$4:H$38,2,FALSE)*J470+VLOOKUP(C470,Deflatores!G$4:I$38,3,FALSE)))</f>
        <v/>
      </c>
      <c r="O470" s="5"/>
      <c r="P470" s="5"/>
      <c r="Q470" s="6"/>
      <c r="R470" s="10"/>
      <c r="S470" s="104"/>
      <c r="T470" s="162"/>
      <c r="U470" s="10"/>
    </row>
    <row r="471" spans="1:21" ht="21.75" customHeight="1" x14ac:dyDescent="0.2">
      <c r="A471" s="102"/>
      <c r="B471" s="2"/>
      <c r="C471" s="2"/>
      <c r="D471" s="2"/>
      <c r="E471" s="5"/>
      <c r="F471" s="2"/>
      <c r="G471" s="5"/>
      <c r="H471" s="8" t="str">
        <f t="shared" si="47"/>
        <v/>
      </c>
      <c r="I471" s="7" t="str">
        <f t="shared" si="48"/>
        <v/>
      </c>
      <c r="J471" s="3" t="str">
        <f t="shared" si="49"/>
        <v/>
      </c>
      <c r="K471" s="4" t="str">
        <f t="shared" si="50"/>
        <v/>
      </c>
      <c r="L471" s="7" t="str">
        <f t="shared" si="51"/>
        <v/>
      </c>
      <c r="M471" s="9" t="str">
        <f t="shared" si="52"/>
        <v/>
      </c>
      <c r="N471" s="9" t="str">
        <f>IF(NOT(ISERROR(VLOOKUP(B471,Deflatores!G$42:H$64,2,FALSE))),VLOOKUP(B471,Deflatores!G$42:H$64,2,FALSE),IF(OR(ISBLANK(C471),ISBLANK(B471)),"",VLOOKUP(C471,Deflatores!G$4:H$38,2,FALSE)*J471+VLOOKUP(C471,Deflatores!G$4:I$38,3,FALSE)))</f>
        <v/>
      </c>
      <c r="O471" s="5"/>
      <c r="P471" s="5"/>
      <c r="Q471" s="6"/>
      <c r="R471" s="10"/>
      <c r="S471" s="104"/>
      <c r="T471" s="162"/>
      <c r="U471" s="10"/>
    </row>
    <row r="472" spans="1:21" ht="21.75" customHeight="1" x14ac:dyDescent="0.2">
      <c r="A472" s="102"/>
      <c r="B472" s="2"/>
      <c r="C472" s="2"/>
      <c r="D472" s="2"/>
      <c r="E472" s="5"/>
      <c r="F472" s="2"/>
      <c r="G472" s="5"/>
      <c r="H472" s="8" t="str">
        <f t="shared" si="47"/>
        <v/>
      </c>
      <c r="I472" s="7" t="str">
        <f t="shared" si="48"/>
        <v/>
      </c>
      <c r="J472" s="3" t="str">
        <f t="shared" si="49"/>
        <v/>
      </c>
      <c r="K472" s="4" t="str">
        <f t="shared" si="50"/>
        <v/>
      </c>
      <c r="L472" s="7" t="str">
        <f t="shared" si="51"/>
        <v/>
      </c>
      <c r="M472" s="9" t="str">
        <f t="shared" si="52"/>
        <v/>
      </c>
      <c r="N472" s="9" t="str">
        <f>IF(NOT(ISERROR(VLOOKUP(B472,Deflatores!G$42:H$64,2,FALSE))),VLOOKUP(B472,Deflatores!G$42:H$64,2,FALSE),IF(OR(ISBLANK(C472),ISBLANK(B472)),"",VLOOKUP(C472,Deflatores!G$4:H$38,2,FALSE)*J472+VLOOKUP(C472,Deflatores!G$4:I$38,3,FALSE)))</f>
        <v/>
      </c>
      <c r="O472" s="5"/>
      <c r="P472" s="5"/>
      <c r="Q472" s="6"/>
      <c r="R472" s="10"/>
      <c r="S472" s="104"/>
      <c r="T472" s="162"/>
      <c r="U472" s="10"/>
    </row>
    <row r="473" spans="1:21" ht="21.75" customHeight="1" x14ac:dyDescent="0.2">
      <c r="A473" s="102"/>
      <c r="B473" s="2"/>
      <c r="C473" s="2"/>
      <c r="D473" s="2"/>
      <c r="E473" s="5"/>
      <c r="F473" s="2"/>
      <c r="G473" s="5"/>
      <c r="H473" s="8" t="str">
        <f t="shared" si="47"/>
        <v/>
      </c>
      <c r="I473" s="7" t="str">
        <f t="shared" si="48"/>
        <v/>
      </c>
      <c r="J473" s="3" t="str">
        <f t="shared" si="49"/>
        <v/>
      </c>
      <c r="K473" s="4" t="str">
        <f t="shared" si="50"/>
        <v/>
      </c>
      <c r="L473" s="7" t="str">
        <f t="shared" si="51"/>
        <v/>
      </c>
      <c r="M473" s="9" t="str">
        <f t="shared" si="52"/>
        <v/>
      </c>
      <c r="N473" s="9" t="str">
        <f>IF(NOT(ISERROR(VLOOKUP(B473,Deflatores!G$42:H$64,2,FALSE))),VLOOKUP(B473,Deflatores!G$42:H$64,2,FALSE),IF(OR(ISBLANK(C473),ISBLANK(B473)),"",VLOOKUP(C473,Deflatores!G$4:H$38,2,FALSE)*J473+VLOOKUP(C473,Deflatores!G$4:I$38,3,FALSE)))</f>
        <v/>
      </c>
      <c r="O473" s="5"/>
      <c r="P473" s="5"/>
      <c r="Q473" s="6"/>
      <c r="R473" s="10"/>
      <c r="S473" s="104"/>
      <c r="T473" s="162"/>
      <c r="U473" s="10"/>
    </row>
    <row r="474" spans="1:21" ht="21.75" customHeight="1" x14ac:dyDescent="0.2">
      <c r="A474" s="102"/>
      <c r="B474" s="2"/>
      <c r="C474" s="2"/>
      <c r="D474" s="2"/>
      <c r="E474" s="5"/>
      <c r="F474" s="2"/>
      <c r="G474" s="5"/>
      <c r="H474" s="8" t="str">
        <f t="shared" si="47"/>
        <v/>
      </c>
      <c r="I474" s="7" t="str">
        <f t="shared" si="48"/>
        <v/>
      </c>
      <c r="J474" s="3" t="str">
        <f t="shared" si="49"/>
        <v/>
      </c>
      <c r="K474" s="4" t="str">
        <f t="shared" si="50"/>
        <v/>
      </c>
      <c r="L474" s="7" t="str">
        <f t="shared" si="51"/>
        <v/>
      </c>
      <c r="M474" s="9" t="str">
        <f t="shared" si="52"/>
        <v/>
      </c>
      <c r="N474" s="9" t="str">
        <f>IF(NOT(ISERROR(VLOOKUP(B474,Deflatores!G$42:H$64,2,FALSE))),VLOOKUP(B474,Deflatores!G$42:H$64,2,FALSE),IF(OR(ISBLANK(C474),ISBLANK(B474)),"",VLOOKUP(C474,Deflatores!G$4:H$38,2,FALSE)*J474+VLOOKUP(C474,Deflatores!G$4:I$38,3,FALSE)))</f>
        <v/>
      </c>
      <c r="O474" s="5"/>
      <c r="P474" s="5"/>
      <c r="Q474" s="6"/>
      <c r="R474" s="10"/>
      <c r="S474" s="104"/>
      <c r="T474" s="162"/>
      <c r="U474" s="10"/>
    </row>
    <row r="475" spans="1:21" ht="21.75" customHeight="1" x14ac:dyDescent="0.2">
      <c r="A475" s="102"/>
      <c r="B475" s="2"/>
      <c r="C475" s="2"/>
      <c r="D475" s="2"/>
      <c r="E475" s="5"/>
      <c r="F475" s="2"/>
      <c r="G475" s="5"/>
      <c r="H475" s="8" t="str">
        <f t="shared" si="47"/>
        <v/>
      </c>
      <c r="I475" s="7" t="str">
        <f t="shared" si="48"/>
        <v/>
      </c>
      <c r="J475" s="3" t="str">
        <f t="shared" si="49"/>
        <v/>
      </c>
      <c r="K475" s="4" t="str">
        <f t="shared" si="50"/>
        <v/>
      </c>
      <c r="L475" s="7" t="str">
        <f t="shared" si="51"/>
        <v/>
      </c>
      <c r="M475" s="9" t="str">
        <f t="shared" si="52"/>
        <v/>
      </c>
      <c r="N475" s="9" t="str">
        <f>IF(NOT(ISERROR(VLOOKUP(B475,Deflatores!G$42:H$64,2,FALSE))),VLOOKUP(B475,Deflatores!G$42:H$64,2,FALSE),IF(OR(ISBLANK(C475),ISBLANK(B475)),"",VLOOKUP(C475,Deflatores!G$4:H$38,2,FALSE)*J475+VLOOKUP(C475,Deflatores!G$4:I$38,3,FALSE)))</f>
        <v/>
      </c>
      <c r="O475" s="5"/>
      <c r="P475" s="5"/>
      <c r="Q475" s="6"/>
      <c r="R475" s="10"/>
      <c r="S475" s="104"/>
      <c r="T475" s="162"/>
      <c r="U475" s="10"/>
    </row>
    <row r="476" spans="1:21" ht="21.75" customHeight="1" x14ac:dyDescent="0.2">
      <c r="A476" s="102"/>
      <c r="B476" s="2"/>
      <c r="C476" s="2"/>
      <c r="D476" s="2"/>
      <c r="E476" s="5"/>
      <c r="F476" s="2"/>
      <c r="G476" s="5"/>
      <c r="H476" s="8" t="str">
        <f t="shared" si="47"/>
        <v/>
      </c>
      <c r="I476" s="7" t="str">
        <f t="shared" si="48"/>
        <v/>
      </c>
      <c r="J476" s="3" t="str">
        <f t="shared" si="49"/>
        <v/>
      </c>
      <c r="K476" s="4" t="str">
        <f t="shared" si="50"/>
        <v/>
      </c>
      <c r="L476" s="7" t="str">
        <f t="shared" si="51"/>
        <v/>
      </c>
      <c r="M476" s="9" t="str">
        <f t="shared" si="52"/>
        <v/>
      </c>
      <c r="N476" s="9" t="str">
        <f>IF(NOT(ISERROR(VLOOKUP(B476,Deflatores!G$42:H$64,2,FALSE))),VLOOKUP(B476,Deflatores!G$42:H$64,2,FALSE),IF(OR(ISBLANK(C476),ISBLANK(B476)),"",VLOOKUP(C476,Deflatores!G$4:H$38,2,FALSE)*J476+VLOOKUP(C476,Deflatores!G$4:I$38,3,FALSE)))</f>
        <v/>
      </c>
      <c r="O476" s="5"/>
      <c r="P476" s="5"/>
      <c r="Q476" s="6"/>
      <c r="R476" s="10"/>
      <c r="S476" s="104"/>
      <c r="T476" s="162"/>
      <c r="U476" s="10"/>
    </row>
    <row r="477" spans="1:21" ht="21.75" customHeight="1" x14ac:dyDescent="0.2">
      <c r="A477" s="102"/>
      <c r="B477" s="2"/>
      <c r="C477" s="2"/>
      <c r="D477" s="2"/>
      <c r="E477" s="5"/>
      <c r="F477" s="2"/>
      <c r="G477" s="5"/>
      <c r="H477" s="8" t="str">
        <f t="shared" si="47"/>
        <v/>
      </c>
      <c r="I477" s="7" t="str">
        <f t="shared" si="48"/>
        <v/>
      </c>
      <c r="J477" s="3" t="str">
        <f t="shared" si="49"/>
        <v/>
      </c>
      <c r="K477" s="4" t="str">
        <f t="shared" si="50"/>
        <v/>
      </c>
      <c r="L477" s="7" t="str">
        <f t="shared" si="51"/>
        <v/>
      </c>
      <c r="M477" s="9" t="str">
        <f t="shared" si="52"/>
        <v/>
      </c>
      <c r="N477" s="9" t="str">
        <f>IF(NOT(ISERROR(VLOOKUP(B477,Deflatores!G$42:H$64,2,FALSE))),VLOOKUP(B477,Deflatores!G$42:H$64,2,FALSE),IF(OR(ISBLANK(C477),ISBLANK(B477)),"",VLOOKUP(C477,Deflatores!G$4:H$38,2,FALSE)*J477+VLOOKUP(C477,Deflatores!G$4:I$38,3,FALSE)))</f>
        <v/>
      </c>
      <c r="O477" s="5"/>
      <c r="P477" s="5"/>
      <c r="Q477" s="6"/>
      <c r="R477" s="10"/>
      <c r="S477" s="104"/>
      <c r="T477" s="162"/>
      <c r="U477" s="10"/>
    </row>
    <row r="478" spans="1:21" ht="21.75" customHeight="1" x14ac:dyDescent="0.2">
      <c r="A478" s="102"/>
      <c r="B478" s="2"/>
      <c r="C478" s="2"/>
      <c r="D478" s="2"/>
      <c r="E478" s="5"/>
      <c r="F478" s="2"/>
      <c r="G478" s="5"/>
      <c r="H478" s="8" t="str">
        <f t="shared" si="47"/>
        <v/>
      </c>
      <c r="I478" s="7" t="str">
        <f t="shared" si="48"/>
        <v/>
      </c>
      <c r="J478" s="3" t="str">
        <f t="shared" si="49"/>
        <v/>
      </c>
      <c r="K478" s="4" t="str">
        <f t="shared" si="50"/>
        <v/>
      </c>
      <c r="L478" s="7" t="str">
        <f t="shared" si="51"/>
        <v/>
      </c>
      <c r="M478" s="9" t="str">
        <f t="shared" si="52"/>
        <v/>
      </c>
      <c r="N478" s="9" t="str">
        <f>IF(NOT(ISERROR(VLOOKUP(B478,Deflatores!G$42:H$64,2,FALSE))),VLOOKUP(B478,Deflatores!G$42:H$64,2,FALSE),IF(OR(ISBLANK(C478),ISBLANK(B478)),"",VLOOKUP(C478,Deflatores!G$4:H$38,2,FALSE)*J478+VLOOKUP(C478,Deflatores!G$4:I$38,3,FALSE)))</f>
        <v/>
      </c>
      <c r="O478" s="5"/>
      <c r="P478" s="5"/>
      <c r="Q478" s="6"/>
      <c r="R478" s="10"/>
      <c r="S478" s="104"/>
      <c r="T478" s="162"/>
      <c r="U478" s="10"/>
    </row>
    <row r="479" spans="1:21" ht="21.75" customHeight="1" x14ac:dyDescent="0.2">
      <c r="A479" s="102"/>
      <c r="B479" s="2"/>
      <c r="C479" s="2"/>
      <c r="D479" s="2"/>
      <c r="E479" s="5"/>
      <c r="F479" s="2"/>
      <c r="G479" s="5"/>
      <c r="H479" s="8" t="str">
        <f t="shared" si="47"/>
        <v/>
      </c>
      <c r="I479" s="7" t="str">
        <f t="shared" si="48"/>
        <v/>
      </c>
      <c r="J479" s="3" t="str">
        <f t="shared" si="49"/>
        <v/>
      </c>
      <c r="K479" s="4" t="str">
        <f t="shared" si="50"/>
        <v/>
      </c>
      <c r="L479" s="7" t="str">
        <f t="shared" si="51"/>
        <v/>
      </c>
      <c r="M479" s="9" t="str">
        <f t="shared" si="52"/>
        <v/>
      </c>
      <c r="N479" s="9" t="str">
        <f>IF(NOT(ISERROR(VLOOKUP(B479,Deflatores!G$42:H$64,2,FALSE))),VLOOKUP(B479,Deflatores!G$42:H$64,2,FALSE),IF(OR(ISBLANK(C479),ISBLANK(B479)),"",VLOOKUP(C479,Deflatores!G$4:H$38,2,FALSE)*J479+VLOOKUP(C479,Deflatores!G$4:I$38,3,FALSE)))</f>
        <v/>
      </c>
      <c r="O479" s="5"/>
      <c r="P479" s="5"/>
      <c r="Q479" s="6"/>
      <c r="R479" s="10"/>
      <c r="S479" s="104"/>
      <c r="T479" s="162"/>
      <c r="U479" s="10"/>
    </row>
    <row r="480" spans="1:21" ht="21.75" customHeight="1" x14ac:dyDescent="0.2">
      <c r="A480" s="102"/>
      <c r="B480" s="2"/>
      <c r="C480" s="2"/>
      <c r="D480" s="2"/>
      <c r="E480" s="5"/>
      <c r="F480" s="2"/>
      <c r="G480" s="5"/>
      <c r="H480" s="8" t="str">
        <f t="shared" si="47"/>
        <v/>
      </c>
      <c r="I480" s="7" t="str">
        <f t="shared" si="48"/>
        <v/>
      </c>
      <c r="J480" s="3" t="str">
        <f t="shared" si="49"/>
        <v/>
      </c>
      <c r="K480" s="4" t="str">
        <f t="shared" si="50"/>
        <v/>
      </c>
      <c r="L480" s="7" t="str">
        <f t="shared" si="51"/>
        <v/>
      </c>
      <c r="M480" s="9" t="str">
        <f t="shared" si="52"/>
        <v/>
      </c>
      <c r="N480" s="9" t="str">
        <f>IF(NOT(ISERROR(VLOOKUP(B480,Deflatores!G$42:H$64,2,FALSE))),VLOOKUP(B480,Deflatores!G$42:H$64,2,FALSE),IF(OR(ISBLANK(C480),ISBLANK(B480)),"",VLOOKUP(C480,Deflatores!G$4:H$38,2,FALSE)*J480+VLOOKUP(C480,Deflatores!G$4:I$38,3,FALSE)))</f>
        <v/>
      </c>
      <c r="O480" s="5"/>
      <c r="P480" s="5"/>
      <c r="Q480" s="6"/>
      <c r="R480" s="10"/>
      <c r="S480" s="104"/>
      <c r="T480" s="162"/>
      <c r="U480" s="10"/>
    </row>
    <row r="481" spans="1:21" ht="21.75" customHeight="1" x14ac:dyDescent="0.2">
      <c r="A481" s="102"/>
      <c r="B481" s="2"/>
      <c r="C481" s="2"/>
      <c r="D481" s="2"/>
      <c r="E481" s="5"/>
      <c r="F481" s="2"/>
      <c r="G481" s="5"/>
      <c r="H481" s="8" t="str">
        <f t="shared" si="47"/>
        <v/>
      </c>
      <c r="I481" s="7" t="str">
        <f t="shared" si="48"/>
        <v/>
      </c>
      <c r="J481" s="3" t="str">
        <f t="shared" si="49"/>
        <v/>
      </c>
      <c r="K481" s="4" t="str">
        <f t="shared" si="50"/>
        <v/>
      </c>
      <c r="L481" s="7" t="str">
        <f t="shared" si="51"/>
        <v/>
      </c>
      <c r="M481" s="9" t="str">
        <f t="shared" si="52"/>
        <v/>
      </c>
      <c r="N481" s="9" t="str">
        <f>IF(NOT(ISERROR(VLOOKUP(B481,Deflatores!G$42:H$64,2,FALSE))),VLOOKUP(B481,Deflatores!G$42:H$64,2,FALSE),IF(OR(ISBLANK(C481),ISBLANK(B481)),"",VLOOKUP(C481,Deflatores!G$4:H$38,2,FALSE)*J481+VLOOKUP(C481,Deflatores!G$4:I$38,3,FALSE)))</f>
        <v/>
      </c>
      <c r="O481" s="5"/>
      <c r="P481" s="5"/>
      <c r="Q481" s="6"/>
      <c r="R481" s="10"/>
      <c r="S481" s="104"/>
      <c r="T481" s="162"/>
      <c r="U481" s="10"/>
    </row>
    <row r="482" spans="1:21" ht="21.75" customHeight="1" x14ac:dyDescent="0.2">
      <c r="A482" s="102"/>
      <c r="B482" s="2"/>
      <c r="C482" s="2"/>
      <c r="D482" s="2"/>
      <c r="E482" s="5"/>
      <c r="F482" s="2"/>
      <c r="G482" s="5"/>
      <c r="H482" s="8" t="str">
        <f t="shared" si="47"/>
        <v/>
      </c>
      <c r="I482" s="7" t="str">
        <f t="shared" si="48"/>
        <v/>
      </c>
      <c r="J482" s="3" t="str">
        <f t="shared" si="49"/>
        <v/>
      </c>
      <c r="K482" s="4" t="str">
        <f t="shared" si="50"/>
        <v/>
      </c>
      <c r="L482" s="7" t="str">
        <f t="shared" si="51"/>
        <v/>
      </c>
      <c r="M482" s="9" t="str">
        <f t="shared" si="52"/>
        <v/>
      </c>
      <c r="N482" s="9" t="str">
        <f>IF(NOT(ISERROR(VLOOKUP(B482,Deflatores!G$42:H$64,2,FALSE))),VLOOKUP(B482,Deflatores!G$42:H$64,2,FALSE),IF(OR(ISBLANK(C482),ISBLANK(B482)),"",VLOOKUP(C482,Deflatores!G$4:H$38,2,FALSE)*J482+VLOOKUP(C482,Deflatores!G$4:I$38,3,FALSE)))</f>
        <v/>
      </c>
      <c r="O482" s="5"/>
      <c r="P482" s="5"/>
      <c r="Q482" s="6"/>
      <c r="R482" s="10"/>
      <c r="S482" s="104"/>
      <c r="T482" s="162"/>
      <c r="U482" s="10"/>
    </row>
    <row r="483" spans="1:21" ht="21.75" customHeight="1" x14ac:dyDescent="0.2">
      <c r="A483" s="102"/>
      <c r="B483" s="2"/>
      <c r="C483" s="2"/>
      <c r="D483" s="2"/>
      <c r="E483" s="5"/>
      <c r="F483" s="2"/>
      <c r="G483" s="5"/>
      <c r="H483" s="8" t="str">
        <f t="shared" si="47"/>
        <v/>
      </c>
      <c r="I483" s="7" t="str">
        <f t="shared" si="48"/>
        <v/>
      </c>
      <c r="J483" s="3" t="str">
        <f t="shared" si="49"/>
        <v/>
      </c>
      <c r="K483" s="4" t="str">
        <f t="shared" si="50"/>
        <v/>
      </c>
      <c r="L483" s="7" t="str">
        <f t="shared" si="51"/>
        <v/>
      </c>
      <c r="M483" s="9" t="str">
        <f t="shared" si="52"/>
        <v/>
      </c>
      <c r="N483" s="9" t="str">
        <f>IF(NOT(ISERROR(VLOOKUP(B483,Deflatores!G$42:H$64,2,FALSE))),VLOOKUP(B483,Deflatores!G$42:H$64,2,FALSE),IF(OR(ISBLANK(C483),ISBLANK(B483)),"",VLOOKUP(C483,Deflatores!G$4:H$38,2,FALSE)*J483+VLOOKUP(C483,Deflatores!G$4:I$38,3,FALSE)))</f>
        <v/>
      </c>
      <c r="O483" s="5"/>
      <c r="P483" s="5"/>
      <c r="Q483" s="6"/>
      <c r="R483" s="10"/>
      <c r="S483" s="104"/>
      <c r="T483" s="162"/>
      <c r="U483" s="10"/>
    </row>
    <row r="484" spans="1:21" ht="21.75" customHeight="1" x14ac:dyDescent="0.2">
      <c r="A484" s="102"/>
      <c r="B484" s="2"/>
      <c r="C484" s="2"/>
      <c r="D484" s="2"/>
      <c r="E484" s="5"/>
      <c r="F484" s="2"/>
      <c r="G484" s="5"/>
      <c r="H484" s="8" t="str">
        <f t="shared" si="47"/>
        <v/>
      </c>
      <c r="I484" s="7" t="str">
        <f t="shared" si="48"/>
        <v/>
      </c>
      <c r="J484" s="3" t="str">
        <f t="shared" si="49"/>
        <v/>
      </c>
      <c r="K484" s="4" t="str">
        <f t="shared" si="50"/>
        <v/>
      </c>
      <c r="L484" s="7" t="str">
        <f t="shared" si="51"/>
        <v/>
      </c>
      <c r="M484" s="9" t="str">
        <f t="shared" si="52"/>
        <v/>
      </c>
      <c r="N484" s="9" t="str">
        <f>IF(NOT(ISERROR(VLOOKUP(B484,Deflatores!G$42:H$64,2,FALSE))),VLOOKUP(B484,Deflatores!G$42:H$64,2,FALSE),IF(OR(ISBLANK(C484),ISBLANK(B484)),"",VLOOKUP(C484,Deflatores!G$4:H$38,2,FALSE)*J484+VLOOKUP(C484,Deflatores!G$4:I$38,3,FALSE)))</f>
        <v/>
      </c>
      <c r="O484" s="5"/>
      <c r="P484" s="5"/>
      <c r="Q484" s="6"/>
      <c r="R484" s="10"/>
      <c r="S484" s="104"/>
      <c r="T484" s="162"/>
      <c r="U484" s="10"/>
    </row>
    <row r="485" spans="1:21" ht="21.75" customHeight="1" x14ac:dyDescent="0.2">
      <c r="A485" s="102"/>
      <c r="B485" s="2"/>
      <c r="C485" s="2"/>
      <c r="D485" s="2"/>
      <c r="E485" s="5"/>
      <c r="F485" s="2"/>
      <c r="G485" s="5"/>
      <c r="H485" s="8" t="str">
        <f t="shared" si="47"/>
        <v/>
      </c>
      <c r="I485" s="7" t="str">
        <f t="shared" si="48"/>
        <v/>
      </c>
      <c r="J485" s="3" t="str">
        <f t="shared" si="49"/>
        <v/>
      </c>
      <c r="K485" s="4" t="str">
        <f t="shared" si="50"/>
        <v/>
      </c>
      <c r="L485" s="7" t="str">
        <f t="shared" si="51"/>
        <v/>
      </c>
      <c r="M485" s="9" t="str">
        <f t="shared" si="52"/>
        <v/>
      </c>
      <c r="N485" s="9" t="str">
        <f>IF(NOT(ISERROR(VLOOKUP(B485,Deflatores!G$42:H$64,2,FALSE))),VLOOKUP(B485,Deflatores!G$42:H$64,2,FALSE),IF(OR(ISBLANK(C485),ISBLANK(B485)),"",VLOOKUP(C485,Deflatores!G$4:H$38,2,FALSE)*J485+VLOOKUP(C485,Deflatores!G$4:I$38,3,FALSE)))</f>
        <v/>
      </c>
      <c r="O485" s="5"/>
      <c r="P485" s="5"/>
      <c r="Q485" s="6"/>
      <c r="R485" s="10"/>
      <c r="S485" s="104"/>
      <c r="T485" s="162"/>
      <c r="U485" s="10"/>
    </row>
    <row r="486" spans="1:21" ht="21.75" customHeight="1" x14ac:dyDescent="0.2">
      <c r="A486" s="102"/>
      <c r="B486" s="2"/>
      <c r="C486" s="2"/>
      <c r="D486" s="2"/>
      <c r="E486" s="5"/>
      <c r="F486" s="2"/>
      <c r="G486" s="5"/>
      <c r="H486" s="8" t="str">
        <f t="shared" si="47"/>
        <v/>
      </c>
      <c r="I486" s="7" t="str">
        <f t="shared" si="48"/>
        <v/>
      </c>
      <c r="J486" s="3" t="str">
        <f t="shared" si="49"/>
        <v/>
      </c>
      <c r="K486" s="4" t="str">
        <f t="shared" si="50"/>
        <v/>
      </c>
      <c r="L486" s="7" t="str">
        <f t="shared" si="51"/>
        <v/>
      </c>
      <c r="M486" s="9" t="str">
        <f t="shared" si="52"/>
        <v/>
      </c>
      <c r="N486" s="9" t="str">
        <f>IF(NOT(ISERROR(VLOOKUP(B486,Deflatores!G$42:H$64,2,FALSE))),VLOOKUP(B486,Deflatores!G$42:H$64,2,FALSE),IF(OR(ISBLANK(C486),ISBLANK(B486)),"",VLOOKUP(C486,Deflatores!G$4:H$38,2,FALSE)*J486+VLOOKUP(C486,Deflatores!G$4:I$38,3,FALSE)))</f>
        <v/>
      </c>
      <c r="O486" s="5"/>
      <c r="P486" s="5"/>
      <c r="Q486" s="6"/>
      <c r="R486" s="10"/>
      <c r="S486" s="104"/>
      <c r="T486" s="162"/>
      <c r="U486" s="10"/>
    </row>
    <row r="487" spans="1:21" ht="21.75" customHeight="1" x14ac:dyDescent="0.2">
      <c r="A487" s="102"/>
      <c r="B487" s="2"/>
      <c r="C487" s="2"/>
      <c r="D487" s="2"/>
      <c r="E487" s="5"/>
      <c r="F487" s="2"/>
      <c r="G487" s="5"/>
      <c r="H487" s="8" t="str">
        <f t="shared" si="47"/>
        <v/>
      </c>
      <c r="I487" s="7" t="str">
        <f t="shared" si="48"/>
        <v/>
      </c>
      <c r="J487" s="3" t="str">
        <f t="shared" si="49"/>
        <v/>
      </c>
      <c r="K487" s="4" t="str">
        <f t="shared" si="50"/>
        <v/>
      </c>
      <c r="L487" s="7" t="str">
        <f t="shared" si="51"/>
        <v/>
      </c>
      <c r="M487" s="9" t="str">
        <f t="shared" si="52"/>
        <v/>
      </c>
      <c r="N487" s="9" t="str">
        <f>IF(NOT(ISERROR(VLOOKUP(B487,Deflatores!G$42:H$64,2,FALSE))),VLOOKUP(B487,Deflatores!G$42:H$64,2,FALSE),IF(OR(ISBLANK(C487),ISBLANK(B487)),"",VLOOKUP(C487,Deflatores!G$4:H$38,2,FALSE)*J487+VLOOKUP(C487,Deflatores!G$4:I$38,3,FALSE)))</f>
        <v/>
      </c>
      <c r="O487" s="5"/>
      <c r="P487" s="5"/>
      <c r="Q487" s="6"/>
      <c r="R487" s="10"/>
      <c r="S487" s="104"/>
      <c r="T487" s="162"/>
      <c r="U487" s="10"/>
    </row>
    <row r="488" spans="1:21" ht="21.75" customHeight="1" x14ac:dyDescent="0.2">
      <c r="A488" s="102"/>
      <c r="B488" s="2"/>
      <c r="C488" s="2"/>
      <c r="D488" s="2"/>
      <c r="E488" s="5"/>
      <c r="F488" s="2"/>
      <c r="G488" s="5"/>
      <c r="H488" s="8" t="str">
        <f t="shared" si="47"/>
        <v/>
      </c>
      <c r="I488" s="7" t="str">
        <f t="shared" si="48"/>
        <v/>
      </c>
      <c r="J488" s="3" t="str">
        <f t="shared" si="49"/>
        <v/>
      </c>
      <c r="K488" s="4" t="str">
        <f t="shared" si="50"/>
        <v/>
      </c>
      <c r="L488" s="7" t="str">
        <f t="shared" si="51"/>
        <v/>
      </c>
      <c r="M488" s="9" t="str">
        <f t="shared" si="52"/>
        <v/>
      </c>
      <c r="N488" s="9" t="str">
        <f>IF(NOT(ISERROR(VLOOKUP(B488,Deflatores!G$42:H$64,2,FALSE))),VLOOKUP(B488,Deflatores!G$42:H$64,2,FALSE),IF(OR(ISBLANK(C488),ISBLANK(B488)),"",VLOOKUP(C488,Deflatores!G$4:H$38,2,FALSE)*J488+VLOOKUP(C488,Deflatores!G$4:I$38,3,FALSE)))</f>
        <v/>
      </c>
      <c r="O488" s="5"/>
      <c r="P488" s="5"/>
      <c r="Q488" s="6"/>
      <c r="R488" s="10"/>
      <c r="S488" s="104"/>
      <c r="T488" s="162"/>
      <c r="U488" s="10"/>
    </row>
    <row r="489" spans="1:21" ht="21.75" customHeight="1" x14ac:dyDescent="0.2">
      <c r="A489" s="102"/>
      <c r="B489" s="2"/>
      <c r="C489" s="2"/>
      <c r="D489" s="2"/>
      <c r="E489" s="5"/>
      <c r="F489" s="2"/>
      <c r="G489" s="5"/>
      <c r="H489" s="8" t="str">
        <f t="shared" si="47"/>
        <v/>
      </c>
      <c r="I489" s="7" t="str">
        <f t="shared" si="48"/>
        <v/>
      </c>
      <c r="J489" s="3" t="str">
        <f t="shared" si="49"/>
        <v/>
      </c>
      <c r="K489" s="4" t="str">
        <f t="shared" si="50"/>
        <v/>
      </c>
      <c r="L489" s="7" t="str">
        <f t="shared" si="51"/>
        <v/>
      </c>
      <c r="M489" s="9" t="str">
        <f t="shared" si="52"/>
        <v/>
      </c>
      <c r="N489" s="9" t="str">
        <f>IF(NOT(ISERROR(VLOOKUP(B489,Deflatores!G$42:H$64,2,FALSE))),VLOOKUP(B489,Deflatores!G$42:H$64,2,FALSE),IF(OR(ISBLANK(C489),ISBLANK(B489)),"",VLOOKUP(C489,Deflatores!G$4:H$38,2,FALSE)*J489+VLOOKUP(C489,Deflatores!G$4:I$38,3,FALSE)))</f>
        <v/>
      </c>
      <c r="O489" s="5"/>
      <c r="P489" s="5"/>
      <c r="Q489" s="6"/>
      <c r="R489" s="10"/>
      <c r="S489" s="104"/>
      <c r="T489" s="162"/>
      <c r="U489" s="10"/>
    </row>
    <row r="490" spans="1:21" ht="21.75" customHeight="1" x14ac:dyDescent="0.2">
      <c r="A490" s="102"/>
      <c r="B490" s="2"/>
      <c r="C490" s="2"/>
      <c r="D490" s="2"/>
      <c r="E490" s="5"/>
      <c r="F490" s="2"/>
      <c r="G490" s="5"/>
      <c r="H490" s="8" t="str">
        <f t="shared" si="47"/>
        <v/>
      </c>
      <c r="I490" s="7" t="str">
        <f t="shared" si="48"/>
        <v/>
      </c>
      <c r="J490" s="3" t="str">
        <f t="shared" si="49"/>
        <v/>
      </c>
      <c r="K490" s="4" t="str">
        <f t="shared" si="50"/>
        <v/>
      </c>
      <c r="L490" s="7" t="str">
        <f t="shared" si="51"/>
        <v/>
      </c>
      <c r="M490" s="9" t="str">
        <f t="shared" si="52"/>
        <v/>
      </c>
      <c r="N490" s="9" t="str">
        <f>IF(NOT(ISERROR(VLOOKUP(B490,Deflatores!G$42:H$64,2,FALSE))),VLOOKUP(B490,Deflatores!G$42:H$64,2,FALSE),IF(OR(ISBLANK(C490),ISBLANK(B490)),"",VLOOKUP(C490,Deflatores!G$4:H$38,2,FALSE)*J490+VLOOKUP(C490,Deflatores!G$4:I$38,3,FALSE)))</f>
        <v/>
      </c>
      <c r="O490" s="5"/>
      <c r="P490" s="5"/>
      <c r="Q490" s="6"/>
      <c r="R490" s="10"/>
      <c r="S490" s="104"/>
      <c r="T490" s="162"/>
      <c r="U490" s="10"/>
    </row>
    <row r="491" spans="1:21" ht="21.75" customHeight="1" x14ac:dyDescent="0.2">
      <c r="A491" s="102"/>
      <c r="B491" s="2"/>
      <c r="C491" s="2"/>
      <c r="D491" s="2"/>
      <c r="E491" s="5"/>
      <c r="F491" s="2"/>
      <c r="G491" s="5"/>
      <c r="H491" s="8" t="str">
        <f t="shared" si="47"/>
        <v/>
      </c>
      <c r="I491" s="7" t="str">
        <f t="shared" si="48"/>
        <v/>
      </c>
      <c r="J491" s="3" t="str">
        <f t="shared" si="49"/>
        <v/>
      </c>
      <c r="K491" s="4" t="str">
        <f t="shared" si="50"/>
        <v/>
      </c>
      <c r="L491" s="7" t="str">
        <f t="shared" si="51"/>
        <v/>
      </c>
      <c r="M491" s="9" t="str">
        <f t="shared" si="52"/>
        <v/>
      </c>
      <c r="N491" s="9" t="str">
        <f>IF(NOT(ISERROR(VLOOKUP(B491,Deflatores!G$42:H$64,2,FALSE))),VLOOKUP(B491,Deflatores!G$42:H$64,2,FALSE),IF(OR(ISBLANK(C491),ISBLANK(B491)),"",VLOOKUP(C491,Deflatores!G$4:H$38,2,FALSE)*J491+VLOOKUP(C491,Deflatores!G$4:I$38,3,FALSE)))</f>
        <v/>
      </c>
      <c r="O491" s="5"/>
      <c r="P491" s="5"/>
      <c r="Q491" s="6"/>
      <c r="R491" s="10"/>
      <c r="S491" s="104"/>
      <c r="T491" s="162"/>
      <c r="U491" s="10"/>
    </row>
    <row r="492" spans="1:21" ht="21.75" customHeight="1" x14ac:dyDescent="0.2">
      <c r="A492" s="102"/>
      <c r="B492" s="2"/>
      <c r="C492" s="2"/>
      <c r="D492" s="2"/>
      <c r="E492" s="5"/>
      <c r="F492" s="2"/>
      <c r="G492" s="5"/>
      <c r="H492" s="8" t="str">
        <f t="shared" si="47"/>
        <v/>
      </c>
      <c r="I492" s="7" t="str">
        <f t="shared" si="48"/>
        <v/>
      </c>
      <c r="J492" s="3" t="str">
        <f t="shared" si="49"/>
        <v/>
      </c>
      <c r="K492" s="4" t="str">
        <f t="shared" si="50"/>
        <v/>
      </c>
      <c r="L492" s="7" t="str">
        <f t="shared" si="51"/>
        <v/>
      </c>
      <c r="M492" s="9" t="str">
        <f t="shared" si="52"/>
        <v/>
      </c>
      <c r="N492" s="9" t="str">
        <f>IF(NOT(ISERROR(VLOOKUP(B492,Deflatores!G$42:H$64,2,FALSE))),VLOOKUP(B492,Deflatores!G$42:H$64,2,FALSE),IF(OR(ISBLANK(C492),ISBLANK(B492)),"",VLOOKUP(C492,Deflatores!G$4:H$38,2,FALSE)*J492+VLOOKUP(C492,Deflatores!G$4:I$38,3,FALSE)))</f>
        <v/>
      </c>
      <c r="O492" s="5"/>
      <c r="P492" s="5"/>
      <c r="Q492" s="6"/>
      <c r="R492" s="10"/>
      <c r="S492" s="104"/>
      <c r="T492" s="162"/>
      <c r="U492" s="10"/>
    </row>
    <row r="493" spans="1:21" ht="21.75" customHeight="1" x14ac:dyDescent="0.2">
      <c r="A493" s="102"/>
      <c r="B493" s="2"/>
      <c r="C493" s="2"/>
      <c r="D493" s="2"/>
      <c r="E493" s="5"/>
      <c r="F493" s="2"/>
      <c r="G493" s="5"/>
      <c r="H493" s="8" t="str">
        <f t="shared" si="47"/>
        <v/>
      </c>
      <c r="I493" s="7" t="str">
        <f t="shared" si="48"/>
        <v/>
      </c>
      <c r="J493" s="3" t="str">
        <f t="shared" si="49"/>
        <v/>
      </c>
      <c r="K493" s="4" t="str">
        <f t="shared" si="50"/>
        <v/>
      </c>
      <c r="L493" s="7" t="str">
        <f t="shared" si="51"/>
        <v/>
      </c>
      <c r="M493" s="9" t="str">
        <f t="shared" si="52"/>
        <v/>
      </c>
      <c r="N493" s="9" t="str">
        <f>IF(NOT(ISERROR(VLOOKUP(B493,Deflatores!G$42:H$64,2,FALSE))),VLOOKUP(B493,Deflatores!G$42:H$64,2,FALSE),IF(OR(ISBLANK(C493),ISBLANK(B493)),"",VLOOKUP(C493,Deflatores!G$4:H$38,2,FALSE)*J493+VLOOKUP(C493,Deflatores!G$4:I$38,3,FALSE)))</f>
        <v/>
      </c>
      <c r="O493" s="5"/>
      <c r="P493" s="5"/>
      <c r="Q493" s="6"/>
      <c r="R493" s="10"/>
      <c r="S493" s="104"/>
      <c r="T493" s="162"/>
      <c r="U493" s="10"/>
    </row>
    <row r="494" spans="1:21" ht="21.75" customHeight="1" x14ac:dyDescent="0.2">
      <c r="A494" s="102"/>
      <c r="B494" s="2"/>
      <c r="C494" s="2"/>
      <c r="D494" s="2"/>
      <c r="E494" s="5"/>
      <c r="F494" s="2"/>
      <c r="G494" s="5"/>
      <c r="H494" s="8" t="str">
        <f t="shared" si="47"/>
        <v/>
      </c>
      <c r="I494" s="7" t="str">
        <f t="shared" si="48"/>
        <v/>
      </c>
      <c r="J494" s="3" t="str">
        <f t="shared" si="49"/>
        <v/>
      </c>
      <c r="K494" s="4" t="str">
        <f t="shared" si="50"/>
        <v/>
      </c>
      <c r="L494" s="7" t="str">
        <f t="shared" si="51"/>
        <v/>
      </c>
      <c r="M494" s="9" t="str">
        <f t="shared" si="52"/>
        <v/>
      </c>
      <c r="N494" s="9" t="str">
        <f>IF(NOT(ISERROR(VLOOKUP(B494,Deflatores!G$42:H$64,2,FALSE))),VLOOKUP(B494,Deflatores!G$42:H$64,2,FALSE),IF(OR(ISBLANK(C494),ISBLANK(B494)),"",VLOOKUP(C494,Deflatores!G$4:H$38,2,FALSE)*J494+VLOOKUP(C494,Deflatores!G$4:I$38,3,FALSE)))</f>
        <v/>
      </c>
      <c r="O494" s="5"/>
      <c r="P494" s="5"/>
      <c r="Q494" s="6"/>
      <c r="R494" s="10"/>
      <c r="S494" s="104"/>
      <c r="T494" s="162"/>
      <c r="U494" s="10"/>
    </row>
    <row r="495" spans="1:21" ht="21.75" customHeight="1" x14ac:dyDescent="0.2">
      <c r="A495" s="102"/>
      <c r="B495" s="2"/>
      <c r="C495" s="2"/>
      <c r="D495" s="2"/>
      <c r="E495" s="5"/>
      <c r="F495" s="2"/>
      <c r="G495" s="5"/>
      <c r="H495" s="8" t="str">
        <f t="shared" si="47"/>
        <v/>
      </c>
      <c r="I495" s="7" t="str">
        <f t="shared" si="48"/>
        <v/>
      </c>
      <c r="J495" s="3" t="str">
        <f t="shared" si="49"/>
        <v/>
      </c>
      <c r="K495" s="4" t="str">
        <f t="shared" si="50"/>
        <v/>
      </c>
      <c r="L495" s="7" t="str">
        <f t="shared" si="51"/>
        <v/>
      </c>
      <c r="M495" s="9" t="str">
        <f t="shared" si="52"/>
        <v/>
      </c>
      <c r="N495" s="9" t="str">
        <f>IF(NOT(ISERROR(VLOOKUP(B495,Deflatores!G$42:H$64,2,FALSE))),VLOOKUP(B495,Deflatores!G$42:H$64,2,FALSE),IF(OR(ISBLANK(C495),ISBLANK(B495)),"",VLOOKUP(C495,Deflatores!G$4:H$38,2,FALSE)*J495+VLOOKUP(C495,Deflatores!G$4:I$38,3,FALSE)))</f>
        <v/>
      </c>
      <c r="O495" s="5"/>
      <c r="P495" s="5"/>
      <c r="Q495" s="6"/>
      <c r="R495" s="10"/>
      <c r="S495" s="104"/>
      <c r="T495" s="162"/>
      <c r="U495" s="10"/>
    </row>
    <row r="496" spans="1:21" ht="21.75" customHeight="1" x14ac:dyDescent="0.2">
      <c r="A496" s="102"/>
      <c r="B496" s="2"/>
      <c r="C496" s="2"/>
      <c r="D496" s="2"/>
      <c r="E496" s="5"/>
      <c r="F496" s="2"/>
      <c r="G496" s="5"/>
      <c r="H496" s="8" t="str">
        <f t="shared" si="47"/>
        <v/>
      </c>
      <c r="I496" s="7" t="str">
        <f t="shared" si="48"/>
        <v/>
      </c>
      <c r="J496" s="3" t="str">
        <f t="shared" si="49"/>
        <v/>
      </c>
      <c r="K496" s="4" t="str">
        <f t="shared" si="50"/>
        <v/>
      </c>
      <c r="L496" s="7" t="str">
        <f t="shared" si="51"/>
        <v/>
      </c>
      <c r="M496" s="9" t="str">
        <f t="shared" si="52"/>
        <v/>
      </c>
      <c r="N496" s="9" t="str">
        <f>IF(NOT(ISERROR(VLOOKUP(B496,Deflatores!G$42:H$64,2,FALSE))),VLOOKUP(B496,Deflatores!G$42:H$64,2,FALSE),IF(OR(ISBLANK(C496),ISBLANK(B496)),"",VLOOKUP(C496,Deflatores!G$4:H$38,2,FALSE)*J496+VLOOKUP(C496,Deflatores!G$4:I$38,3,FALSE)))</f>
        <v/>
      </c>
      <c r="O496" s="5"/>
      <c r="P496" s="5"/>
      <c r="Q496" s="6"/>
      <c r="R496" s="10"/>
      <c r="S496" s="104"/>
      <c r="T496" s="162"/>
      <c r="U496" s="10"/>
    </row>
    <row r="497" spans="1:21" ht="21.75" customHeight="1" x14ac:dyDescent="0.2">
      <c r="A497" s="102"/>
      <c r="B497" s="2"/>
      <c r="C497" s="2"/>
      <c r="D497" s="2"/>
      <c r="E497" s="5"/>
      <c r="F497" s="2"/>
      <c r="G497" s="5"/>
      <c r="H497" s="8" t="str">
        <f t="shared" si="47"/>
        <v/>
      </c>
      <c r="I497" s="7" t="str">
        <f t="shared" si="48"/>
        <v/>
      </c>
      <c r="J497" s="3" t="str">
        <f t="shared" si="49"/>
        <v/>
      </c>
      <c r="K497" s="4" t="str">
        <f t="shared" si="50"/>
        <v/>
      </c>
      <c r="L497" s="7" t="str">
        <f t="shared" si="51"/>
        <v/>
      </c>
      <c r="M497" s="9" t="str">
        <f t="shared" si="52"/>
        <v/>
      </c>
      <c r="N497" s="9" t="str">
        <f>IF(NOT(ISERROR(VLOOKUP(B497,Deflatores!G$42:H$64,2,FALSE))),VLOOKUP(B497,Deflatores!G$42:H$64,2,FALSE),IF(OR(ISBLANK(C497),ISBLANK(B497)),"",VLOOKUP(C497,Deflatores!G$4:H$38,2,FALSE)*J497+VLOOKUP(C497,Deflatores!G$4:I$38,3,FALSE)))</f>
        <v/>
      </c>
      <c r="O497" s="5"/>
      <c r="P497" s="5"/>
      <c r="Q497" s="6"/>
      <c r="R497" s="10"/>
      <c r="S497" s="104"/>
      <c r="T497" s="162"/>
      <c r="U497" s="10"/>
    </row>
    <row r="498" spans="1:21" ht="21.75" customHeight="1" x14ac:dyDescent="0.2">
      <c r="A498" s="102"/>
      <c r="B498" s="2"/>
      <c r="C498" s="2"/>
      <c r="D498" s="2"/>
      <c r="E498" s="5"/>
      <c r="F498" s="2"/>
      <c r="G498" s="5"/>
      <c r="H498" s="8" t="str">
        <f t="shared" si="47"/>
        <v/>
      </c>
      <c r="I498" s="7" t="str">
        <f t="shared" si="48"/>
        <v/>
      </c>
      <c r="J498" s="3" t="str">
        <f t="shared" si="49"/>
        <v/>
      </c>
      <c r="K498" s="4" t="str">
        <f t="shared" si="50"/>
        <v/>
      </c>
      <c r="L498" s="7" t="str">
        <f t="shared" si="51"/>
        <v/>
      </c>
      <c r="M498" s="9" t="str">
        <f t="shared" si="52"/>
        <v/>
      </c>
      <c r="N498" s="9" t="str">
        <f>IF(NOT(ISERROR(VLOOKUP(B498,Deflatores!G$42:H$64,2,FALSE))),VLOOKUP(B498,Deflatores!G$42:H$64,2,FALSE),IF(OR(ISBLANK(C498),ISBLANK(B498)),"",VLOOKUP(C498,Deflatores!G$4:H$38,2,FALSE)*J498+VLOOKUP(C498,Deflatores!G$4:I$38,3,FALSE)))</f>
        <v/>
      </c>
      <c r="O498" s="5"/>
      <c r="P498" s="5"/>
      <c r="Q498" s="6"/>
      <c r="R498" s="10"/>
      <c r="S498" s="104"/>
      <c r="T498" s="162"/>
      <c r="U498" s="10"/>
    </row>
    <row r="499" spans="1:21" ht="21.75" customHeight="1" x14ac:dyDescent="0.2">
      <c r="A499" s="102"/>
      <c r="B499" s="2"/>
      <c r="C499" s="2"/>
      <c r="D499" s="2"/>
      <c r="E499" s="5"/>
      <c r="F499" s="2"/>
      <c r="G499" s="5"/>
      <c r="H499" s="8" t="str">
        <f t="shared" si="47"/>
        <v/>
      </c>
      <c r="I499" s="7" t="str">
        <f t="shared" si="48"/>
        <v/>
      </c>
      <c r="J499" s="3" t="str">
        <f t="shared" si="49"/>
        <v/>
      </c>
      <c r="K499" s="4" t="str">
        <f t="shared" si="50"/>
        <v/>
      </c>
      <c r="L499" s="7" t="str">
        <f t="shared" si="51"/>
        <v/>
      </c>
      <c r="M499" s="9" t="str">
        <f t="shared" si="52"/>
        <v/>
      </c>
      <c r="N499" s="9" t="str">
        <f>IF(NOT(ISERROR(VLOOKUP(B499,Deflatores!G$42:H$64,2,FALSE))),VLOOKUP(B499,Deflatores!G$42:H$64,2,FALSE),IF(OR(ISBLANK(C499),ISBLANK(B499)),"",VLOOKUP(C499,Deflatores!G$4:H$38,2,FALSE)*J499+VLOOKUP(C499,Deflatores!G$4:I$38,3,FALSE)))</f>
        <v/>
      </c>
      <c r="O499" s="5"/>
      <c r="P499" s="5"/>
      <c r="Q499" s="6"/>
      <c r="R499" s="10"/>
      <c r="S499" s="104"/>
      <c r="T499" s="162"/>
      <c r="U499" s="10"/>
    </row>
    <row r="500" spans="1:21" ht="21.75" customHeight="1" x14ac:dyDescent="0.2">
      <c r="A500" s="102"/>
      <c r="B500" s="2"/>
      <c r="C500" s="2"/>
      <c r="D500" s="2"/>
      <c r="E500" s="5"/>
      <c r="F500" s="2"/>
      <c r="G500" s="5"/>
      <c r="H500" s="8" t="str">
        <f t="shared" si="47"/>
        <v/>
      </c>
      <c r="I500" s="7" t="str">
        <f t="shared" si="48"/>
        <v/>
      </c>
      <c r="J500" s="3" t="str">
        <f t="shared" si="49"/>
        <v/>
      </c>
      <c r="K500" s="4" t="str">
        <f t="shared" si="50"/>
        <v/>
      </c>
      <c r="L500" s="7" t="str">
        <f t="shared" si="51"/>
        <v/>
      </c>
      <c r="M500" s="9" t="str">
        <f t="shared" si="52"/>
        <v/>
      </c>
      <c r="N500" s="9" t="str">
        <f>IF(NOT(ISERROR(VLOOKUP(B500,Deflatores!G$42:H$64,2,FALSE))),VLOOKUP(B500,Deflatores!G$42:H$64,2,FALSE),IF(OR(ISBLANK(C500),ISBLANK(B500)),"",VLOOKUP(C500,Deflatores!G$4:H$38,2,FALSE)*J500+VLOOKUP(C500,Deflatores!G$4:I$38,3,FALSE)))</f>
        <v/>
      </c>
      <c r="O500" s="5"/>
      <c r="P500" s="5"/>
      <c r="Q500" s="6"/>
      <c r="R500" s="10"/>
      <c r="S500" s="104"/>
      <c r="T500" s="162"/>
      <c r="U500" s="10"/>
    </row>
    <row r="501" spans="1:21" ht="21.75" customHeight="1" x14ac:dyDescent="0.2">
      <c r="A501" s="102"/>
      <c r="B501" s="2"/>
      <c r="C501" s="2"/>
      <c r="D501" s="2"/>
      <c r="E501" s="5"/>
      <c r="F501" s="2"/>
      <c r="G501" s="5"/>
      <c r="H501" s="8" t="str">
        <f t="shared" si="47"/>
        <v/>
      </c>
      <c r="I501" s="7" t="str">
        <f t="shared" si="48"/>
        <v/>
      </c>
      <c r="J501" s="3" t="str">
        <f t="shared" si="49"/>
        <v/>
      </c>
      <c r="K501" s="4" t="str">
        <f t="shared" si="50"/>
        <v/>
      </c>
      <c r="L501" s="7" t="str">
        <f t="shared" si="51"/>
        <v/>
      </c>
      <c r="M501" s="9" t="str">
        <f t="shared" si="52"/>
        <v/>
      </c>
      <c r="N501" s="9" t="str">
        <f>IF(NOT(ISERROR(VLOOKUP(B501,Deflatores!G$42:H$64,2,FALSE))),VLOOKUP(B501,Deflatores!G$42:H$64,2,FALSE),IF(OR(ISBLANK(C501),ISBLANK(B501)),"",VLOOKUP(C501,Deflatores!G$4:H$38,2,FALSE)*J501+VLOOKUP(C501,Deflatores!G$4:I$38,3,FALSE)))</f>
        <v/>
      </c>
      <c r="O501" s="5"/>
      <c r="P501" s="5"/>
      <c r="Q501" s="6"/>
      <c r="R501" s="10"/>
      <c r="S501" s="104"/>
      <c r="T501" s="162"/>
      <c r="U501" s="10"/>
    </row>
    <row r="502" spans="1:21" ht="21.75" customHeight="1" x14ac:dyDescent="0.2">
      <c r="A502" s="102"/>
      <c r="B502" s="2"/>
      <c r="C502" s="2"/>
      <c r="D502" s="2"/>
      <c r="E502" s="5"/>
      <c r="F502" s="2"/>
      <c r="G502" s="5"/>
      <c r="H502" s="8" t="str">
        <f t="shared" si="47"/>
        <v/>
      </c>
      <c r="I502" s="7" t="str">
        <f t="shared" si="48"/>
        <v/>
      </c>
      <c r="J502" s="3" t="str">
        <f t="shared" si="49"/>
        <v/>
      </c>
      <c r="K502" s="4" t="str">
        <f t="shared" si="50"/>
        <v/>
      </c>
      <c r="L502" s="7" t="str">
        <f t="shared" si="51"/>
        <v/>
      </c>
      <c r="M502" s="9" t="str">
        <f t="shared" si="52"/>
        <v/>
      </c>
      <c r="N502" s="9" t="str">
        <f>IF(NOT(ISERROR(VLOOKUP(B502,Deflatores!G$42:H$64,2,FALSE))),VLOOKUP(B502,Deflatores!G$42:H$64,2,FALSE),IF(OR(ISBLANK(C502),ISBLANK(B502)),"",VLOOKUP(C502,Deflatores!G$4:H$38,2,FALSE)*J502+VLOOKUP(C502,Deflatores!G$4:I$38,3,FALSE)))</f>
        <v/>
      </c>
      <c r="O502" s="5"/>
      <c r="P502" s="5"/>
      <c r="Q502" s="6"/>
      <c r="R502" s="10"/>
      <c r="S502" s="104"/>
      <c r="T502" s="162"/>
      <c r="U502" s="10"/>
    </row>
    <row r="503" spans="1:21" ht="21.75" customHeight="1" x14ac:dyDescent="0.2">
      <c r="A503" s="102"/>
      <c r="B503" s="2"/>
      <c r="C503" s="2"/>
      <c r="D503" s="2"/>
      <c r="E503" s="5"/>
      <c r="F503" s="2"/>
      <c r="G503" s="5"/>
      <c r="H503" s="8" t="str">
        <f t="shared" si="47"/>
        <v/>
      </c>
      <c r="I503" s="7" t="str">
        <f t="shared" si="48"/>
        <v/>
      </c>
      <c r="J503" s="3" t="str">
        <f t="shared" si="49"/>
        <v/>
      </c>
      <c r="K503" s="4" t="str">
        <f t="shared" si="50"/>
        <v/>
      </c>
      <c r="L503" s="7" t="str">
        <f t="shared" si="51"/>
        <v/>
      </c>
      <c r="M503" s="9" t="str">
        <f t="shared" si="52"/>
        <v/>
      </c>
      <c r="N503" s="9" t="str">
        <f>IF(NOT(ISERROR(VLOOKUP(B503,Deflatores!G$42:H$64,2,FALSE))),VLOOKUP(B503,Deflatores!G$42:H$64,2,FALSE),IF(OR(ISBLANK(C503),ISBLANK(B503)),"",VLOOKUP(C503,Deflatores!G$4:H$38,2,FALSE)*J503+VLOOKUP(C503,Deflatores!G$4:I$38,3,FALSE)))</f>
        <v/>
      </c>
      <c r="O503" s="5"/>
      <c r="P503" s="5"/>
      <c r="Q503" s="6"/>
      <c r="R503" s="10"/>
      <c r="S503" s="104"/>
      <c r="T503" s="162"/>
      <c r="U503" s="10"/>
    </row>
    <row r="504" spans="1:21" ht="21.75" customHeight="1" x14ac:dyDescent="0.2">
      <c r="A504" s="102"/>
      <c r="B504" s="2"/>
      <c r="C504" s="2"/>
      <c r="D504" s="2"/>
      <c r="E504" s="5"/>
      <c r="F504" s="2"/>
      <c r="G504" s="5"/>
      <c r="H504" s="8" t="str">
        <f t="shared" si="47"/>
        <v/>
      </c>
      <c r="I504" s="7" t="str">
        <f t="shared" si="48"/>
        <v/>
      </c>
      <c r="J504" s="3" t="str">
        <f t="shared" si="49"/>
        <v/>
      </c>
      <c r="K504" s="4" t="str">
        <f t="shared" si="50"/>
        <v/>
      </c>
      <c r="L504" s="7" t="str">
        <f t="shared" si="51"/>
        <v/>
      </c>
      <c r="M504" s="9" t="str">
        <f t="shared" si="52"/>
        <v/>
      </c>
      <c r="N504" s="9" t="str">
        <f>IF(NOT(ISERROR(VLOOKUP(B504,Deflatores!G$42:H$64,2,FALSE))),VLOOKUP(B504,Deflatores!G$42:H$64,2,FALSE),IF(OR(ISBLANK(C504),ISBLANK(B504)),"",VLOOKUP(C504,Deflatores!G$4:H$38,2,FALSE)*J504+VLOOKUP(C504,Deflatores!G$4:I$38,3,FALSE)))</f>
        <v/>
      </c>
      <c r="O504" s="5"/>
      <c r="P504" s="5"/>
      <c r="Q504" s="6"/>
      <c r="R504" s="10"/>
      <c r="S504" s="104"/>
      <c r="T504" s="162"/>
      <c r="U504" s="10"/>
    </row>
    <row r="505" spans="1:21" ht="21.75" customHeight="1" x14ac:dyDescent="0.2">
      <c r="A505" s="102"/>
      <c r="B505" s="2"/>
      <c r="C505" s="2"/>
      <c r="D505" s="2"/>
      <c r="E505" s="5"/>
      <c r="F505" s="2"/>
      <c r="G505" s="5"/>
      <c r="H505" s="8" t="str">
        <f t="shared" si="47"/>
        <v/>
      </c>
      <c r="I505" s="7" t="str">
        <f t="shared" si="48"/>
        <v/>
      </c>
      <c r="J505" s="3" t="str">
        <f t="shared" si="49"/>
        <v/>
      </c>
      <c r="K505" s="4" t="str">
        <f t="shared" si="50"/>
        <v/>
      </c>
      <c r="L505" s="7" t="str">
        <f t="shared" si="51"/>
        <v/>
      </c>
      <c r="M505" s="9" t="str">
        <f t="shared" si="52"/>
        <v/>
      </c>
      <c r="N505" s="9" t="str">
        <f>IF(NOT(ISERROR(VLOOKUP(B505,Deflatores!G$42:H$64,2,FALSE))),VLOOKUP(B505,Deflatores!G$42:H$64,2,FALSE),IF(OR(ISBLANK(C505),ISBLANK(B505)),"",VLOOKUP(C505,Deflatores!G$4:H$38,2,FALSE)*J505+VLOOKUP(C505,Deflatores!G$4:I$38,3,FALSE)))</f>
        <v/>
      </c>
      <c r="O505" s="5"/>
      <c r="P505" s="5"/>
      <c r="Q505" s="6"/>
      <c r="R505" s="10"/>
      <c r="S505" s="104"/>
      <c r="T505" s="162"/>
      <c r="U505" s="10"/>
    </row>
    <row r="506" spans="1:21" ht="21.75" customHeight="1" x14ac:dyDescent="0.2">
      <c r="A506" s="102"/>
      <c r="B506" s="2"/>
      <c r="C506" s="2"/>
      <c r="D506" s="2"/>
      <c r="E506" s="5"/>
      <c r="F506" s="2"/>
      <c r="G506" s="5"/>
      <c r="H506" s="8" t="str">
        <f t="shared" si="47"/>
        <v/>
      </c>
      <c r="I506" s="7" t="str">
        <f t="shared" si="48"/>
        <v/>
      </c>
      <c r="J506" s="3" t="str">
        <f t="shared" si="49"/>
        <v/>
      </c>
      <c r="K506" s="4" t="str">
        <f t="shared" si="50"/>
        <v/>
      </c>
      <c r="L506" s="7" t="str">
        <f t="shared" si="51"/>
        <v/>
      </c>
      <c r="M506" s="9" t="str">
        <f t="shared" si="52"/>
        <v/>
      </c>
      <c r="N506" s="9" t="str">
        <f>IF(NOT(ISERROR(VLOOKUP(B506,Deflatores!G$42:H$64,2,FALSE))),VLOOKUP(B506,Deflatores!G$42:H$64,2,FALSE),IF(OR(ISBLANK(C506),ISBLANK(B506)),"",VLOOKUP(C506,Deflatores!G$4:H$38,2,FALSE)*J506+VLOOKUP(C506,Deflatores!G$4:I$38,3,FALSE)))</f>
        <v/>
      </c>
      <c r="O506" s="5"/>
      <c r="P506" s="5"/>
      <c r="Q506" s="6"/>
      <c r="R506" s="10"/>
      <c r="S506" s="104"/>
      <c r="T506" s="162"/>
      <c r="U506" s="10"/>
    </row>
    <row r="507" spans="1:21" ht="21.75" customHeight="1" x14ac:dyDescent="0.2">
      <c r="A507" s="102"/>
      <c r="B507" s="2"/>
      <c r="C507" s="2"/>
      <c r="D507" s="2"/>
      <c r="E507" s="5"/>
      <c r="F507" s="2"/>
      <c r="G507" s="5"/>
      <c r="H507" s="8" t="str">
        <f t="shared" si="47"/>
        <v/>
      </c>
      <c r="I507" s="7" t="str">
        <f t="shared" si="48"/>
        <v/>
      </c>
      <c r="J507" s="3" t="str">
        <f t="shared" si="49"/>
        <v/>
      </c>
      <c r="K507" s="4" t="str">
        <f t="shared" si="50"/>
        <v/>
      </c>
      <c r="L507" s="7" t="str">
        <f t="shared" si="51"/>
        <v/>
      </c>
      <c r="M507" s="9" t="str">
        <f t="shared" si="52"/>
        <v/>
      </c>
      <c r="N507" s="9" t="str">
        <f>IF(NOT(ISERROR(VLOOKUP(B507,Deflatores!G$42:H$64,2,FALSE))),VLOOKUP(B507,Deflatores!G$42:H$64,2,FALSE),IF(OR(ISBLANK(C507),ISBLANK(B507)),"",VLOOKUP(C507,Deflatores!G$4:H$38,2,FALSE)*J507+VLOOKUP(C507,Deflatores!G$4:I$38,3,FALSE)))</f>
        <v/>
      </c>
      <c r="O507" s="5"/>
      <c r="P507" s="5"/>
      <c r="Q507" s="6"/>
      <c r="R507" s="10"/>
      <c r="S507" s="104"/>
      <c r="T507" s="162"/>
      <c r="U507" s="10"/>
    </row>
    <row r="508" spans="1:21" ht="21.75" customHeight="1" x14ac:dyDescent="0.2">
      <c r="A508" s="102"/>
      <c r="B508" s="2"/>
      <c r="C508" s="2"/>
      <c r="D508" s="2"/>
      <c r="E508" s="5"/>
      <c r="F508" s="2"/>
      <c r="G508" s="5"/>
      <c r="H508" s="8" t="str">
        <f t="shared" si="47"/>
        <v/>
      </c>
      <c r="I508" s="7" t="str">
        <f t="shared" si="48"/>
        <v/>
      </c>
      <c r="J508" s="3" t="str">
        <f t="shared" si="49"/>
        <v/>
      </c>
      <c r="K508" s="4" t="str">
        <f t="shared" si="50"/>
        <v/>
      </c>
      <c r="L508" s="7" t="str">
        <f t="shared" si="51"/>
        <v/>
      </c>
      <c r="M508" s="9" t="str">
        <f t="shared" si="52"/>
        <v/>
      </c>
      <c r="N508" s="9" t="str">
        <f>IF(NOT(ISERROR(VLOOKUP(B508,Deflatores!G$42:H$64,2,FALSE))),VLOOKUP(B508,Deflatores!G$42:H$64,2,FALSE),IF(OR(ISBLANK(C508),ISBLANK(B508)),"",VLOOKUP(C508,Deflatores!G$4:H$38,2,FALSE)*J508+VLOOKUP(C508,Deflatores!G$4:I$38,3,FALSE)))</f>
        <v/>
      </c>
      <c r="O508" s="5"/>
      <c r="P508" s="5"/>
      <c r="Q508" s="6"/>
      <c r="R508" s="10"/>
      <c r="S508" s="104"/>
      <c r="T508" s="162"/>
      <c r="U508" s="10"/>
    </row>
    <row r="509" spans="1:21" ht="21.75" customHeight="1" x14ac:dyDescent="0.2">
      <c r="A509" s="102"/>
      <c r="B509" s="2"/>
      <c r="C509" s="2"/>
      <c r="D509" s="2"/>
      <c r="E509" s="5"/>
      <c r="F509" s="2"/>
      <c r="G509" s="5"/>
      <c r="H509" s="8" t="str">
        <f t="shared" si="47"/>
        <v/>
      </c>
      <c r="I509" s="7" t="str">
        <f t="shared" si="48"/>
        <v/>
      </c>
      <c r="J509" s="3" t="str">
        <f t="shared" si="49"/>
        <v/>
      </c>
      <c r="K509" s="4" t="str">
        <f t="shared" si="50"/>
        <v/>
      </c>
      <c r="L509" s="7" t="str">
        <f t="shared" si="51"/>
        <v/>
      </c>
      <c r="M509" s="9" t="str">
        <f t="shared" si="52"/>
        <v/>
      </c>
      <c r="N509" s="9" t="str">
        <f>IF(NOT(ISERROR(VLOOKUP(B509,Deflatores!G$42:H$64,2,FALSE))),VLOOKUP(B509,Deflatores!G$42:H$64,2,FALSE),IF(OR(ISBLANK(C509),ISBLANK(B509)),"",VLOOKUP(C509,Deflatores!G$4:H$38,2,FALSE)*J509+VLOOKUP(C509,Deflatores!G$4:I$38,3,FALSE)))</f>
        <v/>
      </c>
      <c r="O509" s="5"/>
      <c r="P509" s="5"/>
      <c r="Q509" s="6"/>
      <c r="R509" s="10"/>
      <c r="S509" s="104"/>
      <c r="T509" s="162"/>
      <c r="U509" s="10"/>
    </row>
    <row r="510" spans="1:21" ht="21.75" customHeight="1" x14ac:dyDescent="0.2">
      <c r="A510" s="102"/>
      <c r="B510" s="2"/>
      <c r="C510" s="2"/>
      <c r="D510" s="2"/>
      <c r="E510" s="5"/>
      <c r="F510" s="2"/>
      <c r="G510" s="5"/>
      <c r="H510" s="8" t="str">
        <f t="shared" si="47"/>
        <v/>
      </c>
      <c r="I510" s="7" t="str">
        <f t="shared" si="48"/>
        <v/>
      </c>
      <c r="J510" s="3" t="str">
        <f t="shared" si="49"/>
        <v/>
      </c>
      <c r="K510" s="4" t="str">
        <f t="shared" si="50"/>
        <v/>
      </c>
      <c r="L510" s="7" t="str">
        <f t="shared" si="51"/>
        <v/>
      </c>
      <c r="M510" s="9" t="str">
        <f t="shared" si="52"/>
        <v/>
      </c>
      <c r="N510" s="9" t="str">
        <f>IF(NOT(ISERROR(VLOOKUP(B510,Deflatores!G$42:H$64,2,FALSE))),VLOOKUP(B510,Deflatores!G$42:H$64,2,FALSE),IF(OR(ISBLANK(C510),ISBLANK(B510)),"",VLOOKUP(C510,Deflatores!G$4:H$38,2,FALSE)*J510+VLOOKUP(C510,Deflatores!G$4:I$38,3,FALSE)))</f>
        <v/>
      </c>
      <c r="O510" s="5"/>
      <c r="P510" s="5"/>
      <c r="Q510" s="6"/>
      <c r="R510" s="10"/>
      <c r="S510" s="104"/>
      <c r="T510" s="162"/>
      <c r="U510" s="10"/>
    </row>
    <row r="511" spans="1:21" ht="21.75" customHeight="1" x14ac:dyDescent="0.2">
      <c r="A511" s="102"/>
      <c r="B511" s="2"/>
      <c r="C511" s="2"/>
      <c r="D511" s="2"/>
      <c r="E511" s="5"/>
      <c r="F511" s="2"/>
      <c r="G511" s="5"/>
      <c r="H511" s="8" t="str">
        <f t="shared" si="47"/>
        <v/>
      </c>
      <c r="I511" s="7" t="str">
        <f t="shared" si="48"/>
        <v/>
      </c>
      <c r="J511" s="3" t="str">
        <f t="shared" si="49"/>
        <v/>
      </c>
      <c r="K511" s="4" t="str">
        <f t="shared" si="50"/>
        <v/>
      </c>
      <c r="L511" s="7" t="str">
        <f t="shared" si="51"/>
        <v/>
      </c>
      <c r="M511" s="9" t="str">
        <f t="shared" si="52"/>
        <v/>
      </c>
      <c r="N511" s="9" t="str">
        <f>IF(NOT(ISERROR(VLOOKUP(B511,Deflatores!G$42:H$64,2,FALSE))),VLOOKUP(B511,Deflatores!G$42:H$64,2,FALSE),IF(OR(ISBLANK(C511),ISBLANK(B511)),"",VLOOKUP(C511,Deflatores!G$4:H$38,2,FALSE)*J511+VLOOKUP(C511,Deflatores!G$4:I$38,3,FALSE)))</f>
        <v/>
      </c>
      <c r="O511" s="5"/>
      <c r="P511" s="5"/>
      <c r="Q511" s="6"/>
      <c r="R511" s="10"/>
      <c r="S511" s="104"/>
      <c r="T511" s="162"/>
      <c r="U511" s="10"/>
    </row>
    <row r="512" spans="1:21" ht="21.75" customHeight="1" x14ac:dyDescent="0.2">
      <c r="A512" s="102"/>
      <c r="B512" s="2"/>
      <c r="C512" s="2"/>
      <c r="D512" s="2"/>
      <c r="E512" s="5"/>
      <c r="F512" s="2"/>
      <c r="G512" s="5"/>
      <c r="H512" s="8" t="str">
        <f t="shared" si="47"/>
        <v/>
      </c>
      <c r="I512" s="7" t="str">
        <f t="shared" si="48"/>
        <v/>
      </c>
      <c r="J512" s="3" t="str">
        <f t="shared" si="49"/>
        <v/>
      </c>
      <c r="K512" s="4" t="str">
        <f t="shared" si="50"/>
        <v/>
      </c>
      <c r="L512" s="7" t="str">
        <f t="shared" si="51"/>
        <v/>
      </c>
      <c r="M512" s="9" t="str">
        <f t="shared" si="52"/>
        <v/>
      </c>
      <c r="N512" s="9" t="str">
        <f>IF(NOT(ISERROR(VLOOKUP(B512,Deflatores!G$42:H$64,2,FALSE))),VLOOKUP(B512,Deflatores!G$42:H$64,2,FALSE),IF(OR(ISBLANK(C512),ISBLANK(B512)),"",VLOOKUP(C512,Deflatores!G$4:H$38,2,FALSE)*J512+VLOOKUP(C512,Deflatores!G$4:I$38,3,FALSE)))</f>
        <v/>
      </c>
      <c r="O512" s="5"/>
      <c r="P512" s="5"/>
      <c r="Q512" s="6"/>
      <c r="R512" s="10"/>
      <c r="S512" s="104"/>
      <c r="T512" s="162"/>
      <c r="U512" s="10"/>
    </row>
    <row r="513" spans="1:21" ht="21.75" customHeight="1" x14ac:dyDescent="0.2">
      <c r="A513" s="102"/>
      <c r="B513" s="2"/>
      <c r="C513" s="2"/>
      <c r="D513" s="2"/>
      <c r="E513" s="5"/>
      <c r="F513" s="2"/>
      <c r="G513" s="5"/>
      <c r="H513" s="8" t="str">
        <f t="shared" si="47"/>
        <v/>
      </c>
      <c r="I513" s="7" t="str">
        <f t="shared" si="48"/>
        <v/>
      </c>
      <c r="J513" s="3" t="str">
        <f t="shared" si="49"/>
        <v/>
      </c>
      <c r="K513" s="4" t="str">
        <f t="shared" si="50"/>
        <v/>
      </c>
      <c r="L513" s="7" t="str">
        <f t="shared" si="51"/>
        <v/>
      </c>
      <c r="M513" s="9" t="str">
        <f t="shared" si="52"/>
        <v/>
      </c>
      <c r="N513" s="9" t="str">
        <f>IF(NOT(ISERROR(VLOOKUP(B513,Deflatores!G$42:H$64,2,FALSE))),VLOOKUP(B513,Deflatores!G$42:H$64,2,FALSE),IF(OR(ISBLANK(C513),ISBLANK(B513)),"",VLOOKUP(C513,Deflatores!G$4:H$38,2,FALSE)*J513+VLOOKUP(C513,Deflatores!G$4:I$38,3,FALSE)))</f>
        <v/>
      </c>
      <c r="O513" s="5"/>
      <c r="P513" s="5"/>
      <c r="Q513" s="6"/>
      <c r="R513" s="10"/>
      <c r="S513" s="104"/>
      <c r="T513" s="162"/>
      <c r="U513" s="10"/>
    </row>
    <row r="514" spans="1:21" ht="21.75" customHeight="1" x14ac:dyDescent="0.2">
      <c r="A514" s="102"/>
      <c r="B514" s="2"/>
      <c r="C514" s="2"/>
      <c r="D514" s="2"/>
      <c r="E514" s="5"/>
      <c r="F514" s="2"/>
      <c r="G514" s="5"/>
      <c r="H514" s="8" t="str">
        <f t="shared" si="47"/>
        <v/>
      </c>
      <c r="I514" s="7" t="str">
        <f t="shared" si="48"/>
        <v/>
      </c>
      <c r="J514" s="3" t="str">
        <f t="shared" si="49"/>
        <v/>
      </c>
      <c r="K514" s="4" t="str">
        <f t="shared" si="50"/>
        <v/>
      </c>
      <c r="L514" s="7" t="str">
        <f t="shared" si="51"/>
        <v/>
      </c>
      <c r="M514" s="9" t="str">
        <f t="shared" si="52"/>
        <v/>
      </c>
      <c r="N514" s="9" t="str">
        <f>IF(NOT(ISERROR(VLOOKUP(B514,Deflatores!G$42:H$64,2,FALSE))),VLOOKUP(B514,Deflatores!G$42:H$64,2,FALSE),IF(OR(ISBLANK(C514),ISBLANK(B514)),"",VLOOKUP(C514,Deflatores!G$4:H$38,2,FALSE)*J514+VLOOKUP(C514,Deflatores!G$4:I$38,3,FALSE)))</f>
        <v/>
      </c>
      <c r="O514" s="5"/>
      <c r="P514" s="5"/>
      <c r="Q514" s="6"/>
      <c r="R514" s="10"/>
      <c r="S514" s="104"/>
      <c r="T514" s="162"/>
      <c r="U514" s="10"/>
    </row>
    <row r="515" spans="1:21" ht="21.75" customHeight="1" x14ac:dyDescent="0.2">
      <c r="A515" s="102"/>
      <c r="B515" s="2"/>
      <c r="C515" s="2"/>
      <c r="D515" s="2"/>
      <c r="E515" s="5"/>
      <c r="F515" s="2"/>
      <c r="G515" s="5"/>
      <c r="H515" s="8" t="str">
        <f t="shared" si="47"/>
        <v/>
      </c>
      <c r="I515" s="7" t="str">
        <f t="shared" si="48"/>
        <v/>
      </c>
      <c r="J515" s="3" t="str">
        <f t="shared" si="49"/>
        <v/>
      </c>
      <c r="K515" s="4" t="str">
        <f t="shared" si="50"/>
        <v/>
      </c>
      <c r="L515" s="7" t="str">
        <f t="shared" si="51"/>
        <v/>
      </c>
      <c r="M515" s="9" t="str">
        <f t="shared" si="52"/>
        <v/>
      </c>
      <c r="N515" s="9" t="str">
        <f>IF(NOT(ISERROR(VLOOKUP(B515,Deflatores!G$42:H$64,2,FALSE))),VLOOKUP(B515,Deflatores!G$42:H$64,2,FALSE),IF(OR(ISBLANK(C515),ISBLANK(B515)),"",VLOOKUP(C515,Deflatores!G$4:H$38,2,FALSE)*J515+VLOOKUP(C515,Deflatores!G$4:I$38,3,FALSE)))</f>
        <v/>
      </c>
      <c r="O515" s="5"/>
      <c r="P515" s="5"/>
      <c r="Q515" s="6"/>
      <c r="R515" s="10"/>
      <c r="S515" s="104"/>
      <c r="T515" s="162"/>
      <c r="U515" s="10"/>
    </row>
    <row r="516" spans="1:21" ht="21.75" customHeight="1" x14ac:dyDescent="0.2">
      <c r="A516" s="102"/>
      <c r="B516" s="2"/>
      <c r="C516" s="2"/>
      <c r="D516" s="2"/>
      <c r="E516" s="5"/>
      <c r="F516" s="2"/>
      <c r="G516" s="5"/>
      <c r="H516" s="8" t="str">
        <f t="shared" si="47"/>
        <v/>
      </c>
      <c r="I516" s="7" t="str">
        <f t="shared" si="48"/>
        <v/>
      </c>
      <c r="J516" s="3" t="str">
        <f t="shared" si="49"/>
        <v/>
      </c>
      <c r="K516" s="4" t="str">
        <f t="shared" si="50"/>
        <v/>
      </c>
      <c r="L516" s="7" t="str">
        <f t="shared" si="51"/>
        <v/>
      </c>
      <c r="M516" s="9" t="str">
        <f t="shared" si="52"/>
        <v/>
      </c>
      <c r="N516" s="9" t="str">
        <f>IF(NOT(ISERROR(VLOOKUP(B516,Deflatores!G$42:H$64,2,FALSE))),VLOOKUP(B516,Deflatores!G$42:H$64,2,FALSE),IF(OR(ISBLANK(C516),ISBLANK(B516)),"",VLOOKUP(C516,Deflatores!G$4:H$38,2,FALSE)*J516+VLOOKUP(C516,Deflatores!G$4:I$38,3,FALSE)))</f>
        <v/>
      </c>
      <c r="O516" s="5"/>
      <c r="P516" s="5"/>
      <c r="Q516" s="6"/>
      <c r="R516" s="10"/>
      <c r="S516" s="104"/>
      <c r="T516" s="162"/>
      <c r="U516" s="10"/>
    </row>
    <row r="517" spans="1:21" ht="21.75" customHeight="1" x14ac:dyDescent="0.2">
      <c r="A517" s="102"/>
      <c r="B517" s="2"/>
      <c r="C517" s="2"/>
      <c r="D517" s="2"/>
      <c r="E517" s="5"/>
      <c r="F517" s="2"/>
      <c r="G517" s="5"/>
      <c r="H517" s="8" t="str">
        <f t="shared" si="47"/>
        <v/>
      </c>
      <c r="I517" s="7" t="str">
        <f t="shared" si="48"/>
        <v/>
      </c>
      <c r="J517" s="3" t="str">
        <f t="shared" si="49"/>
        <v/>
      </c>
      <c r="K517" s="4" t="str">
        <f t="shared" si="50"/>
        <v/>
      </c>
      <c r="L517" s="7" t="str">
        <f t="shared" si="51"/>
        <v/>
      </c>
      <c r="M517" s="9" t="str">
        <f t="shared" si="52"/>
        <v/>
      </c>
      <c r="N517" s="9" t="str">
        <f>IF(NOT(ISERROR(VLOOKUP(B517,Deflatores!G$42:H$64,2,FALSE))),VLOOKUP(B517,Deflatores!G$42:H$64,2,FALSE),IF(OR(ISBLANK(C517),ISBLANK(B517)),"",VLOOKUP(C517,Deflatores!G$4:H$38,2,FALSE)*J517+VLOOKUP(C517,Deflatores!G$4:I$38,3,FALSE)))</f>
        <v/>
      </c>
      <c r="O517" s="5"/>
      <c r="P517" s="5"/>
      <c r="Q517" s="6"/>
      <c r="R517" s="10"/>
      <c r="S517" s="104"/>
      <c r="T517" s="162"/>
      <c r="U517" s="10"/>
    </row>
    <row r="518" spans="1:21" ht="21.75" customHeight="1" x14ac:dyDescent="0.2">
      <c r="A518" s="102"/>
      <c r="B518" s="2"/>
      <c r="C518" s="2"/>
      <c r="D518" s="2"/>
      <c r="E518" s="5"/>
      <c r="F518" s="2"/>
      <c r="G518" s="5"/>
      <c r="H518" s="8" t="str">
        <f t="shared" si="47"/>
        <v/>
      </c>
      <c r="I518" s="7" t="str">
        <f t="shared" si="48"/>
        <v/>
      </c>
      <c r="J518" s="3" t="str">
        <f t="shared" si="49"/>
        <v/>
      </c>
      <c r="K518" s="4" t="str">
        <f t="shared" si="50"/>
        <v/>
      </c>
      <c r="L518" s="7" t="str">
        <f t="shared" si="51"/>
        <v/>
      </c>
      <c r="M518" s="9" t="str">
        <f t="shared" si="52"/>
        <v/>
      </c>
      <c r="N518" s="9" t="str">
        <f>IF(NOT(ISERROR(VLOOKUP(B518,Deflatores!G$42:H$64,2,FALSE))),VLOOKUP(B518,Deflatores!G$42:H$64,2,FALSE),IF(OR(ISBLANK(C518),ISBLANK(B518)),"",VLOOKUP(C518,Deflatores!G$4:H$38,2,FALSE)*J518+VLOOKUP(C518,Deflatores!G$4:I$38,3,FALSE)))</f>
        <v/>
      </c>
      <c r="O518" s="5"/>
      <c r="P518" s="5"/>
      <c r="Q518" s="6"/>
      <c r="R518" s="10"/>
      <c r="S518" s="104"/>
      <c r="T518" s="162"/>
      <c r="U518" s="10"/>
    </row>
    <row r="519" spans="1:21" ht="21.75" customHeight="1" x14ac:dyDescent="0.2">
      <c r="A519" s="102"/>
      <c r="B519" s="2"/>
      <c r="C519" s="2"/>
      <c r="D519" s="2"/>
      <c r="E519" s="5"/>
      <c r="F519" s="2"/>
      <c r="G519" s="5"/>
      <c r="H519" s="8" t="str">
        <f t="shared" si="47"/>
        <v/>
      </c>
      <c r="I519" s="7" t="str">
        <f t="shared" si="48"/>
        <v/>
      </c>
      <c r="J519" s="3" t="str">
        <f t="shared" si="49"/>
        <v/>
      </c>
      <c r="K519" s="4" t="str">
        <f t="shared" si="50"/>
        <v/>
      </c>
      <c r="L519" s="7" t="str">
        <f t="shared" si="51"/>
        <v/>
      </c>
      <c r="M519" s="9" t="str">
        <f t="shared" si="52"/>
        <v/>
      </c>
      <c r="N519" s="9" t="str">
        <f>IF(NOT(ISERROR(VLOOKUP(B519,Deflatores!G$42:H$64,2,FALSE))),VLOOKUP(B519,Deflatores!G$42:H$64,2,FALSE),IF(OR(ISBLANK(C519),ISBLANK(B519)),"",VLOOKUP(C519,Deflatores!G$4:H$38,2,FALSE)*J519+VLOOKUP(C519,Deflatores!G$4:I$38,3,FALSE)))</f>
        <v/>
      </c>
      <c r="O519" s="5"/>
      <c r="P519" s="5"/>
      <c r="Q519" s="6"/>
      <c r="R519" s="10"/>
      <c r="S519" s="104"/>
      <c r="T519" s="162"/>
      <c r="U519" s="10"/>
    </row>
    <row r="520" spans="1:21" ht="21.75" customHeight="1" x14ac:dyDescent="0.2">
      <c r="A520" s="102"/>
      <c r="B520" s="2"/>
      <c r="C520" s="2"/>
      <c r="D520" s="2"/>
      <c r="E520" s="5"/>
      <c r="F520" s="2"/>
      <c r="G520" s="5"/>
      <c r="H520" s="8" t="str">
        <f t="shared" si="47"/>
        <v/>
      </c>
      <c r="I520" s="7" t="str">
        <f t="shared" si="48"/>
        <v/>
      </c>
      <c r="J520" s="3" t="str">
        <f t="shared" si="49"/>
        <v/>
      </c>
      <c r="K520" s="4" t="str">
        <f t="shared" si="50"/>
        <v/>
      </c>
      <c r="L520" s="7" t="str">
        <f t="shared" si="51"/>
        <v/>
      </c>
      <c r="M520" s="9" t="str">
        <f t="shared" si="52"/>
        <v/>
      </c>
      <c r="N520" s="9" t="str">
        <f>IF(NOT(ISERROR(VLOOKUP(B520,Deflatores!G$42:H$64,2,FALSE))),VLOOKUP(B520,Deflatores!G$42:H$64,2,FALSE),IF(OR(ISBLANK(C520),ISBLANK(B520)),"",VLOOKUP(C520,Deflatores!G$4:H$38,2,FALSE)*J520+VLOOKUP(C520,Deflatores!G$4:I$38,3,FALSE)))</f>
        <v/>
      </c>
      <c r="O520" s="5"/>
      <c r="P520" s="5"/>
      <c r="Q520" s="6"/>
      <c r="R520" s="10"/>
      <c r="S520" s="104"/>
      <c r="T520" s="162"/>
      <c r="U520" s="10"/>
    </row>
    <row r="521" spans="1:21" ht="21.75" customHeight="1" x14ac:dyDescent="0.2">
      <c r="A521" s="102"/>
      <c r="B521" s="2"/>
      <c r="C521" s="2"/>
      <c r="D521" s="2"/>
      <c r="E521" s="5"/>
      <c r="F521" s="2"/>
      <c r="G521" s="5"/>
      <c r="H521" s="8" t="str">
        <f t="shared" ref="H521:H584" si="53">IF(ISBLANK(B521),"",IF(K521="L","Baixa",IF(K521="A","Média",IF(K521="","","Alta"))))</f>
        <v/>
      </c>
      <c r="I521" s="7" t="str">
        <f t="shared" ref="I521:I584" si="54">CONCATENATE(B521,K521)</f>
        <v/>
      </c>
      <c r="J521" s="3" t="str">
        <f t="shared" ref="J521:J584" si="55">IF(ISBLANK(B521),"",IF(B521="ALI",IF(K521="L",7,IF(K521="A",10,15)),IF(B521="AIE",IF(K521="L",5,IF(K521="A",7,10)),IF(B521="SE",IF(K521="L",4,IF(K521="A",5,7)),IF(OR(B521="EE",B521="CE"),IF(K521="L",3,IF(K521="A",4,6)),0)))))</f>
        <v/>
      </c>
      <c r="K521" s="4" t="str">
        <f t="shared" ref="K521:K584" si="56">IF(OR(ISBLANK(D521),ISBLANK(F521)),IF(OR(B521="ALI",B521="AIE"),"L",IF(OR(B521="EE",B521="SE",B521="CE"),"A","")),IF(B521="EE",IF(F521&gt;=3,IF(D521&gt;=5,"H","A"),IF(F521&gt;=2,IF(D521&gt;=16,"H",IF(D521&lt;=4,"L","A")),IF(D521&lt;=15,"L","A"))),IF(OR(B521="SE",B521="CE"),IF(F521&gt;=4,IF(D521&gt;=6,"H","A"),IF(F521&gt;=2,IF(D521&gt;=20,"H",IF(D521&lt;=5,"L","A")),IF(D521&lt;=19,"L","A"))),IF(OR(B521="ALI",B521="AIE"),IF(F521&gt;=6,IF(D521&gt;=20,"H","A"),IF(F521&gt;=2,IF(D521&gt;=51,"H",IF(D521&lt;=19,"L","A")),IF(D521&lt;=50,"L","A"))),""))))</f>
        <v/>
      </c>
      <c r="L521" s="7" t="str">
        <f t="shared" ref="L521:L584" si="57">CONCATENATE(B521,C521)</f>
        <v/>
      </c>
      <c r="M521" s="9" t="str">
        <f t="shared" ref="M521:M584" si="58">IF(OR(J521="",J521=0),N521,J521)</f>
        <v/>
      </c>
      <c r="N521" s="9" t="str">
        <f>IF(NOT(ISERROR(VLOOKUP(B521,Deflatores!G$42:H$64,2,FALSE))),VLOOKUP(B521,Deflatores!G$42:H$64,2,FALSE),IF(OR(ISBLANK(C521),ISBLANK(B521)),"",VLOOKUP(C521,Deflatores!G$4:H$38,2,FALSE)*J521+VLOOKUP(C521,Deflatores!G$4:I$38,3,FALSE)))</f>
        <v/>
      </c>
      <c r="O521" s="5"/>
      <c r="P521" s="5"/>
      <c r="Q521" s="6"/>
      <c r="R521" s="10"/>
      <c r="S521" s="104"/>
      <c r="T521" s="162"/>
      <c r="U521" s="10"/>
    </row>
    <row r="522" spans="1:21" ht="21.75" customHeight="1" x14ac:dyDescent="0.2">
      <c r="A522" s="102"/>
      <c r="B522" s="2"/>
      <c r="C522" s="2"/>
      <c r="D522" s="2"/>
      <c r="E522" s="5"/>
      <c r="F522" s="2"/>
      <c r="G522" s="5"/>
      <c r="H522" s="8" t="str">
        <f t="shared" si="53"/>
        <v/>
      </c>
      <c r="I522" s="7" t="str">
        <f t="shared" si="54"/>
        <v/>
      </c>
      <c r="J522" s="3" t="str">
        <f t="shared" si="55"/>
        <v/>
      </c>
      <c r="K522" s="4" t="str">
        <f t="shared" si="56"/>
        <v/>
      </c>
      <c r="L522" s="7" t="str">
        <f t="shared" si="57"/>
        <v/>
      </c>
      <c r="M522" s="9" t="str">
        <f t="shared" si="58"/>
        <v/>
      </c>
      <c r="N522" s="9" t="str">
        <f>IF(NOT(ISERROR(VLOOKUP(B522,Deflatores!G$42:H$64,2,FALSE))),VLOOKUP(B522,Deflatores!G$42:H$64,2,FALSE),IF(OR(ISBLANK(C522),ISBLANK(B522)),"",VLOOKUP(C522,Deflatores!G$4:H$38,2,FALSE)*J522+VLOOKUP(C522,Deflatores!G$4:I$38,3,FALSE)))</f>
        <v/>
      </c>
      <c r="O522" s="5"/>
      <c r="P522" s="5"/>
      <c r="Q522" s="6"/>
      <c r="R522" s="10"/>
      <c r="S522" s="104"/>
      <c r="T522" s="162"/>
      <c r="U522" s="10"/>
    </row>
    <row r="523" spans="1:21" ht="21.75" customHeight="1" x14ac:dyDescent="0.2">
      <c r="A523" s="102"/>
      <c r="B523" s="2"/>
      <c r="C523" s="2"/>
      <c r="D523" s="2"/>
      <c r="E523" s="5"/>
      <c r="F523" s="2"/>
      <c r="G523" s="5"/>
      <c r="H523" s="8" t="str">
        <f t="shared" si="53"/>
        <v/>
      </c>
      <c r="I523" s="7" t="str">
        <f t="shared" si="54"/>
        <v/>
      </c>
      <c r="J523" s="3" t="str">
        <f t="shared" si="55"/>
        <v/>
      </c>
      <c r="K523" s="4" t="str">
        <f t="shared" si="56"/>
        <v/>
      </c>
      <c r="L523" s="7" t="str">
        <f t="shared" si="57"/>
        <v/>
      </c>
      <c r="M523" s="9" t="str">
        <f t="shared" si="58"/>
        <v/>
      </c>
      <c r="N523" s="9" t="str">
        <f>IF(NOT(ISERROR(VLOOKUP(B523,Deflatores!G$42:H$64,2,FALSE))),VLOOKUP(B523,Deflatores!G$42:H$64,2,FALSE),IF(OR(ISBLANK(C523),ISBLANK(B523)),"",VLOOKUP(C523,Deflatores!G$4:H$38,2,FALSE)*J523+VLOOKUP(C523,Deflatores!G$4:I$38,3,FALSE)))</f>
        <v/>
      </c>
      <c r="O523" s="5"/>
      <c r="P523" s="5"/>
      <c r="Q523" s="6"/>
      <c r="R523" s="10"/>
      <c r="S523" s="104"/>
      <c r="T523" s="162"/>
      <c r="U523" s="10"/>
    </row>
    <row r="524" spans="1:21" ht="21.75" customHeight="1" x14ac:dyDescent="0.2">
      <c r="A524" s="102"/>
      <c r="B524" s="2"/>
      <c r="C524" s="2"/>
      <c r="D524" s="2"/>
      <c r="E524" s="5"/>
      <c r="F524" s="2"/>
      <c r="G524" s="5"/>
      <c r="H524" s="8" t="str">
        <f t="shared" si="53"/>
        <v/>
      </c>
      <c r="I524" s="7" t="str">
        <f t="shared" si="54"/>
        <v/>
      </c>
      <c r="J524" s="3" t="str">
        <f t="shared" si="55"/>
        <v/>
      </c>
      <c r="K524" s="4" t="str">
        <f t="shared" si="56"/>
        <v/>
      </c>
      <c r="L524" s="7" t="str">
        <f t="shared" si="57"/>
        <v/>
      </c>
      <c r="M524" s="9" t="str">
        <f t="shared" si="58"/>
        <v/>
      </c>
      <c r="N524" s="9" t="str">
        <f>IF(NOT(ISERROR(VLOOKUP(B524,Deflatores!G$42:H$64,2,FALSE))),VLOOKUP(B524,Deflatores!G$42:H$64,2,FALSE),IF(OR(ISBLANK(C524),ISBLANK(B524)),"",VLOOKUP(C524,Deflatores!G$4:H$38,2,FALSE)*J524+VLOOKUP(C524,Deflatores!G$4:I$38,3,FALSE)))</f>
        <v/>
      </c>
      <c r="O524" s="5"/>
      <c r="P524" s="5"/>
      <c r="Q524" s="6"/>
      <c r="R524" s="10"/>
      <c r="S524" s="104"/>
      <c r="T524" s="162"/>
      <c r="U524" s="10"/>
    </row>
    <row r="525" spans="1:21" ht="21.75" customHeight="1" x14ac:dyDescent="0.2">
      <c r="A525" s="102"/>
      <c r="B525" s="2"/>
      <c r="C525" s="2"/>
      <c r="D525" s="2"/>
      <c r="E525" s="5"/>
      <c r="F525" s="2"/>
      <c r="G525" s="5"/>
      <c r="H525" s="8" t="str">
        <f t="shared" si="53"/>
        <v/>
      </c>
      <c r="I525" s="7" t="str">
        <f t="shared" si="54"/>
        <v/>
      </c>
      <c r="J525" s="3" t="str">
        <f t="shared" si="55"/>
        <v/>
      </c>
      <c r="K525" s="4" t="str">
        <f t="shared" si="56"/>
        <v/>
      </c>
      <c r="L525" s="7" t="str">
        <f t="shared" si="57"/>
        <v/>
      </c>
      <c r="M525" s="9" t="str">
        <f t="shared" si="58"/>
        <v/>
      </c>
      <c r="N525" s="9" t="str">
        <f>IF(NOT(ISERROR(VLOOKUP(B525,Deflatores!G$42:H$64,2,FALSE))),VLOOKUP(B525,Deflatores!G$42:H$64,2,FALSE),IF(OR(ISBLANK(C525),ISBLANK(B525)),"",VLOOKUP(C525,Deflatores!G$4:H$38,2,FALSE)*J525+VLOOKUP(C525,Deflatores!G$4:I$38,3,FALSE)))</f>
        <v/>
      </c>
      <c r="O525" s="5"/>
      <c r="P525" s="5"/>
      <c r="Q525" s="6"/>
      <c r="R525" s="10"/>
      <c r="S525" s="104"/>
      <c r="T525" s="162"/>
      <c r="U525" s="10"/>
    </row>
    <row r="526" spans="1:21" ht="21.75" customHeight="1" x14ac:dyDescent="0.2">
      <c r="A526" s="102"/>
      <c r="B526" s="2"/>
      <c r="C526" s="2"/>
      <c r="D526" s="2"/>
      <c r="E526" s="5"/>
      <c r="F526" s="2"/>
      <c r="G526" s="5"/>
      <c r="H526" s="8" t="str">
        <f t="shared" si="53"/>
        <v/>
      </c>
      <c r="I526" s="7" t="str">
        <f t="shared" si="54"/>
        <v/>
      </c>
      <c r="J526" s="3" t="str">
        <f t="shared" si="55"/>
        <v/>
      </c>
      <c r="K526" s="4" t="str">
        <f t="shared" si="56"/>
        <v/>
      </c>
      <c r="L526" s="7" t="str">
        <f t="shared" si="57"/>
        <v/>
      </c>
      <c r="M526" s="9" t="str">
        <f t="shared" si="58"/>
        <v/>
      </c>
      <c r="N526" s="9" t="str">
        <f>IF(NOT(ISERROR(VLOOKUP(B526,Deflatores!G$42:H$64,2,FALSE))),VLOOKUP(B526,Deflatores!G$42:H$64,2,FALSE),IF(OR(ISBLANK(C526),ISBLANK(B526)),"",VLOOKUP(C526,Deflatores!G$4:H$38,2,FALSE)*J526+VLOOKUP(C526,Deflatores!G$4:I$38,3,FALSE)))</f>
        <v/>
      </c>
      <c r="O526" s="5"/>
      <c r="P526" s="5"/>
      <c r="Q526" s="6"/>
      <c r="R526" s="10"/>
      <c r="S526" s="104"/>
      <c r="T526" s="162"/>
      <c r="U526" s="10"/>
    </row>
    <row r="527" spans="1:21" ht="21.75" customHeight="1" x14ac:dyDescent="0.2">
      <c r="A527" s="102"/>
      <c r="B527" s="2"/>
      <c r="C527" s="2"/>
      <c r="D527" s="2"/>
      <c r="E527" s="5"/>
      <c r="F527" s="2"/>
      <c r="G527" s="5"/>
      <c r="H527" s="8" t="str">
        <f t="shared" si="53"/>
        <v/>
      </c>
      <c r="I527" s="7" t="str">
        <f t="shared" si="54"/>
        <v/>
      </c>
      <c r="J527" s="3" t="str">
        <f t="shared" si="55"/>
        <v/>
      </c>
      <c r="K527" s="4" t="str">
        <f t="shared" si="56"/>
        <v/>
      </c>
      <c r="L527" s="7" t="str">
        <f t="shared" si="57"/>
        <v/>
      </c>
      <c r="M527" s="9" t="str">
        <f t="shared" si="58"/>
        <v/>
      </c>
      <c r="N527" s="9" t="str">
        <f>IF(NOT(ISERROR(VLOOKUP(B527,Deflatores!G$42:H$64,2,FALSE))),VLOOKUP(B527,Deflatores!G$42:H$64,2,FALSE),IF(OR(ISBLANK(C527),ISBLANK(B527)),"",VLOOKUP(C527,Deflatores!G$4:H$38,2,FALSE)*J527+VLOOKUP(C527,Deflatores!G$4:I$38,3,FALSE)))</f>
        <v/>
      </c>
      <c r="O527" s="5"/>
      <c r="P527" s="5"/>
      <c r="Q527" s="6"/>
      <c r="R527" s="10"/>
      <c r="S527" s="104"/>
      <c r="T527" s="162"/>
      <c r="U527" s="10"/>
    </row>
    <row r="528" spans="1:21" ht="21.75" customHeight="1" x14ac:dyDescent="0.2">
      <c r="A528" s="102"/>
      <c r="B528" s="2"/>
      <c r="C528" s="2"/>
      <c r="D528" s="2"/>
      <c r="E528" s="5"/>
      <c r="F528" s="2"/>
      <c r="G528" s="5"/>
      <c r="H528" s="8" t="str">
        <f t="shared" si="53"/>
        <v/>
      </c>
      <c r="I528" s="7" t="str">
        <f t="shared" si="54"/>
        <v/>
      </c>
      <c r="J528" s="3" t="str">
        <f t="shared" si="55"/>
        <v/>
      </c>
      <c r="K528" s="4" t="str">
        <f t="shared" si="56"/>
        <v/>
      </c>
      <c r="L528" s="7" t="str">
        <f t="shared" si="57"/>
        <v/>
      </c>
      <c r="M528" s="9" t="str">
        <f t="shared" si="58"/>
        <v/>
      </c>
      <c r="N528" s="9" t="str">
        <f>IF(NOT(ISERROR(VLOOKUP(B528,Deflatores!G$42:H$64,2,FALSE))),VLOOKUP(B528,Deflatores!G$42:H$64,2,FALSE),IF(OR(ISBLANK(C528),ISBLANK(B528)),"",VLOOKUP(C528,Deflatores!G$4:H$38,2,FALSE)*J528+VLOOKUP(C528,Deflatores!G$4:I$38,3,FALSE)))</f>
        <v/>
      </c>
      <c r="O528" s="5"/>
      <c r="P528" s="5"/>
      <c r="Q528" s="6"/>
      <c r="R528" s="10"/>
      <c r="S528" s="104"/>
      <c r="T528" s="162"/>
      <c r="U528" s="10"/>
    </row>
    <row r="529" spans="1:21" ht="21.75" customHeight="1" x14ac:dyDescent="0.2">
      <c r="A529" s="102"/>
      <c r="B529" s="2"/>
      <c r="C529" s="2"/>
      <c r="D529" s="2"/>
      <c r="E529" s="5"/>
      <c r="F529" s="2"/>
      <c r="G529" s="5"/>
      <c r="H529" s="8" t="str">
        <f t="shared" si="53"/>
        <v/>
      </c>
      <c r="I529" s="7" t="str">
        <f t="shared" si="54"/>
        <v/>
      </c>
      <c r="J529" s="3" t="str">
        <f t="shared" si="55"/>
        <v/>
      </c>
      <c r="K529" s="4" t="str">
        <f t="shared" si="56"/>
        <v/>
      </c>
      <c r="L529" s="7" t="str">
        <f t="shared" si="57"/>
        <v/>
      </c>
      <c r="M529" s="9" t="str">
        <f t="shared" si="58"/>
        <v/>
      </c>
      <c r="N529" s="9" t="str">
        <f>IF(NOT(ISERROR(VLOOKUP(B529,Deflatores!G$42:H$64,2,FALSE))),VLOOKUP(B529,Deflatores!G$42:H$64,2,FALSE),IF(OR(ISBLANK(C529),ISBLANK(B529)),"",VLOOKUP(C529,Deflatores!G$4:H$38,2,FALSE)*J529+VLOOKUP(C529,Deflatores!G$4:I$38,3,FALSE)))</f>
        <v/>
      </c>
      <c r="O529" s="5"/>
      <c r="P529" s="5"/>
      <c r="Q529" s="6"/>
      <c r="R529" s="10"/>
      <c r="S529" s="104"/>
      <c r="T529" s="162"/>
      <c r="U529" s="10"/>
    </row>
    <row r="530" spans="1:21" ht="21.75" customHeight="1" x14ac:dyDescent="0.2">
      <c r="A530" s="102"/>
      <c r="B530" s="2"/>
      <c r="C530" s="2"/>
      <c r="D530" s="2"/>
      <c r="E530" s="5"/>
      <c r="F530" s="2"/>
      <c r="G530" s="5"/>
      <c r="H530" s="8" t="str">
        <f t="shared" si="53"/>
        <v/>
      </c>
      <c r="I530" s="7" t="str">
        <f t="shared" si="54"/>
        <v/>
      </c>
      <c r="J530" s="3" t="str">
        <f t="shared" si="55"/>
        <v/>
      </c>
      <c r="K530" s="4" t="str">
        <f t="shared" si="56"/>
        <v/>
      </c>
      <c r="L530" s="7" t="str">
        <f t="shared" si="57"/>
        <v/>
      </c>
      <c r="M530" s="9" t="str">
        <f t="shared" si="58"/>
        <v/>
      </c>
      <c r="N530" s="9" t="str">
        <f>IF(NOT(ISERROR(VLOOKUP(B530,Deflatores!G$42:H$64,2,FALSE))),VLOOKUP(B530,Deflatores!G$42:H$64,2,FALSE),IF(OR(ISBLANK(C530),ISBLANK(B530)),"",VLOOKUP(C530,Deflatores!G$4:H$38,2,FALSE)*J530+VLOOKUP(C530,Deflatores!G$4:I$38,3,FALSE)))</f>
        <v/>
      </c>
      <c r="O530" s="5"/>
      <c r="P530" s="5"/>
      <c r="Q530" s="6"/>
      <c r="R530" s="10"/>
      <c r="S530" s="104"/>
      <c r="T530" s="162"/>
      <c r="U530" s="10"/>
    </row>
    <row r="531" spans="1:21" ht="21.75" customHeight="1" x14ac:dyDescent="0.2">
      <c r="A531" s="102"/>
      <c r="B531" s="2"/>
      <c r="C531" s="2"/>
      <c r="D531" s="2"/>
      <c r="E531" s="5"/>
      <c r="F531" s="2"/>
      <c r="G531" s="5"/>
      <c r="H531" s="8" t="str">
        <f t="shared" si="53"/>
        <v/>
      </c>
      <c r="I531" s="7" t="str">
        <f t="shared" si="54"/>
        <v/>
      </c>
      <c r="J531" s="3" t="str">
        <f t="shared" si="55"/>
        <v/>
      </c>
      <c r="K531" s="4" t="str">
        <f t="shared" si="56"/>
        <v/>
      </c>
      <c r="L531" s="7" t="str">
        <f t="shared" si="57"/>
        <v/>
      </c>
      <c r="M531" s="9" t="str">
        <f t="shared" si="58"/>
        <v/>
      </c>
      <c r="N531" s="9" t="str">
        <f>IF(NOT(ISERROR(VLOOKUP(B531,Deflatores!G$42:H$64,2,FALSE))),VLOOKUP(B531,Deflatores!G$42:H$64,2,FALSE),IF(OR(ISBLANK(C531),ISBLANK(B531)),"",VLOOKUP(C531,Deflatores!G$4:H$38,2,FALSE)*J531+VLOOKUP(C531,Deflatores!G$4:I$38,3,FALSE)))</f>
        <v/>
      </c>
      <c r="O531" s="5"/>
      <c r="P531" s="5"/>
      <c r="Q531" s="6"/>
      <c r="R531" s="10"/>
      <c r="S531" s="104"/>
      <c r="T531" s="162"/>
      <c r="U531" s="10"/>
    </row>
    <row r="532" spans="1:21" ht="21.75" customHeight="1" x14ac:dyDescent="0.2">
      <c r="A532" s="102"/>
      <c r="B532" s="2"/>
      <c r="C532" s="2"/>
      <c r="D532" s="2"/>
      <c r="E532" s="5"/>
      <c r="F532" s="2"/>
      <c r="G532" s="5"/>
      <c r="H532" s="8" t="str">
        <f t="shared" si="53"/>
        <v/>
      </c>
      <c r="I532" s="7" t="str">
        <f t="shared" si="54"/>
        <v/>
      </c>
      <c r="J532" s="3" t="str">
        <f t="shared" si="55"/>
        <v/>
      </c>
      <c r="K532" s="4" t="str">
        <f t="shared" si="56"/>
        <v/>
      </c>
      <c r="L532" s="7" t="str">
        <f t="shared" si="57"/>
        <v/>
      </c>
      <c r="M532" s="9" t="str">
        <f t="shared" si="58"/>
        <v/>
      </c>
      <c r="N532" s="9" t="str">
        <f>IF(NOT(ISERROR(VLOOKUP(B532,Deflatores!G$42:H$64,2,FALSE))),VLOOKUP(B532,Deflatores!G$42:H$64,2,FALSE),IF(OR(ISBLANK(C532),ISBLANK(B532)),"",VLOOKUP(C532,Deflatores!G$4:H$38,2,FALSE)*J532+VLOOKUP(C532,Deflatores!G$4:I$38,3,FALSE)))</f>
        <v/>
      </c>
      <c r="O532" s="5"/>
      <c r="P532" s="5"/>
      <c r="Q532" s="6"/>
      <c r="R532" s="10"/>
      <c r="S532" s="104"/>
      <c r="T532" s="162"/>
      <c r="U532" s="10"/>
    </row>
    <row r="533" spans="1:21" ht="21.75" customHeight="1" x14ac:dyDescent="0.2">
      <c r="A533" s="102"/>
      <c r="B533" s="2"/>
      <c r="C533" s="2"/>
      <c r="D533" s="2"/>
      <c r="E533" s="5"/>
      <c r="F533" s="2"/>
      <c r="G533" s="5"/>
      <c r="H533" s="8" t="str">
        <f t="shared" si="53"/>
        <v/>
      </c>
      <c r="I533" s="7" t="str">
        <f t="shared" si="54"/>
        <v/>
      </c>
      <c r="J533" s="3" t="str">
        <f t="shared" si="55"/>
        <v/>
      </c>
      <c r="K533" s="4" t="str">
        <f t="shared" si="56"/>
        <v/>
      </c>
      <c r="L533" s="7" t="str">
        <f t="shared" si="57"/>
        <v/>
      </c>
      <c r="M533" s="9" t="str">
        <f t="shared" si="58"/>
        <v/>
      </c>
      <c r="N533" s="9" t="str">
        <f>IF(NOT(ISERROR(VLOOKUP(B533,Deflatores!G$42:H$64,2,FALSE))),VLOOKUP(B533,Deflatores!G$42:H$64,2,FALSE),IF(OR(ISBLANK(C533),ISBLANK(B533)),"",VLOOKUP(C533,Deflatores!G$4:H$38,2,FALSE)*J533+VLOOKUP(C533,Deflatores!G$4:I$38,3,FALSE)))</f>
        <v/>
      </c>
      <c r="O533" s="5"/>
      <c r="P533" s="5"/>
      <c r="Q533" s="6"/>
      <c r="R533" s="10"/>
      <c r="S533" s="104"/>
      <c r="T533" s="162"/>
      <c r="U533" s="10"/>
    </row>
    <row r="534" spans="1:21" ht="21.75" customHeight="1" x14ac:dyDescent="0.2">
      <c r="A534" s="102"/>
      <c r="B534" s="2"/>
      <c r="C534" s="2"/>
      <c r="D534" s="2"/>
      <c r="E534" s="5"/>
      <c r="F534" s="2"/>
      <c r="G534" s="5"/>
      <c r="H534" s="8" t="str">
        <f t="shared" si="53"/>
        <v/>
      </c>
      <c r="I534" s="7" t="str">
        <f t="shared" si="54"/>
        <v/>
      </c>
      <c r="J534" s="3" t="str">
        <f t="shared" si="55"/>
        <v/>
      </c>
      <c r="K534" s="4" t="str">
        <f t="shared" si="56"/>
        <v/>
      </c>
      <c r="L534" s="7" t="str">
        <f t="shared" si="57"/>
        <v/>
      </c>
      <c r="M534" s="9" t="str">
        <f t="shared" si="58"/>
        <v/>
      </c>
      <c r="N534" s="9" t="str">
        <f>IF(NOT(ISERROR(VLOOKUP(B534,Deflatores!G$42:H$64,2,FALSE))),VLOOKUP(B534,Deflatores!G$42:H$64,2,FALSE),IF(OR(ISBLANK(C534),ISBLANK(B534)),"",VLOOKUP(C534,Deflatores!G$4:H$38,2,FALSE)*J534+VLOOKUP(C534,Deflatores!G$4:I$38,3,FALSE)))</f>
        <v/>
      </c>
      <c r="O534" s="5"/>
      <c r="P534" s="5"/>
      <c r="Q534" s="6"/>
      <c r="R534" s="10"/>
      <c r="S534" s="104"/>
      <c r="T534" s="162"/>
      <c r="U534" s="10"/>
    </row>
    <row r="535" spans="1:21" ht="21.75" customHeight="1" x14ac:dyDescent="0.2">
      <c r="A535" s="102"/>
      <c r="B535" s="2"/>
      <c r="C535" s="2"/>
      <c r="D535" s="2"/>
      <c r="E535" s="5"/>
      <c r="F535" s="2"/>
      <c r="G535" s="5"/>
      <c r="H535" s="8" t="str">
        <f t="shared" si="53"/>
        <v/>
      </c>
      <c r="I535" s="7" t="str">
        <f t="shared" si="54"/>
        <v/>
      </c>
      <c r="J535" s="3" t="str">
        <f t="shared" si="55"/>
        <v/>
      </c>
      <c r="K535" s="4" t="str">
        <f t="shared" si="56"/>
        <v/>
      </c>
      <c r="L535" s="7" t="str">
        <f t="shared" si="57"/>
        <v/>
      </c>
      <c r="M535" s="9" t="str">
        <f t="shared" si="58"/>
        <v/>
      </c>
      <c r="N535" s="9" t="str">
        <f>IF(NOT(ISERROR(VLOOKUP(B535,Deflatores!G$42:H$64,2,FALSE))),VLOOKUP(B535,Deflatores!G$42:H$64,2,FALSE),IF(OR(ISBLANK(C535),ISBLANK(B535)),"",VLOOKUP(C535,Deflatores!G$4:H$38,2,FALSE)*J535+VLOOKUP(C535,Deflatores!G$4:I$38,3,FALSE)))</f>
        <v/>
      </c>
      <c r="O535" s="5"/>
      <c r="P535" s="5"/>
      <c r="Q535" s="6"/>
      <c r="R535" s="10"/>
      <c r="S535" s="104"/>
      <c r="T535" s="162"/>
      <c r="U535" s="10"/>
    </row>
    <row r="536" spans="1:21" ht="21.75" customHeight="1" x14ac:dyDescent="0.2">
      <c r="A536" s="102"/>
      <c r="B536" s="2"/>
      <c r="C536" s="2"/>
      <c r="D536" s="2"/>
      <c r="E536" s="5"/>
      <c r="F536" s="2"/>
      <c r="G536" s="5"/>
      <c r="H536" s="8" t="str">
        <f t="shared" si="53"/>
        <v/>
      </c>
      <c r="I536" s="7" t="str">
        <f t="shared" si="54"/>
        <v/>
      </c>
      <c r="J536" s="3" t="str">
        <f t="shared" si="55"/>
        <v/>
      </c>
      <c r="K536" s="4" t="str">
        <f t="shared" si="56"/>
        <v/>
      </c>
      <c r="L536" s="7" t="str">
        <f t="shared" si="57"/>
        <v/>
      </c>
      <c r="M536" s="9" t="str">
        <f t="shared" si="58"/>
        <v/>
      </c>
      <c r="N536" s="9" t="str">
        <f>IF(NOT(ISERROR(VLOOKUP(B536,Deflatores!G$42:H$64,2,FALSE))),VLOOKUP(B536,Deflatores!G$42:H$64,2,FALSE),IF(OR(ISBLANK(C536),ISBLANK(B536)),"",VLOOKUP(C536,Deflatores!G$4:H$38,2,FALSE)*J536+VLOOKUP(C536,Deflatores!G$4:I$38,3,FALSE)))</f>
        <v/>
      </c>
      <c r="O536" s="5"/>
      <c r="P536" s="5"/>
      <c r="Q536" s="6"/>
      <c r="R536" s="10"/>
      <c r="S536" s="104"/>
      <c r="T536" s="162"/>
      <c r="U536" s="10"/>
    </row>
    <row r="537" spans="1:21" ht="21.75" customHeight="1" x14ac:dyDescent="0.2">
      <c r="A537" s="102"/>
      <c r="B537" s="2"/>
      <c r="C537" s="2"/>
      <c r="D537" s="2"/>
      <c r="E537" s="5"/>
      <c r="F537" s="2"/>
      <c r="G537" s="5"/>
      <c r="H537" s="8" t="str">
        <f t="shared" si="53"/>
        <v/>
      </c>
      <c r="I537" s="7" t="str">
        <f t="shared" si="54"/>
        <v/>
      </c>
      <c r="J537" s="3" t="str">
        <f t="shared" si="55"/>
        <v/>
      </c>
      <c r="K537" s="4" t="str">
        <f t="shared" si="56"/>
        <v/>
      </c>
      <c r="L537" s="7" t="str">
        <f t="shared" si="57"/>
        <v/>
      </c>
      <c r="M537" s="9" t="str">
        <f t="shared" si="58"/>
        <v/>
      </c>
      <c r="N537" s="9" t="str">
        <f>IF(NOT(ISERROR(VLOOKUP(B537,Deflatores!G$42:H$64,2,FALSE))),VLOOKUP(B537,Deflatores!G$42:H$64,2,FALSE),IF(OR(ISBLANK(C537),ISBLANK(B537)),"",VLOOKUP(C537,Deflatores!G$4:H$38,2,FALSE)*J537+VLOOKUP(C537,Deflatores!G$4:I$38,3,FALSE)))</f>
        <v/>
      </c>
      <c r="O537" s="5"/>
      <c r="P537" s="5"/>
      <c r="Q537" s="6"/>
      <c r="R537" s="10"/>
      <c r="S537" s="104"/>
      <c r="T537" s="162"/>
      <c r="U537" s="10"/>
    </row>
    <row r="538" spans="1:21" ht="21.75" customHeight="1" x14ac:dyDescent="0.2">
      <c r="A538" s="102"/>
      <c r="B538" s="2"/>
      <c r="C538" s="2"/>
      <c r="D538" s="2"/>
      <c r="E538" s="5"/>
      <c r="F538" s="2"/>
      <c r="G538" s="5"/>
      <c r="H538" s="8" t="str">
        <f t="shared" si="53"/>
        <v/>
      </c>
      <c r="I538" s="7" t="str">
        <f t="shared" si="54"/>
        <v/>
      </c>
      <c r="J538" s="3" t="str">
        <f t="shared" si="55"/>
        <v/>
      </c>
      <c r="K538" s="4" t="str">
        <f t="shared" si="56"/>
        <v/>
      </c>
      <c r="L538" s="7" t="str">
        <f t="shared" si="57"/>
        <v/>
      </c>
      <c r="M538" s="9" t="str">
        <f t="shared" si="58"/>
        <v/>
      </c>
      <c r="N538" s="9" t="str">
        <f>IF(NOT(ISERROR(VLOOKUP(B538,Deflatores!G$42:H$64,2,FALSE))),VLOOKUP(B538,Deflatores!G$42:H$64,2,FALSE),IF(OR(ISBLANK(C538),ISBLANK(B538)),"",VLOOKUP(C538,Deflatores!G$4:H$38,2,FALSE)*J538+VLOOKUP(C538,Deflatores!G$4:I$38,3,FALSE)))</f>
        <v/>
      </c>
      <c r="O538" s="5"/>
      <c r="P538" s="5"/>
      <c r="Q538" s="6"/>
      <c r="R538" s="10"/>
      <c r="S538" s="104"/>
      <c r="T538" s="162"/>
      <c r="U538" s="10"/>
    </row>
    <row r="539" spans="1:21" ht="21.75" customHeight="1" x14ac:dyDescent="0.2">
      <c r="A539" s="102"/>
      <c r="B539" s="2"/>
      <c r="C539" s="2"/>
      <c r="D539" s="2"/>
      <c r="E539" s="5"/>
      <c r="F539" s="2"/>
      <c r="G539" s="5"/>
      <c r="H539" s="8" t="str">
        <f t="shared" si="53"/>
        <v/>
      </c>
      <c r="I539" s="7" t="str">
        <f t="shared" si="54"/>
        <v/>
      </c>
      <c r="J539" s="3" t="str">
        <f t="shared" si="55"/>
        <v/>
      </c>
      <c r="K539" s="4" t="str">
        <f t="shared" si="56"/>
        <v/>
      </c>
      <c r="L539" s="7" t="str">
        <f t="shared" si="57"/>
        <v/>
      </c>
      <c r="M539" s="9" t="str">
        <f t="shared" si="58"/>
        <v/>
      </c>
      <c r="N539" s="9" t="str">
        <f>IF(NOT(ISERROR(VLOOKUP(B539,Deflatores!G$42:H$64,2,FALSE))),VLOOKUP(B539,Deflatores!G$42:H$64,2,FALSE),IF(OR(ISBLANK(C539),ISBLANK(B539)),"",VLOOKUP(C539,Deflatores!G$4:H$38,2,FALSE)*J539+VLOOKUP(C539,Deflatores!G$4:I$38,3,FALSE)))</f>
        <v/>
      </c>
      <c r="O539" s="5"/>
      <c r="P539" s="5"/>
      <c r="Q539" s="6"/>
      <c r="R539" s="10"/>
      <c r="S539" s="104"/>
      <c r="T539" s="162"/>
      <c r="U539" s="10"/>
    </row>
    <row r="540" spans="1:21" ht="21.75" customHeight="1" x14ac:dyDescent="0.2">
      <c r="A540" s="102"/>
      <c r="B540" s="2"/>
      <c r="C540" s="2"/>
      <c r="D540" s="2"/>
      <c r="E540" s="5"/>
      <c r="F540" s="2"/>
      <c r="G540" s="5"/>
      <c r="H540" s="8" t="str">
        <f t="shared" si="53"/>
        <v/>
      </c>
      <c r="I540" s="7" t="str">
        <f t="shared" si="54"/>
        <v/>
      </c>
      <c r="J540" s="3" t="str">
        <f t="shared" si="55"/>
        <v/>
      </c>
      <c r="K540" s="4" t="str">
        <f t="shared" si="56"/>
        <v/>
      </c>
      <c r="L540" s="7" t="str">
        <f t="shared" si="57"/>
        <v/>
      </c>
      <c r="M540" s="9" t="str">
        <f t="shared" si="58"/>
        <v/>
      </c>
      <c r="N540" s="9" t="str">
        <f>IF(NOT(ISERROR(VLOOKUP(B540,Deflatores!G$42:H$64,2,FALSE))),VLOOKUP(B540,Deflatores!G$42:H$64,2,FALSE),IF(OR(ISBLANK(C540),ISBLANK(B540)),"",VLOOKUP(C540,Deflatores!G$4:H$38,2,FALSE)*J540+VLOOKUP(C540,Deflatores!G$4:I$38,3,FALSE)))</f>
        <v/>
      </c>
      <c r="O540" s="5"/>
      <c r="P540" s="5"/>
      <c r="Q540" s="6"/>
      <c r="R540" s="10"/>
      <c r="S540" s="104"/>
      <c r="T540" s="162"/>
      <c r="U540" s="10"/>
    </row>
    <row r="541" spans="1:21" ht="21.75" customHeight="1" x14ac:dyDescent="0.2">
      <c r="A541" s="102"/>
      <c r="B541" s="2"/>
      <c r="C541" s="2"/>
      <c r="D541" s="2"/>
      <c r="E541" s="5"/>
      <c r="F541" s="2"/>
      <c r="G541" s="5"/>
      <c r="H541" s="8" t="str">
        <f t="shared" si="53"/>
        <v/>
      </c>
      <c r="I541" s="7" t="str">
        <f t="shared" si="54"/>
        <v/>
      </c>
      <c r="J541" s="3" t="str">
        <f t="shared" si="55"/>
        <v/>
      </c>
      <c r="K541" s="4" t="str">
        <f t="shared" si="56"/>
        <v/>
      </c>
      <c r="L541" s="7" t="str">
        <f t="shared" si="57"/>
        <v/>
      </c>
      <c r="M541" s="9" t="str">
        <f t="shared" si="58"/>
        <v/>
      </c>
      <c r="N541" s="9" t="str">
        <f>IF(NOT(ISERROR(VLOOKUP(B541,Deflatores!G$42:H$64,2,FALSE))),VLOOKUP(B541,Deflatores!G$42:H$64,2,FALSE),IF(OR(ISBLANK(C541),ISBLANK(B541)),"",VLOOKUP(C541,Deflatores!G$4:H$38,2,FALSE)*J541+VLOOKUP(C541,Deflatores!G$4:I$38,3,FALSE)))</f>
        <v/>
      </c>
      <c r="O541" s="5"/>
      <c r="P541" s="5"/>
      <c r="Q541" s="6"/>
      <c r="R541" s="10"/>
      <c r="S541" s="104"/>
      <c r="T541" s="162"/>
      <c r="U541" s="10"/>
    </row>
    <row r="542" spans="1:21" ht="21.75" customHeight="1" x14ac:dyDescent="0.2">
      <c r="A542" s="102"/>
      <c r="B542" s="2"/>
      <c r="C542" s="2"/>
      <c r="D542" s="2"/>
      <c r="E542" s="5"/>
      <c r="F542" s="2"/>
      <c r="G542" s="5"/>
      <c r="H542" s="8" t="str">
        <f t="shared" si="53"/>
        <v/>
      </c>
      <c r="I542" s="7" t="str">
        <f t="shared" si="54"/>
        <v/>
      </c>
      <c r="J542" s="3" t="str">
        <f t="shared" si="55"/>
        <v/>
      </c>
      <c r="K542" s="4" t="str">
        <f t="shared" si="56"/>
        <v/>
      </c>
      <c r="L542" s="7" t="str">
        <f t="shared" si="57"/>
        <v/>
      </c>
      <c r="M542" s="9" t="str">
        <f t="shared" si="58"/>
        <v/>
      </c>
      <c r="N542" s="9" t="str">
        <f>IF(NOT(ISERROR(VLOOKUP(B542,Deflatores!G$42:H$64,2,FALSE))),VLOOKUP(B542,Deflatores!G$42:H$64,2,FALSE),IF(OR(ISBLANK(C542),ISBLANK(B542)),"",VLOOKUP(C542,Deflatores!G$4:H$38,2,FALSE)*J542+VLOOKUP(C542,Deflatores!G$4:I$38,3,FALSE)))</f>
        <v/>
      </c>
      <c r="O542" s="5"/>
      <c r="P542" s="5"/>
      <c r="Q542" s="6"/>
      <c r="R542" s="10"/>
      <c r="S542" s="104"/>
      <c r="T542" s="162"/>
      <c r="U542" s="10"/>
    </row>
    <row r="543" spans="1:21" ht="21.75" customHeight="1" x14ac:dyDescent="0.2">
      <c r="A543" s="102"/>
      <c r="B543" s="2"/>
      <c r="C543" s="2"/>
      <c r="D543" s="2"/>
      <c r="E543" s="5"/>
      <c r="F543" s="2"/>
      <c r="G543" s="5"/>
      <c r="H543" s="8" t="str">
        <f t="shared" si="53"/>
        <v/>
      </c>
      <c r="I543" s="7" t="str">
        <f t="shared" si="54"/>
        <v/>
      </c>
      <c r="J543" s="3" t="str">
        <f t="shared" si="55"/>
        <v/>
      </c>
      <c r="K543" s="4" t="str">
        <f t="shared" si="56"/>
        <v/>
      </c>
      <c r="L543" s="7" t="str">
        <f t="shared" si="57"/>
        <v/>
      </c>
      <c r="M543" s="9" t="str">
        <f t="shared" si="58"/>
        <v/>
      </c>
      <c r="N543" s="9" t="str">
        <f>IF(NOT(ISERROR(VLOOKUP(B543,Deflatores!G$42:H$64,2,FALSE))),VLOOKUP(B543,Deflatores!G$42:H$64,2,FALSE),IF(OR(ISBLANK(C543),ISBLANK(B543)),"",VLOOKUP(C543,Deflatores!G$4:H$38,2,FALSE)*J543+VLOOKUP(C543,Deflatores!G$4:I$38,3,FALSE)))</f>
        <v/>
      </c>
      <c r="O543" s="5"/>
      <c r="P543" s="5"/>
      <c r="Q543" s="6"/>
      <c r="R543" s="10"/>
      <c r="S543" s="104"/>
      <c r="T543" s="162"/>
      <c r="U543" s="10"/>
    </row>
    <row r="544" spans="1:21" ht="21.75" customHeight="1" x14ac:dyDescent="0.2">
      <c r="A544" s="102"/>
      <c r="B544" s="2"/>
      <c r="C544" s="2"/>
      <c r="D544" s="2"/>
      <c r="E544" s="5"/>
      <c r="F544" s="2"/>
      <c r="G544" s="5"/>
      <c r="H544" s="8" t="str">
        <f t="shared" si="53"/>
        <v/>
      </c>
      <c r="I544" s="7" t="str">
        <f t="shared" si="54"/>
        <v/>
      </c>
      <c r="J544" s="3" t="str">
        <f t="shared" si="55"/>
        <v/>
      </c>
      <c r="K544" s="4" t="str">
        <f t="shared" si="56"/>
        <v/>
      </c>
      <c r="L544" s="7" t="str">
        <f t="shared" si="57"/>
        <v/>
      </c>
      <c r="M544" s="9" t="str">
        <f t="shared" si="58"/>
        <v/>
      </c>
      <c r="N544" s="9" t="str">
        <f>IF(NOT(ISERROR(VLOOKUP(B544,Deflatores!G$42:H$64,2,FALSE))),VLOOKUP(B544,Deflatores!G$42:H$64,2,FALSE),IF(OR(ISBLANK(C544),ISBLANK(B544)),"",VLOOKUP(C544,Deflatores!G$4:H$38,2,FALSE)*J544+VLOOKUP(C544,Deflatores!G$4:I$38,3,FALSE)))</f>
        <v/>
      </c>
      <c r="O544" s="5"/>
      <c r="P544" s="5"/>
      <c r="Q544" s="6"/>
      <c r="R544" s="10"/>
      <c r="S544" s="104"/>
      <c r="T544" s="162"/>
      <c r="U544" s="10"/>
    </row>
    <row r="545" spans="1:21" ht="21.75" customHeight="1" x14ac:dyDescent="0.2">
      <c r="A545" s="102"/>
      <c r="B545" s="2"/>
      <c r="C545" s="2"/>
      <c r="D545" s="2"/>
      <c r="E545" s="5"/>
      <c r="F545" s="2"/>
      <c r="G545" s="5"/>
      <c r="H545" s="8" t="str">
        <f t="shared" si="53"/>
        <v/>
      </c>
      <c r="I545" s="7" t="str">
        <f t="shared" si="54"/>
        <v/>
      </c>
      <c r="J545" s="3" t="str">
        <f t="shared" si="55"/>
        <v/>
      </c>
      <c r="K545" s="4" t="str">
        <f t="shared" si="56"/>
        <v/>
      </c>
      <c r="L545" s="7" t="str">
        <f t="shared" si="57"/>
        <v/>
      </c>
      <c r="M545" s="9" t="str">
        <f t="shared" si="58"/>
        <v/>
      </c>
      <c r="N545" s="9" t="str">
        <f>IF(NOT(ISERROR(VLOOKUP(B545,Deflatores!G$42:H$64,2,FALSE))),VLOOKUP(B545,Deflatores!G$42:H$64,2,FALSE),IF(OR(ISBLANK(C545),ISBLANK(B545)),"",VLOOKUP(C545,Deflatores!G$4:H$38,2,FALSE)*J545+VLOOKUP(C545,Deflatores!G$4:I$38,3,FALSE)))</f>
        <v/>
      </c>
      <c r="O545" s="5"/>
      <c r="P545" s="5"/>
      <c r="Q545" s="6"/>
      <c r="R545" s="10"/>
      <c r="S545" s="104"/>
      <c r="T545" s="162"/>
      <c r="U545" s="10"/>
    </row>
    <row r="546" spans="1:21" ht="21.75" customHeight="1" x14ac:dyDescent="0.2">
      <c r="A546" s="102"/>
      <c r="B546" s="2"/>
      <c r="C546" s="2"/>
      <c r="D546" s="2"/>
      <c r="E546" s="5"/>
      <c r="F546" s="2"/>
      <c r="G546" s="5"/>
      <c r="H546" s="8" t="str">
        <f t="shared" si="53"/>
        <v/>
      </c>
      <c r="I546" s="7" t="str">
        <f t="shared" si="54"/>
        <v/>
      </c>
      <c r="J546" s="3" t="str">
        <f t="shared" si="55"/>
        <v/>
      </c>
      <c r="K546" s="4" t="str">
        <f t="shared" si="56"/>
        <v/>
      </c>
      <c r="L546" s="7" t="str">
        <f t="shared" si="57"/>
        <v/>
      </c>
      <c r="M546" s="9" t="str">
        <f t="shared" si="58"/>
        <v/>
      </c>
      <c r="N546" s="9" t="str">
        <f>IF(NOT(ISERROR(VLOOKUP(B546,Deflatores!G$42:H$64,2,FALSE))),VLOOKUP(B546,Deflatores!G$42:H$64,2,FALSE),IF(OR(ISBLANK(C546),ISBLANK(B546)),"",VLOOKUP(C546,Deflatores!G$4:H$38,2,FALSE)*J546+VLOOKUP(C546,Deflatores!G$4:I$38,3,FALSE)))</f>
        <v/>
      </c>
      <c r="O546" s="5"/>
      <c r="P546" s="5"/>
      <c r="Q546" s="6"/>
      <c r="R546" s="10"/>
      <c r="S546" s="104"/>
      <c r="T546" s="162"/>
      <c r="U546" s="10"/>
    </row>
    <row r="547" spans="1:21" ht="21.75" customHeight="1" x14ac:dyDescent="0.2">
      <c r="A547" s="102"/>
      <c r="B547" s="2"/>
      <c r="C547" s="2"/>
      <c r="D547" s="2"/>
      <c r="E547" s="5"/>
      <c r="F547" s="2"/>
      <c r="G547" s="5"/>
      <c r="H547" s="8" t="str">
        <f t="shared" si="53"/>
        <v/>
      </c>
      <c r="I547" s="7" t="str">
        <f t="shared" si="54"/>
        <v/>
      </c>
      <c r="J547" s="3" t="str">
        <f t="shared" si="55"/>
        <v/>
      </c>
      <c r="K547" s="4" t="str">
        <f t="shared" si="56"/>
        <v/>
      </c>
      <c r="L547" s="7" t="str">
        <f t="shared" si="57"/>
        <v/>
      </c>
      <c r="M547" s="9" t="str">
        <f t="shared" si="58"/>
        <v/>
      </c>
      <c r="N547" s="9" t="str">
        <f>IF(NOT(ISERROR(VLOOKUP(B547,Deflatores!G$42:H$64,2,FALSE))),VLOOKUP(B547,Deflatores!G$42:H$64,2,FALSE),IF(OR(ISBLANK(C547),ISBLANK(B547)),"",VLOOKUP(C547,Deflatores!G$4:H$38,2,FALSE)*J547+VLOOKUP(C547,Deflatores!G$4:I$38,3,FALSE)))</f>
        <v/>
      </c>
      <c r="O547" s="5"/>
      <c r="P547" s="5"/>
      <c r="Q547" s="6"/>
      <c r="R547" s="10"/>
      <c r="S547" s="104"/>
      <c r="T547" s="162"/>
      <c r="U547" s="10"/>
    </row>
    <row r="548" spans="1:21" ht="21.75" customHeight="1" x14ac:dyDescent="0.2">
      <c r="A548" s="102"/>
      <c r="B548" s="2"/>
      <c r="C548" s="2"/>
      <c r="D548" s="2"/>
      <c r="E548" s="5"/>
      <c r="F548" s="2"/>
      <c r="G548" s="5"/>
      <c r="H548" s="8" t="str">
        <f t="shared" si="53"/>
        <v/>
      </c>
      <c r="I548" s="7" t="str">
        <f t="shared" si="54"/>
        <v/>
      </c>
      <c r="J548" s="3" t="str">
        <f t="shared" si="55"/>
        <v/>
      </c>
      <c r="K548" s="4" t="str">
        <f t="shared" si="56"/>
        <v/>
      </c>
      <c r="L548" s="7" t="str">
        <f t="shared" si="57"/>
        <v/>
      </c>
      <c r="M548" s="9" t="str">
        <f t="shared" si="58"/>
        <v/>
      </c>
      <c r="N548" s="9" t="str">
        <f>IF(NOT(ISERROR(VLOOKUP(B548,Deflatores!G$42:H$64,2,FALSE))),VLOOKUP(B548,Deflatores!G$42:H$64,2,FALSE),IF(OR(ISBLANK(C548),ISBLANK(B548)),"",VLOOKUP(C548,Deflatores!G$4:H$38,2,FALSE)*J548+VLOOKUP(C548,Deflatores!G$4:I$38,3,FALSE)))</f>
        <v/>
      </c>
      <c r="O548" s="5"/>
      <c r="P548" s="5"/>
      <c r="Q548" s="6"/>
      <c r="R548" s="10"/>
      <c r="S548" s="104"/>
      <c r="T548" s="162"/>
      <c r="U548" s="10"/>
    </row>
    <row r="549" spans="1:21" ht="21.75" customHeight="1" x14ac:dyDescent="0.2">
      <c r="A549" s="102"/>
      <c r="B549" s="2"/>
      <c r="C549" s="2"/>
      <c r="D549" s="2"/>
      <c r="E549" s="5"/>
      <c r="F549" s="2"/>
      <c r="G549" s="5"/>
      <c r="H549" s="8" t="str">
        <f t="shared" si="53"/>
        <v/>
      </c>
      <c r="I549" s="7" t="str">
        <f t="shared" si="54"/>
        <v/>
      </c>
      <c r="J549" s="3" t="str">
        <f t="shared" si="55"/>
        <v/>
      </c>
      <c r="K549" s="4" t="str">
        <f t="shared" si="56"/>
        <v/>
      </c>
      <c r="L549" s="7" t="str">
        <f t="shared" si="57"/>
        <v/>
      </c>
      <c r="M549" s="9" t="str">
        <f t="shared" si="58"/>
        <v/>
      </c>
      <c r="N549" s="9" t="str">
        <f>IF(NOT(ISERROR(VLOOKUP(B549,Deflatores!G$42:H$64,2,FALSE))),VLOOKUP(B549,Deflatores!G$42:H$64,2,FALSE),IF(OR(ISBLANK(C549),ISBLANK(B549)),"",VLOOKUP(C549,Deflatores!G$4:H$38,2,FALSE)*J549+VLOOKUP(C549,Deflatores!G$4:I$38,3,FALSE)))</f>
        <v/>
      </c>
      <c r="O549" s="5"/>
      <c r="P549" s="5"/>
      <c r="Q549" s="6"/>
      <c r="R549" s="10"/>
      <c r="S549" s="104"/>
      <c r="T549" s="162"/>
      <c r="U549" s="10"/>
    </row>
    <row r="550" spans="1:21" ht="21.75" customHeight="1" x14ac:dyDescent="0.2">
      <c r="A550" s="102"/>
      <c r="B550" s="2"/>
      <c r="C550" s="2"/>
      <c r="D550" s="2"/>
      <c r="E550" s="5"/>
      <c r="F550" s="2"/>
      <c r="G550" s="5"/>
      <c r="H550" s="8" t="str">
        <f t="shared" si="53"/>
        <v/>
      </c>
      <c r="I550" s="7" t="str">
        <f t="shared" si="54"/>
        <v/>
      </c>
      <c r="J550" s="3" t="str">
        <f t="shared" si="55"/>
        <v/>
      </c>
      <c r="K550" s="4" t="str">
        <f t="shared" si="56"/>
        <v/>
      </c>
      <c r="L550" s="7" t="str">
        <f t="shared" si="57"/>
        <v/>
      </c>
      <c r="M550" s="9" t="str">
        <f t="shared" si="58"/>
        <v/>
      </c>
      <c r="N550" s="9" t="str">
        <f>IF(NOT(ISERROR(VLOOKUP(B550,Deflatores!G$42:H$64,2,FALSE))),VLOOKUP(B550,Deflatores!G$42:H$64,2,FALSE),IF(OR(ISBLANK(C550),ISBLANK(B550)),"",VLOOKUP(C550,Deflatores!G$4:H$38,2,FALSE)*J550+VLOOKUP(C550,Deflatores!G$4:I$38,3,FALSE)))</f>
        <v/>
      </c>
      <c r="O550" s="5"/>
      <c r="P550" s="5"/>
      <c r="Q550" s="6"/>
      <c r="R550" s="10"/>
      <c r="S550" s="104"/>
      <c r="T550" s="162"/>
      <c r="U550" s="10"/>
    </row>
    <row r="551" spans="1:21" ht="21.75" customHeight="1" x14ac:dyDescent="0.2">
      <c r="A551" s="102"/>
      <c r="B551" s="2"/>
      <c r="C551" s="2"/>
      <c r="D551" s="2"/>
      <c r="E551" s="5"/>
      <c r="F551" s="2"/>
      <c r="G551" s="5"/>
      <c r="H551" s="8" t="str">
        <f t="shared" si="53"/>
        <v/>
      </c>
      <c r="I551" s="7" t="str">
        <f t="shared" si="54"/>
        <v/>
      </c>
      <c r="J551" s="3" t="str">
        <f t="shared" si="55"/>
        <v/>
      </c>
      <c r="K551" s="4" t="str">
        <f t="shared" si="56"/>
        <v/>
      </c>
      <c r="L551" s="7" t="str">
        <f t="shared" si="57"/>
        <v/>
      </c>
      <c r="M551" s="9" t="str">
        <f t="shared" si="58"/>
        <v/>
      </c>
      <c r="N551" s="9" t="str">
        <f>IF(NOT(ISERROR(VLOOKUP(B551,Deflatores!G$42:H$64,2,FALSE))),VLOOKUP(B551,Deflatores!G$42:H$64,2,FALSE),IF(OR(ISBLANK(C551),ISBLANK(B551)),"",VLOOKUP(C551,Deflatores!G$4:H$38,2,FALSE)*J551+VLOOKUP(C551,Deflatores!G$4:I$38,3,FALSE)))</f>
        <v/>
      </c>
      <c r="O551" s="5"/>
      <c r="P551" s="5"/>
      <c r="Q551" s="6"/>
      <c r="R551" s="10"/>
      <c r="S551" s="104"/>
      <c r="T551" s="162"/>
      <c r="U551" s="10"/>
    </row>
    <row r="552" spans="1:21" ht="21.75" customHeight="1" x14ac:dyDescent="0.2">
      <c r="A552" s="102"/>
      <c r="B552" s="2"/>
      <c r="C552" s="2"/>
      <c r="D552" s="2"/>
      <c r="E552" s="5"/>
      <c r="F552" s="2"/>
      <c r="G552" s="5"/>
      <c r="H552" s="8" t="str">
        <f t="shared" si="53"/>
        <v/>
      </c>
      <c r="I552" s="7" t="str">
        <f t="shared" si="54"/>
        <v/>
      </c>
      <c r="J552" s="3" t="str">
        <f t="shared" si="55"/>
        <v/>
      </c>
      <c r="K552" s="4" t="str">
        <f t="shared" si="56"/>
        <v/>
      </c>
      <c r="L552" s="7" t="str">
        <f t="shared" si="57"/>
        <v/>
      </c>
      <c r="M552" s="9" t="str">
        <f t="shared" si="58"/>
        <v/>
      </c>
      <c r="N552" s="9" t="str">
        <f>IF(NOT(ISERROR(VLOOKUP(B552,Deflatores!G$42:H$64,2,FALSE))),VLOOKUP(B552,Deflatores!G$42:H$64,2,FALSE),IF(OR(ISBLANK(C552),ISBLANK(B552)),"",VLOOKUP(C552,Deflatores!G$4:H$38,2,FALSE)*J552+VLOOKUP(C552,Deflatores!G$4:I$38,3,FALSE)))</f>
        <v/>
      </c>
      <c r="O552" s="5"/>
      <c r="P552" s="5"/>
      <c r="Q552" s="6"/>
      <c r="R552" s="10"/>
      <c r="S552" s="104"/>
      <c r="T552" s="162"/>
      <c r="U552" s="10"/>
    </row>
    <row r="553" spans="1:21" ht="21.75" customHeight="1" x14ac:dyDescent="0.2">
      <c r="A553" s="102"/>
      <c r="B553" s="2"/>
      <c r="C553" s="2"/>
      <c r="D553" s="2"/>
      <c r="E553" s="5"/>
      <c r="F553" s="2"/>
      <c r="G553" s="5"/>
      <c r="H553" s="8" t="str">
        <f t="shared" si="53"/>
        <v/>
      </c>
      <c r="I553" s="7" t="str">
        <f t="shared" si="54"/>
        <v/>
      </c>
      <c r="J553" s="3" t="str">
        <f t="shared" si="55"/>
        <v/>
      </c>
      <c r="K553" s="4" t="str">
        <f t="shared" si="56"/>
        <v/>
      </c>
      <c r="L553" s="7" t="str">
        <f t="shared" si="57"/>
        <v/>
      </c>
      <c r="M553" s="9" t="str">
        <f t="shared" si="58"/>
        <v/>
      </c>
      <c r="N553" s="9" t="str">
        <f>IF(NOT(ISERROR(VLOOKUP(B553,Deflatores!G$42:H$64,2,FALSE))),VLOOKUP(B553,Deflatores!G$42:H$64,2,FALSE),IF(OR(ISBLANK(C553),ISBLANK(B553)),"",VLOOKUP(C553,Deflatores!G$4:H$38,2,FALSE)*J553+VLOOKUP(C553,Deflatores!G$4:I$38,3,FALSE)))</f>
        <v/>
      </c>
      <c r="O553" s="5"/>
      <c r="P553" s="5"/>
      <c r="Q553" s="6"/>
      <c r="R553" s="10"/>
      <c r="S553" s="104"/>
      <c r="T553" s="162"/>
      <c r="U553" s="10"/>
    </row>
    <row r="554" spans="1:21" ht="21.75" customHeight="1" x14ac:dyDescent="0.2">
      <c r="A554" s="102"/>
      <c r="B554" s="2"/>
      <c r="C554" s="2"/>
      <c r="D554" s="2"/>
      <c r="E554" s="5"/>
      <c r="F554" s="2"/>
      <c r="G554" s="5"/>
      <c r="H554" s="8" t="str">
        <f t="shared" si="53"/>
        <v/>
      </c>
      <c r="I554" s="7" t="str">
        <f t="shared" si="54"/>
        <v/>
      </c>
      <c r="J554" s="3" t="str">
        <f t="shared" si="55"/>
        <v/>
      </c>
      <c r="K554" s="4" t="str">
        <f t="shared" si="56"/>
        <v/>
      </c>
      <c r="L554" s="7" t="str">
        <f t="shared" si="57"/>
        <v/>
      </c>
      <c r="M554" s="9" t="str">
        <f t="shared" si="58"/>
        <v/>
      </c>
      <c r="N554" s="9" t="str">
        <f>IF(NOT(ISERROR(VLOOKUP(B554,Deflatores!G$42:H$64,2,FALSE))),VLOOKUP(B554,Deflatores!G$42:H$64,2,FALSE),IF(OR(ISBLANK(C554),ISBLANK(B554)),"",VLOOKUP(C554,Deflatores!G$4:H$38,2,FALSE)*J554+VLOOKUP(C554,Deflatores!G$4:I$38,3,FALSE)))</f>
        <v/>
      </c>
      <c r="O554" s="5"/>
      <c r="P554" s="5"/>
      <c r="Q554" s="6"/>
      <c r="R554" s="10"/>
      <c r="S554" s="104"/>
      <c r="T554" s="162"/>
      <c r="U554" s="10"/>
    </row>
    <row r="555" spans="1:21" ht="21.75" customHeight="1" x14ac:dyDescent="0.2">
      <c r="A555" s="102"/>
      <c r="B555" s="2"/>
      <c r="C555" s="2"/>
      <c r="D555" s="2"/>
      <c r="E555" s="5"/>
      <c r="F555" s="2"/>
      <c r="G555" s="5"/>
      <c r="H555" s="8" t="str">
        <f t="shared" si="53"/>
        <v/>
      </c>
      <c r="I555" s="7" t="str">
        <f t="shared" si="54"/>
        <v/>
      </c>
      <c r="J555" s="3" t="str">
        <f t="shared" si="55"/>
        <v/>
      </c>
      <c r="K555" s="4" t="str">
        <f t="shared" si="56"/>
        <v/>
      </c>
      <c r="L555" s="7" t="str">
        <f t="shared" si="57"/>
        <v/>
      </c>
      <c r="M555" s="9" t="str">
        <f t="shared" si="58"/>
        <v/>
      </c>
      <c r="N555" s="9" t="str">
        <f>IF(NOT(ISERROR(VLOOKUP(B555,Deflatores!G$42:H$64,2,FALSE))),VLOOKUP(B555,Deflatores!G$42:H$64,2,FALSE),IF(OR(ISBLANK(C555),ISBLANK(B555)),"",VLOOKUP(C555,Deflatores!G$4:H$38,2,FALSE)*J555+VLOOKUP(C555,Deflatores!G$4:I$38,3,FALSE)))</f>
        <v/>
      </c>
      <c r="O555" s="5"/>
      <c r="P555" s="5"/>
      <c r="Q555" s="6"/>
      <c r="R555" s="10"/>
      <c r="S555" s="104"/>
      <c r="T555" s="162"/>
      <c r="U555" s="10"/>
    </row>
    <row r="556" spans="1:21" ht="21.75" customHeight="1" x14ac:dyDescent="0.2">
      <c r="A556" s="102"/>
      <c r="B556" s="2"/>
      <c r="C556" s="2"/>
      <c r="D556" s="2"/>
      <c r="E556" s="5"/>
      <c r="F556" s="2"/>
      <c r="G556" s="5"/>
      <c r="H556" s="8" t="str">
        <f t="shared" si="53"/>
        <v/>
      </c>
      <c r="I556" s="7" t="str">
        <f t="shared" si="54"/>
        <v/>
      </c>
      <c r="J556" s="3" t="str">
        <f t="shared" si="55"/>
        <v/>
      </c>
      <c r="K556" s="4" t="str">
        <f t="shared" si="56"/>
        <v/>
      </c>
      <c r="L556" s="7" t="str">
        <f t="shared" si="57"/>
        <v/>
      </c>
      <c r="M556" s="9" t="str">
        <f t="shared" si="58"/>
        <v/>
      </c>
      <c r="N556" s="9" t="str">
        <f>IF(NOT(ISERROR(VLOOKUP(B556,Deflatores!G$42:H$64,2,FALSE))),VLOOKUP(B556,Deflatores!G$42:H$64,2,FALSE),IF(OR(ISBLANK(C556),ISBLANK(B556)),"",VLOOKUP(C556,Deflatores!G$4:H$38,2,FALSE)*J556+VLOOKUP(C556,Deflatores!G$4:I$38,3,FALSE)))</f>
        <v/>
      </c>
      <c r="O556" s="5"/>
      <c r="P556" s="5"/>
      <c r="Q556" s="6"/>
      <c r="R556" s="10"/>
      <c r="S556" s="104"/>
      <c r="T556" s="162"/>
      <c r="U556" s="10"/>
    </row>
    <row r="557" spans="1:21" ht="21.75" customHeight="1" x14ac:dyDescent="0.2">
      <c r="A557" s="102"/>
      <c r="B557" s="2"/>
      <c r="C557" s="2"/>
      <c r="D557" s="2"/>
      <c r="E557" s="5"/>
      <c r="F557" s="2"/>
      <c r="G557" s="5"/>
      <c r="H557" s="8" t="str">
        <f t="shared" si="53"/>
        <v/>
      </c>
      <c r="I557" s="7" t="str">
        <f t="shared" si="54"/>
        <v/>
      </c>
      <c r="J557" s="3" t="str">
        <f t="shared" si="55"/>
        <v/>
      </c>
      <c r="K557" s="4" t="str">
        <f t="shared" si="56"/>
        <v/>
      </c>
      <c r="L557" s="7" t="str">
        <f t="shared" si="57"/>
        <v/>
      </c>
      <c r="M557" s="9" t="str">
        <f t="shared" si="58"/>
        <v/>
      </c>
      <c r="N557" s="9" t="str">
        <f>IF(NOT(ISERROR(VLOOKUP(B557,Deflatores!G$42:H$64,2,FALSE))),VLOOKUP(B557,Deflatores!G$42:H$64,2,FALSE),IF(OR(ISBLANK(C557),ISBLANK(B557)),"",VLOOKUP(C557,Deflatores!G$4:H$38,2,FALSE)*J557+VLOOKUP(C557,Deflatores!G$4:I$38,3,FALSE)))</f>
        <v/>
      </c>
      <c r="O557" s="5"/>
      <c r="P557" s="5"/>
      <c r="Q557" s="6"/>
      <c r="R557" s="10"/>
      <c r="S557" s="104"/>
      <c r="T557" s="162"/>
      <c r="U557" s="10"/>
    </row>
    <row r="558" spans="1:21" ht="21.75" customHeight="1" x14ac:dyDescent="0.2">
      <c r="A558" s="102"/>
      <c r="B558" s="2"/>
      <c r="C558" s="2"/>
      <c r="D558" s="2"/>
      <c r="E558" s="5"/>
      <c r="F558" s="2"/>
      <c r="G558" s="5"/>
      <c r="H558" s="8" t="str">
        <f t="shared" si="53"/>
        <v/>
      </c>
      <c r="I558" s="7" t="str">
        <f t="shared" si="54"/>
        <v/>
      </c>
      <c r="J558" s="3" t="str">
        <f t="shared" si="55"/>
        <v/>
      </c>
      <c r="K558" s="4" t="str">
        <f t="shared" si="56"/>
        <v/>
      </c>
      <c r="L558" s="7" t="str">
        <f t="shared" si="57"/>
        <v/>
      </c>
      <c r="M558" s="9" t="str">
        <f t="shared" si="58"/>
        <v/>
      </c>
      <c r="N558" s="9" t="str">
        <f>IF(NOT(ISERROR(VLOOKUP(B558,Deflatores!G$42:H$64,2,FALSE))),VLOOKUP(B558,Deflatores!G$42:H$64,2,FALSE),IF(OR(ISBLANK(C558),ISBLANK(B558)),"",VLOOKUP(C558,Deflatores!G$4:H$38,2,FALSE)*J558+VLOOKUP(C558,Deflatores!G$4:I$38,3,FALSE)))</f>
        <v/>
      </c>
      <c r="O558" s="5"/>
      <c r="P558" s="5"/>
      <c r="Q558" s="6"/>
      <c r="R558" s="10"/>
      <c r="S558" s="104"/>
      <c r="T558" s="162"/>
      <c r="U558" s="10"/>
    </row>
    <row r="559" spans="1:21" ht="21.75" customHeight="1" x14ac:dyDescent="0.2">
      <c r="A559" s="102"/>
      <c r="B559" s="2"/>
      <c r="C559" s="2"/>
      <c r="D559" s="2"/>
      <c r="E559" s="5"/>
      <c r="F559" s="2"/>
      <c r="G559" s="5"/>
      <c r="H559" s="8" t="str">
        <f t="shared" si="53"/>
        <v/>
      </c>
      <c r="I559" s="7" t="str">
        <f t="shared" si="54"/>
        <v/>
      </c>
      <c r="J559" s="3" t="str">
        <f t="shared" si="55"/>
        <v/>
      </c>
      <c r="K559" s="4" t="str">
        <f t="shared" si="56"/>
        <v/>
      </c>
      <c r="L559" s="7" t="str">
        <f t="shared" si="57"/>
        <v/>
      </c>
      <c r="M559" s="9" t="str">
        <f t="shared" si="58"/>
        <v/>
      </c>
      <c r="N559" s="9" t="str">
        <f>IF(NOT(ISERROR(VLOOKUP(B559,Deflatores!G$42:H$64,2,FALSE))),VLOOKUP(B559,Deflatores!G$42:H$64,2,FALSE),IF(OR(ISBLANK(C559),ISBLANK(B559)),"",VLOOKUP(C559,Deflatores!G$4:H$38,2,FALSE)*J559+VLOOKUP(C559,Deflatores!G$4:I$38,3,FALSE)))</f>
        <v/>
      </c>
      <c r="O559" s="5"/>
      <c r="P559" s="5"/>
      <c r="Q559" s="6"/>
      <c r="R559" s="10"/>
      <c r="S559" s="104"/>
      <c r="T559" s="162"/>
      <c r="U559" s="10"/>
    </row>
    <row r="560" spans="1:21" ht="21.75" customHeight="1" x14ac:dyDescent="0.2">
      <c r="A560" s="102"/>
      <c r="B560" s="2"/>
      <c r="C560" s="2"/>
      <c r="D560" s="2"/>
      <c r="E560" s="5"/>
      <c r="F560" s="2"/>
      <c r="G560" s="5"/>
      <c r="H560" s="8" t="str">
        <f t="shared" si="53"/>
        <v/>
      </c>
      <c r="I560" s="7" t="str">
        <f t="shared" si="54"/>
        <v/>
      </c>
      <c r="J560" s="3" t="str">
        <f t="shared" si="55"/>
        <v/>
      </c>
      <c r="K560" s="4" t="str">
        <f t="shared" si="56"/>
        <v/>
      </c>
      <c r="L560" s="7" t="str">
        <f t="shared" si="57"/>
        <v/>
      </c>
      <c r="M560" s="9" t="str">
        <f t="shared" si="58"/>
        <v/>
      </c>
      <c r="N560" s="9" t="str">
        <f>IF(NOT(ISERROR(VLOOKUP(B560,Deflatores!G$42:H$64,2,FALSE))),VLOOKUP(B560,Deflatores!G$42:H$64,2,FALSE),IF(OR(ISBLANK(C560),ISBLANK(B560)),"",VLOOKUP(C560,Deflatores!G$4:H$38,2,FALSE)*J560+VLOOKUP(C560,Deflatores!G$4:I$38,3,FALSE)))</f>
        <v/>
      </c>
      <c r="O560" s="5"/>
      <c r="P560" s="5"/>
      <c r="Q560" s="6"/>
      <c r="R560" s="10"/>
      <c r="S560" s="104"/>
      <c r="T560" s="162"/>
      <c r="U560" s="10"/>
    </row>
    <row r="561" spans="1:21" ht="21.75" customHeight="1" x14ac:dyDescent="0.2">
      <c r="A561" s="102"/>
      <c r="B561" s="2"/>
      <c r="C561" s="2"/>
      <c r="D561" s="2"/>
      <c r="E561" s="5"/>
      <c r="F561" s="2"/>
      <c r="G561" s="5"/>
      <c r="H561" s="8" t="str">
        <f t="shared" si="53"/>
        <v/>
      </c>
      <c r="I561" s="7" t="str">
        <f t="shared" si="54"/>
        <v/>
      </c>
      <c r="J561" s="3" t="str">
        <f t="shared" si="55"/>
        <v/>
      </c>
      <c r="K561" s="4" t="str">
        <f t="shared" si="56"/>
        <v/>
      </c>
      <c r="L561" s="7" t="str">
        <f t="shared" si="57"/>
        <v/>
      </c>
      <c r="M561" s="9" t="str">
        <f t="shared" si="58"/>
        <v/>
      </c>
      <c r="N561" s="9" t="str">
        <f>IF(NOT(ISERROR(VLOOKUP(B561,Deflatores!G$42:H$64,2,FALSE))),VLOOKUP(B561,Deflatores!G$42:H$64,2,FALSE),IF(OR(ISBLANK(C561),ISBLANK(B561)),"",VLOOKUP(C561,Deflatores!G$4:H$38,2,FALSE)*J561+VLOOKUP(C561,Deflatores!G$4:I$38,3,FALSE)))</f>
        <v/>
      </c>
      <c r="O561" s="5"/>
      <c r="P561" s="5"/>
      <c r="Q561" s="6"/>
      <c r="R561" s="10"/>
      <c r="S561" s="104"/>
      <c r="T561" s="162"/>
      <c r="U561" s="10"/>
    </row>
    <row r="562" spans="1:21" ht="21.75" customHeight="1" x14ac:dyDescent="0.2">
      <c r="A562" s="102"/>
      <c r="B562" s="2"/>
      <c r="C562" s="2"/>
      <c r="D562" s="2"/>
      <c r="E562" s="5"/>
      <c r="F562" s="2"/>
      <c r="G562" s="5"/>
      <c r="H562" s="8" t="str">
        <f t="shared" si="53"/>
        <v/>
      </c>
      <c r="I562" s="7" t="str">
        <f t="shared" si="54"/>
        <v/>
      </c>
      <c r="J562" s="3" t="str">
        <f t="shared" si="55"/>
        <v/>
      </c>
      <c r="K562" s="4" t="str">
        <f t="shared" si="56"/>
        <v/>
      </c>
      <c r="L562" s="7" t="str">
        <f t="shared" si="57"/>
        <v/>
      </c>
      <c r="M562" s="9" t="str">
        <f t="shared" si="58"/>
        <v/>
      </c>
      <c r="N562" s="9" t="str">
        <f>IF(NOT(ISERROR(VLOOKUP(B562,Deflatores!G$42:H$64,2,FALSE))),VLOOKUP(B562,Deflatores!G$42:H$64,2,FALSE),IF(OR(ISBLANK(C562),ISBLANK(B562)),"",VLOOKUP(C562,Deflatores!G$4:H$38,2,FALSE)*J562+VLOOKUP(C562,Deflatores!G$4:I$38,3,FALSE)))</f>
        <v/>
      </c>
      <c r="O562" s="5"/>
      <c r="P562" s="5"/>
      <c r="Q562" s="6"/>
      <c r="R562" s="10"/>
      <c r="S562" s="104"/>
      <c r="T562" s="162"/>
      <c r="U562" s="10"/>
    </row>
    <row r="563" spans="1:21" ht="21.75" customHeight="1" x14ac:dyDescent="0.2">
      <c r="A563" s="102"/>
      <c r="B563" s="2"/>
      <c r="C563" s="2"/>
      <c r="D563" s="2"/>
      <c r="E563" s="5"/>
      <c r="F563" s="2"/>
      <c r="G563" s="5"/>
      <c r="H563" s="8" t="str">
        <f t="shared" si="53"/>
        <v/>
      </c>
      <c r="I563" s="7" t="str">
        <f t="shared" si="54"/>
        <v/>
      </c>
      <c r="J563" s="3" t="str">
        <f t="shared" si="55"/>
        <v/>
      </c>
      <c r="K563" s="4" t="str">
        <f t="shared" si="56"/>
        <v/>
      </c>
      <c r="L563" s="7" t="str">
        <f t="shared" si="57"/>
        <v/>
      </c>
      <c r="M563" s="9" t="str">
        <f t="shared" si="58"/>
        <v/>
      </c>
      <c r="N563" s="9" t="str">
        <f>IF(NOT(ISERROR(VLOOKUP(B563,Deflatores!G$42:H$64,2,FALSE))),VLOOKUP(B563,Deflatores!G$42:H$64,2,FALSE),IF(OR(ISBLANK(C563),ISBLANK(B563)),"",VLOOKUP(C563,Deflatores!G$4:H$38,2,FALSE)*J563+VLOOKUP(C563,Deflatores!G$4:I$38,3,FALSE)))</f>
        <v/>
      </c>
      <c r="O563" s="5"/>
      <c r="P563" s="5"/>
      <c r="Q563" s="6"/>
      <c r="R563" s="10"/>
      <c r="S563" s="104"/>
      <c r="T563" s="162"/>
      <c r="U563" s="10"/>
    </row>
    <row r="564" spans="1:21" ht="21.75" customHeight="1" x14ac:dyDescent="0.2">
      <c r="A564" s="102"/>
      <c r="B564" s="2"/>
      <c r="C564" s="2"/>
      <c r="D564" s="2"/>
      <c r="E564" s="5"/>
      <c r="F564" s="2"/>
      <c r="G564" s="5"/>
      <c r="H564" s="8" t="str">
        <f t="shared" si="53"/>
        <v/>
      </c>
      <c r="I564" s="7" t="str">
        <f t="shared" si="54"/>
        <v/>
      </c>
      <c r="J564" s="3" t="str">
        <f t="shared" si="55"/>
        <v/>
      </c>
      <c r="K564" s="4" t="str">
        <f t="shared" si="56"/>
        <v/>
      </c>
      <c r="L564" s="7" t="str">
        <f t="shared" si="57"/>
        <v/>
      </c>
      <c r="M564" s="9" t="str">
        <f t="shared" si="58"/>
        <v/>
      </c>
      <c r="N564" s="9" t="str">
        <f>IF(NOT(ISERROR(VLOOKUP(B564,Deflatores!G$42:H$64,2,FALSE))),VLOOKUP(B564,Deflatores!G$42:H$64,2,FALSE),IF(OR(ISBLANK(C564),ISBLANK(B564)),"",VLOOKUP(C564,Deflatores!G$4:H$38,2,FALSE)*J564+VLOOKUP(C564,Deflatores!G$4:I$38,3,FALSE)))</f>
        <v/>
      </c>
      <c r="O564" s="5"/>
      <c r="P564" s="5"/>
      <c r="Q564" s="6"/>
      <c r="R564" s="10"/>
      <c r="S564" s="104"/>
      <c r="T564" s="162"/>
      <c r="U564" s="10"/>
    </row>
    <row r="565" spans="1:21" ht="21.75" customHeight="1" x14ac:dyDescent="0.2">
      <c r="A565" s="102"/>
      <c r="B565" s="2"/>
      <c r="C565" s="2"/>
      <c r="D565" s="2"/>
      <c r="E565" s="5"/>
      <c r="F565" s="2"/>
      <c r="G565" s="5"/>
      <c r="H565" s="8" t="str">
        <f t="shared" si="53"/>
        <v/>
      </c>
      <c r="I565" s="7" t="str">
        <f t="shared" si="54"/>
        <v/>
      </c>
      <c r="J565" s="3" t="str">
        <f t="shared" si="55"/>
        <v/>
      </c>
      <c r="K565" s="4" t="str">
        <f t="shared" si="56"/>
        <v/>
      </c>
      <c r="L565" s="7" t="str">
        <f t="shared" si="57"/>
        <v/>
      </c>
      <c r="M565" s="9" t="str">
        <f t="shared" si="58"/>
        <v/>
      </c>
      <c r="N565" s="9" t="str">
        <f>IF(NOT(ISERROR(VLOOKUP(B565,Deflatores!G$42:H$64,2,FALSE))),VLOOKUP(B565,Deflatores!G$42:H$64,2,FALSE),IF(OR(ISBLANK(C565),ISBLANK(B565)),"",VLOOKUP(C565,Deflatores!G$4:H$38,2,FALSE)*J565+VLOOKUP(C565,Deflatores!G$4:I$38,3,FALSE)))</f>
        <v/>
      </c>
      <c r="O565" s="5"/>
      <c r="P565" s="5"/>
      <c r="Q565" s="6"/>
      <c r="R565" s="10"/>
      <c r="S565" s="104"/>
      <c r="T565" s="162"/>
      <c r="U565" s="10"/>
    </row>
    <row r="566" spans="1:21" ht="21.75" customHeight="1" x14ac:dyDescent="0.2">
      <c r="A566" s="102"/>
      <c r="B566" s="2"/>
      <c r="C566" s="2"/>
      <c r="D566" s="2"/>
      <c r="E566" s="5"/>
      <c r="F566" s="2"/>
      <c r="G566" s="5"/>
      <c r="H566" s="8" t="str">
        <f t="shared" si="53"/>
        <v/>
      </c>
      <c r="I566" s="7" t="str">
        <f t="shared" si="54"/>
        <v/>
      </c>
      <c r="J566" s="3" t="str">
        <f t="shared" si="55"/>
        <v/>
      </c>
      <c r="K566" s="4" t="str">
        <f t="shared" si="56"/>
        <v/>
      </c>
      <c r="L566" s="7" t="str">
        <f t="shared" si="57"/>
        <v/>
      </c>
      <c r="M566" s="9" t="str">
        <f t="shared" si="58"/>
        <v/>
      </c>
      <c r="N566" s="9" t="str">
        <f>IF(NOT(ISERROR(VLOOKUP(B566,Deflatores!G$42:H$64,2,FALSE))),VLOOKUP(B566,Deflatores!G$42:H$64,2,FALSE),IF(OR(ISBLANK(C566),ISBLANK(B566)),"",VLOOKUP(C566,Deflatores!G$4:H$38,2,FALSE)*J566+VLOOKUP(C566,Deflatores!G$4:I$38,3,FALSE)))</f>
        <v/>
      </c>
      <c r="O566" s="5"/>
      <c r="P566" s="5"/>
      <c r="Q566" s="6"/>
      <c r="R566" s="10"/>
      <c r="S566" s="104"/>
      <c r="T566" s="162"/>
      <c r="U566" s="10"/>
    </row>
    <row r="567" spans="1:21" ht="21.75" customHeight="1" x14ac:dyDescent="0.2">
      <c r="A567" s="102"/>
      <c r="B567" s="2"/>
      <c r="C567" s="2"/>
      <c r="D567" s="2"/>
      <c r="E567" s="5"/>
      <c r="F567" s="2"/>
      <c r="G567" s="5"/>
      <c r="H567" s="8" t="str">
        <f t="shared" si="53"/>
        <v/>
      </c>
      <c r="I567" s="7" t="str">
        <f t="shared" si="54"/>
        <v/>
      </c>
      <c r="J567" s="3" t="str">
        <f t="shared" si="55"/>
        <v/>
      </c>
      <c r="K567" s="4" t="str">
        <f t="shared" si="56"/>
        <v/>
      </c>
      <c r="L567" s="7" t="str">
        <f t="shared" si="57"/>
        <v/>
      </c>
      <c r="M567" s="9" t="str">
        <f t="shared" si="58"/>
        <v/>
      </c>
      <c r="N567" s="9" t="str">
        <f>IF(NOT(ISERROR(VLOOKUP(B567,Deflatores!G$42:H$64,2,FALSE))),VLOOKUP(B567,Deflatores!G$42:H$64,2,FALSE),IF(OR(ISBLANK(C567),ISBLANK(B567)),"",VLOOKUP(C567,Deflatores!G$4:H$38,2,FALSE)*J567+VLOOKUP(C567,Deflatores!G$4:I$38,3,FALSE)))</f>
        <v/>
      </c>
      <c r="O567" s="5"/>
      <c r="P567" s="5"/>
      <c r="Q567" s="6"/>
      <c r="R567" s="10"/>
      <c r="S567" s="104"/>
      <c r="T567" s="162"/>
      <c r="U567" s="10"/>
    </row>
    <row r="568" spans="1:21" ht="21.75" customHeight="1" x14ac:dyDescent="0.2">
      <c r="A568" s="102"/>
      <c r="B568" s="2"/>
      <c r="C568" s="2"/>
      <c r="D568" s="2"/>
      <c r="E568" s="5"/>
      <c r="F568" s="2"/>
      <c r="G568" s="5"/>
      <c r="H568" s="8" t="str">
        <f t="shared" si="53"/>
        <v/>
      </c>
      <c r="I568" s="7" t="str">
        <f t="shared" si="54"/>
        <v/>
      </c>
      <c r="J568" s="3" t="str">
        <f t="shared" si="55"/>
        <v/>
      </c>
      <c r="K568" s="4" t="str">
        <f t="shared" si="56"/>
        <v/>
      </c>
      <c r="L568" s="7" t="str">
        <f t="shared" si="57"/>
        <v/>
      </c>
      <c r="M568" s="9" t="str">
        <f t="shared" si="58"/>
        <v/>
      </c>
      <c r="N568" s="9" t="str">
        <f>IF(NOT(ISERROR(VLOOKUP(B568,Deflatores!G$42:H$64,2,FALSE))),VLOOKUP(B568,Deflatores!G$42:H$64,2,FALSE),IF(OR(ISBLANK(C568),ISBLANK(B568)),"",VLOOKUP(C568,Deflatores!G$4:H$38,2,FALSE)*J568+VLOOKUP(C568,Deflatores!G$4:I$38,3,FALSE)))</f>
        <v/>
      </c>
      <c r="O568" s="5"/>
      <c r="P568" s="5"/>
      <c r="Q568" s="6"/>
      <c r="R568" s="10"/>
      <c r="S568" s="104"/>
      <c r="T568" s="162"/>
      <c r="U568" s="10"/>
    </row>
    <row r="569" spans="1:21" ht="21.75" customHeight="1" x14ac:dyDescent="0.2">
      <c r="A569" s="102"/>
      <c r="B569" s="2"/>
      <c r="C569" s="2"/>
      <c r="D569" s="2"/>
      <c r="E569" s="5"/>
      <c r="F569" s="2"/>
      <c r="G569" s="5"/>
      <c r="H569" s="8" t="str">
        <f t="shared" si="53"/>
        <v/>
      </c>
      <c r="I569" s="7" t="str">
        <f t="shared" si="54"/>
        <v/>
      </c>
      <c r="J569" s="3" t="str">
        <f t="shared" si="55"/>
        <v/>
      </c>
      <c r="K569" s="4" t="str">
        <f t="shared" si="56"/>
        <v/>
      </c>
      <c r="L569" s="7" t="str">
        <f t="shared" si="57"/>
        <v/>
      </c>
      <c r="M569" s="9" t="str">
        <f t="shared" si="58"/>
        <v/>
      </c>
      <c r="N569" s="9" t="str">
        <f>IF(NOT(ISERROR(VLOOKUP(B569,Deflatores!G$42:H$64,2,FALSE))),VLOOKUP(B569,Deflatores!G$42:H$64,2,FALSE),IF(OR(ISBLANK(C569),ISBLANK(B569)),"",VLOOKUP(C569,Deflatores!G$4:H$38,2,FALSE)*J569+VLOOKUP(C569,Deflatores!G$4:I$38,3,FALSE)))</f>
        <v/>
      </c>
      <c r="O569" s="5"/>
      <c r="P569" s="5"/>
      <c r="Q569" s="6"/>
      <c r="R569" s="10"/>
      <c r="S569" s="104"/>
      <c r="T569" s="162"/>
      <c r="U569" s="10"/>
    </row>
    <row r="570" spans="1:21" ht="21.75" customHeight="1" x14ac:dyDescent="0.2">
      <c r="A570" s="102"/>
      <c r="B570" s="2"/>
      <c r="C570" s="2"/>
      <c r="D570" s="2"/>
      <c r="E570" s="5"/>
      <c r="F570" s="2"/>
      <c r="G570" s="5"/>
      <c r="H570" s="8" t="str">
        <f t="shared" si="53"/>
        <v/>
      </c>
      <c r="I570" s="7" t="str">
        <f t="shared" si="54"/>
        <v/>
      </c>
      <c r="J570" s="3" t="str">
        <f t="shared" si="55"/>
        <v/>
      </c>
      <c r="K570" s="4" t="str">
        <f t="shared" si="56"/>
        <v/>
      </c>
      <c r="L570" s="7" t="str">
        <f t="shared" si="57"/>
        <v/>
      </c>
      <c r="M570" s="9" t="str">
        <f t="shared" si="58"/>
        <v/>
      </c>
      <c r="N570" s="9" t="str">
        <f>IF(NOT(ISERROR(VLOOKUP(B570,Deflatores!G$42:H$64,2,FALSE))),VLOOKUP(B570,Deflatores!G$42:H$64,2,FALSE),IF(OR(ISBLANK(C570),ISBLANK(B570)),"",VLOOKUP(C570,Deflatores!G$4:H$38,2,FALSE)*J570+VLOOKUP(C570,Deflatores!G$4:I$38,3,FALSE)))</f>
        <v/>
      </c>
      <c r="O570" s="5"/>
      <c r="P570" s="5"/>
      <c r="Q570" s="6"/>
      <c r="R570" s="10"/>
      <c r="S570" s="104"/>
      <c r="T570" s="162"/>
      <c r="U570" s="10"/>
    </row>
    <row r="571" spans="1:21" ht="21.75" customHeight="1" x14ac:dyDescent="0.2">
      <c r="A571" s="102"/>
      <c r="B571" s="2"/>
      <c r="C571" s="2"/>
      <c r="D571" s="2"/>
      <c r="E571" s="5"/>
      <c r="F571" s="2"/>
      <c r="G571" s="5"/>
      <c r="H571" s="8" t="str">
        <f t="shared" si="53"/>
        <v/>
      </c>
      <c r="I571" s="7" t="str">
        <f t="shared" si="54"/>
        <v/>
      </c>
      <c r="J571" s="3" t="str">
        <f t="shared" si="55"/>
        <v/>
      </c>
      <c r="K571" s="4" t="str">
        <f t="shared" si="56"/>
        <v/>
      </c>
      <c r="L571" s="7" t="str">
        <f t="shared" si="57"/>
        <v/>
      </c>
      <c r="M571" s="9" t="str">
        <f t="shared" si="58"/>
        <v/>
      </c>
      <c r="N571" s="9" t="str">
        <f>IF(NOT(ISERROR(VLOOKUP(B571,Deflatores!G$42:H$64,2,FALSE))),VLOOKUP(B571,Deflatores!G$42:H$64,2,FALSE),IF(OR(ISBLANK(C571),ISBLANK(B571)),"",VLOOKUP(C571,Deflatores!G$4:H$38,2,FALSE)*J571+VLOOKUP(C571,Deflatores!G$4:I$38,3,FALSE)))</f>
        <v/>
      </c>
      <c r="O571" s="5"/>
      <c r="P571" s="5"/>
      <c r="Q571" s="6"/>
      <c r="R571" s="10"/>
      <c r="S571" s="104"/>
      <c r="T571" s="162"/>
      <c r="U571" s="10"/>
    </row>
    <row r="572" spans="1:21" ht="21.75" customHeight="1" x14ac:dyDescent="0.2">
      <c r="A572" s="102"/>
      <c r="B572" s="2"/>
      <c r="C572" s="2"/>
      <c r="D572" s="2"/>
      <c r="E572" s="5"/>
      <c r="F572" s="2"/>
      <c r="G572" s="5"/>
      <c r="H572" s="8" t="str">
        <f t="shared" si="53"/>
        <v/>
      </c>
      <c r="I572" s="7" t="str">
        <f t="shared" si="54"/>
        <v/>
      </c>
      <c r="J572" s="3" t="str">
        <f t="shared" si="55"/>
        <v/>
      </c>
      <c r="K572" s="4" t="str">
        <f t="shared" si="56"/>
        <v/>
      </c>
      <c r="L572" s="7" t="str">
        <f t="shared" si="57"/>
        <v/>
      </c>
      <c r="M572" s="9" t="str">
        <f t="shared" si="58"/>
        <v/>
      </c>
      <c r="N572" s="9" t="str">
        <f>IF(NOT(ISERROR(VLOOKUP(B572,Deflatores!G$42:H$64,2,FALSE))),VLOOKUP(B572,Deflatores!G$42:H$64,2,FALSE),IF(OR(ISBLANK(C572),ISBLANK(B572)),"",VLOOKUP(C572,Deflatores!G$4:H$38,2,FALSE)*J572+VLOOKUP(C572,Deflatores!G$4:I$38,3,FALSE)))</f>
        <v/>
      </c>
      <c r="O572" s="5"/>
      <c r="P572" s="5"/>
      <c r="Q572" s="6"/>
      <c r="R572" s="10"/>
      <c r="S572" s="104"/>
      <c r="T572" s="162"/>
      <c r="U572" s="10"/>
    </row>
    <row r="573" spans="1:21" ht="21.75" customHeight="1" x14ac:dyDescent="0.2">
      <c r="A573" s="102"/>
      <c r="B573" s="2"/>
      <c r="C573" s="2"/>
      <c r="D573" s="2"/>
      <c r="E573" s="5"/>
      <c r="F573" s="2"/>
      <c r="G573" s="5"/>
      <c r="H573" s="8" t="str">
        <f t="shared" si="53"/>
        <v/>
      </c>
      <c r="I573" s="7" t="str">
        <f t="shared" si="54"/>
        <v/>
      </c>
      <c r="J573" s="3" t="str">
        <f t="shared" si="55"/>
        <v/>
      </c>
      <c r="K573" s="4" t="str">
        <f t="shared" si="56"/>
        <v/>
      </c>
      <c r="L573" s="7" t="str">
        <f t="shared" si="57"/>
        <v/>
      </c>
      <c r="M573" s="9" t="str">
        <f t="shared" si="58"/>
        <v/>
      </c>
      <c r="N573" s="9" t="str">
        <f>IF(NOT(ISERROR(VLOOKUP(B573,Deflatores!G$42:H$64,2,FALSE))),VLOOKUP(B573,Deflatores!G$42:H$64,2,FALSE),IF(OR(ISBLANK(C573),ISBLANK(B573)),"",VLOOKUP(C573,Deflatores!G$4:H$38,2,FALSE)*J573+VLOOKUP(C573,Deflatores!G$4:I$38,3,FALSE)))</f>
        <v/>
      </c>
      <c r="O573" s="5"/>
      <c r="P573" s="5"/>
      <c r="Q573" s="6"/>
      <c r="R573" s="10"/>
      <c r="S573" s="104"/>
      <c r="T573" s="162"/>
      <c r="U573" s="10"/>
    </row>
    <row r="574" spans="1:21" ht="21.75" customHeight="1" x14ac:dyDescent="0.2">
      <c r="A574" s="102"/>
      <c r="B574" s="2"/>
      <c r="C574" s="2"/>
      <c r="D574" s="2"/>
      <c r="E574" s="5"/>
      <c r="F574" s="2"/>
      <c r="G574" s="5"/>
      <c r="H574" s="8" t="str">
        <f t="shared" si="53"/>
        <v/>
      </c>
      <c r="I574" s="7" t="str">
        <f t="shared" si="54"/>
        <v/>
      </c>
      <c r="J574" s="3" t="str">
        <f t="shared" si="55"/>
        <v/>
      </c>
      <c r="K574" s="4" t="str">
        <f t="shared" si="56"/>
        <v/>
      </c>
      <c r="L574" s="7" t="str">
        <f t="shared" si="57"/>
        <v/>
      </c>
      <c r="M574" s="9" t="str">
        <f t="shared" si="58"/>
        <v/>
      </c>
      <c r="N574" s="9" t="str">
        <f>IF(NOT(ISERROR(VLOOKUP(B574,Deflatores!G$42:H$64,2,FALSE))),VLOOKUP(B574,Deflatores!G$42:H$64,2,FALSE),IF(OR(ISBLANK(C574),ISBLANK(B574)),"",VLOOKUP(C574,Deflatores!G$4:H$38,2,FALSE)*J574+VLOOKUP(C574,Deflatores!G$4:I$38,3,FALSE)))</f>
        <v/>
      </c>
      <c r="O574" s="5"/>
      <c r="P574" s="5"/>
      <c r="Q574" s="6"/>
      <c r="R574" s="10"/>
      <c r="S574" s="104"/>
      <c r="T574" s="162"/>
      <c r="U574" s="10"/>
    </row>
    <row r="575" spans="1:21" ht="21.75" customHeight="1" x14ac:dyDescent="0.2">
      <c r="A575" s="102"/>
      <c r="B575" s="2"/>
      <c r="C575" s="2"/>
      <c r="D575" s="2"/>
      <c r="E575" s="5"/>
      <c r="F575" s="2"/>
      <c r="G575" s="5"/>
      <c r="H575" s="8" t="str">
        <f t="shared" si="53"/>
        <v/>
      </c>
      <c r="I575" s="7" t="str">
        <f t="shared" si="54"/>
        <v/>
      </c>
      <c r="J575" s="3" t="str">
        <f t="shared" si="55"/>
        <v/>
      </c>
      <c r="K575" s="4" t="str">
        <f t="shared" si="56"/>
        <v/>
      </c>
      <c r="L575" s="7" t="str">
        <f t="shared" si="57"/>
        <v/>
      </c>
      <c r="M575" s="9" t="str">
        <f t="shared" si="58"/>
        <v/>
      </c>
      <c r="N575" s="9" t="str">
        <f>IF(NOT(ISERROR(VLOOKUP(B575,Deflatores!G$42:H$64,2,FALSE))),VLOOKUP(B575,Deflatores!G$42:H$64,2,FALSE),IF(OR(ISBLANK(C575),ISBLANK(B575)),"",VLOOKUP(C575,Deflatores!G$4:H$38,2,FALSE)*J575+VLOOKUP(C575,Deflatores!G$4:I$38,3,FALSE)))</f>
        <v/>
      </c>
      <c r="O575" s="5"/>
      <c r="P575" s="5"/>
      <c r="Q575" s="6"/>
      <c r="R575" s="10"/>
      <c r="S575" s="104"/>
      <c r="T575" s="162"/>
      <c r="U575" s="10"/>
    </row>
    <row r="576" spans="1:21" ht="21.75" customHeight="1" x14ac:dyDescent="0.2">
      <c r="A576" s="102"/>
      <c r="B576" s="2"/>
      <c r="C576" s="2"/>
      <c r="D576" s="2"/>
      <c r="E576" s="5"/>
      <c r="F576" s="2"/>
      <c r="G576" s="5"/>
      <c r="H576" s="8" t="str">
        <f t="shared" si="53"/>
        <v/>
      </c>
      <c r="I576" s="7" t="str">
        <f t="shared" si="54"/>
        <v/>
      </c>
      <c r="J576" s="3" t="str">
        <f t="shared" si="55"/>
        <v/>
      </c>
      <c r="K576" s="4" t="str">
        <f t="shared" si="56"/>
        <v/>
      </c>
      <c r="L576" s="7" t="str">
        <f t="shared" si="57"/>
        <v/>
      </c>
      <c r="M576" s="9" t="str">
        <f t="shared" si="58"/>
        <v/>
      </c>
      <c r="N576" s="9" t="str">
        <f>IF(NOT(ISERROR(VLOOKUP(B576,Deflatores!G$42:H$64,2,FALSE))),VLOOKUP(B576,Deflatores!G$42:H$64,2,FALSE),IF(OR(ISBLANK(C576),ISBLANK(B576)),"",VLOOKUP(C576,Deflatores!G$4:H$38,2,FALSE)*J576+VLOOKUP(C576,Deflatores!G$4:I$38,3,FALSE)))</f>
        <v/>
      </c>
      <c r="O576" s="5"/>
      <c r="P576" s="5"/>
      <c r="Q576" s="6"/>
      <c r="R576" s="10"/>
      <c r="S576" s="104"/>
      <c r="T576" s="162"/>
      <c r="U576" s="10"/>
    </row>
    <row r="577" spans="1:21" ht="21.75" customHeight="1" x14ac:dyDescent="0.2">
      <c r="A577" s="102"/>
      <c r="B577" s="2"/>
      <c r="C577" s="2"/>
      <c r="D577" s="2"/>
      <c r="E577" s="5"/>
      <c r="F577" s="2"/>
      <c r="G577" s="5"/>
      <c r="H577" s="8" t="str">
        <f t="shared" si="53"/>
        <v/>
      </c>
      <c r="I577" s="7" t="str">
        <f t="shared" si="54"/>
        <v/>
      </c>
      <c r="J577" s="3" t="str">
        <f t="shared" si="55"/>
        <v/>
      </c>
      <c r="K577" s="4" t="str">
        <f t="shared" si="56"/>
        <v/>
      </c>
      <c r="L577" s="7" t="str">
        <f t="shared" si="57"/>
        <v/>
      </c>
      <c r="M577" s="9" t="str">
        <f t="shared" si="58"/>
        <v/>
      </c>
      <c r="N577" s="9" t="str">
        <f>IF(NOT(ISERROR(VLOOKUP(B577,Deflatores!G$42:H$64,2,FALSE))),VLOOKUP(B577,Deflatores!G$42:H$64,2,FALSE),IF(OR(ISBLANK(C577),ISBLANK(B577)),"",VLOOKUP(C577,Deflatores!G$4:H$38,2,FALSE)*J577+VLOOKUP(C577,Deflatores!G$4:I$38,3,FALSE)))</f>
        <v/>
      </c>
      <c r="O577" s="5"/>
      <c r="P577" s="5"/>
      <c r="Q577" s="6"/>
      <c r="R577" s="10"/>
      <c r="S577" s="104"/>
      <c r="T577" s="162"/>
      <c r="U577" s="10"/>
    </row>
    <row r="578" spans="1:21" ht="21.75" customHeight="1" x14ac:dyDescent="0.2">
      <c r="A578" s="102"/>
      <c r="B578" s="2"/>
      <c r="C578" s="2"/>
      <c r="D578" s="2"/>
      <c r="E578" s="5"/>
      <c r="F578" s="2"/>
      <c r="G578" s="5"/>
      <c r="H578" s="8" t="str">
        <f t="shared" si="53"/>
        <v/>
      </c>
      <c r="I578" s="7" t="str">
        <f t="shared" si="54"/>
        <v/>
      </c>
      <c r="J578" s="3" t="str">
        <f t="shared" si="55"/>
        <v/>
      </c>
      <c r="K578" s="4" t="str">
        <f t="shared" si="56"/>
        <v/>
      </c>
      <c r="L578" s="7" t="str">
        <f t="shared" si="57"/>
        <v/>
      </c>
      <c r="M578" s="9" t="str">
        <f t="shared" si="58"/>
        <v/>
      </c>
      <c r="N578" s="9" t="str">
        <f>IF(NOT(ISERROR(VLOOKUP(B578,Deflatores!G$42:H$64,2,FALSE))),VLOOKUP(B578,Deflatores!G$42:H$64,2,FALSE),IF(OR(ISBLANK(C578),ISBLANK(B578)),"",VLOOKUP(C578,Deflatores!G$4:H$38,2,FALSE)*J578+VLOOKUP(C578,Deflatores!G$4:I$38,3,FALSE)))</f>
        <v/>
      </c>
      <c r="O578" s="5"/>
      <c r="P578" s="5"/>
      <c r="Q578" s="6"/>
      <c r="R578" s="10"/>
      <c r="S578" s="104"/>
      <c r="T578" s="162"/>
      <c r="U578" s="10"/>
    </row>
    <row r="579" spans="1:21" ht="21.75" customHeight="1" x14ac:dyDescent="0.2">
      <c r="A579" s="102"/>
      <c r="B579" s="2"/>
      <c r="C579" s="2"/>
      <c r="D579" s="2"/>
      <c r="E579" s="5"/>
      <c r="F579" s="2"/>
      <c r="G579" s="5"/>
      <c r="H579" s="8" t="str">
        <f t="shared" si="53"/>
        <v/>
      </c>
      <c r="I579" s="7" t="str">
        <f t="shared" si="54"/>
        <v/>
      </c>
      <c r="J579" s="3" t="str">
        <f t="shared" si="55"/>
        <v/>
      </c>
      <c r="K579" s="4" t="str">
        <f t="shared" si="56"/>
        <v/>
      </c>
      <c r="L579" s="7" t="str">
        <f t="shared" si="57"/>
        <v/>
      </c>
      <c r="M579" s="9" t="str">
        <f t="shared" si="58"/>
        <v/>
      </c>
      <c r="N579" s="9" t="str">
        <f>IF(NOT(ISERROR(VLOOKUP(B579,Deflatores!G$42:H$64,2,FALSE))),VLOOKUP(B579,Deflatores!G$42:H$64,2,FALSE),IF(OR(ISBLANK(C579),ISBLANK(B579)),"",VLOOKUP(C579,Deflatores!G$4:H$38,2,FALSE)*J579+VLOOKUP(C579,Deflatores!G$4:I$38,3,FALSE)))</f>
        <v/>
      </c>
      <c r="O579" s="5"/>
      <c r="P579" s="5"/>
      <c r="Q579" s="6"/>
      <c r="R579" s="10"/>
      <c r="S579" s="104"/>
      <c r="T579" s="162"/>
      <c r="U579" s="10"/>
    </row>
    <row r="580" spans="1:21" ht="21.75" customHeight="1" x14ac:dyDescent="0.2">
      <c r="A580" s="102"/>
      <c r="B580" s="2"/>
      <c r="C580" s="2"/>
      <c r="D580" s="2"/>
      <c r="E580" s="5"/>
      <c r="F580" s="2"/>
      <c r="G580" s="5"/>
      <c r="H580" s="8" t="str">
        <f t="shared" si="53"/>
        <v/>
      </c>
      <c r="I580" s="7" t="str">
        <f t="shared" si="54"/>
        <v/>
      </c>
      <c r="J580" s="3" t="str">
        <f t="shared" si="55"/>
        <v/>
      </c>
      <c r="K580" s="4" t="str">
        <f t="shared" si="56"/>
        <v/>
      </c>
      <c r="L580" s="7" t="str">
        <f t="shared" si="57"/>
        <v/>
      </c>
      <c r="M580" s="9" t="str">
        <f t="shared" si="58"/>
        <v/>
      </c>
      <c r="N580" s="9" t="str">
        <f>IF(NOT(ISERROR(VLOOKUP(B580,Deflatores!G$42:H$64,2,FALSE))),VLOOKUP(B580,Deflatores!G$42:H$64,2,FALSE),IF(OR(ISBLANK(C580),ISBLANK(B580)),"",VLOOKUP(C580,Deflatores!G$4:H$38,2,FALSE)*J580+VLOOKUP(C580,Deflatores!G$4:I$38,3,FALSE)))</f>
        <v/>
      </c>
      <c r="O580" s="5"/>
      <c r="P580" s="5"/>
      <c r="Q580" s="6"/>
      <c r="R580" s="10"/>
      <c r="S580" s="104"/>
      <c r="T580" s="162"/>
      <c r="U580" s="10"/>
    </row>
    <row r="581" spans="1:21" ht="21.75" customHeight="1" x14ac:dyDescent="0.2">
      <c r="A581" s="102"/>
      <c r="B581" s="2"/>
      <c r="C581" s="2"/>
      <c r="D581" s="2"/>
      <c r="E581" s="5"/>
      <c r="F581" s="2"/>
      <c r="G581" s="5"/>
      <c r="H581" s="8" t="str">
        <f t="shared" si="53"/>
        <v/>
      </c>
      <c r="I581" s="7" t="str">
        <f t="shared" si="54"/>
        <v/>
      </c>
      <c r="J581" s="3" t="str">
        <f t="shared" si="55"/>
        <v/>
      </c>
      <c r="K581" s="4" t="str">
        <f t="shared" si="56"/>
        <v/>
      </c>
      <c r="L581" s="7" t="str">
        <f t="shared" si="57"/>
        <v/>
      </c>
      <c r="M581" s="9" t="str">
        <f t="shared" si="58"/>
        <v/>
      </c>
      <c r="N581" s="9" t="str">
        <f>IF(NOT(ISERROR(VLOOKUP(B581,Deflatores!G$42:H$64,2,FALSE))),VLOOKUP(B581,Deflatores!G$42:H$64,2,FALSE),IF(OR(ISBLANK(C581),ISBLANK(B581)),"",VLOOKUP(C581,Deflatores!G$4:H$38,2,FALSE)*J581+VLOOKUP(C581,Deflatores!G$4:I$38,3,FALSE)))</f>
        <v/>
      </c>
      <c r="O581" s="5"/>
      <c r="P581" s="5"/>
      <c r="Q581" s="6"/>
      <c r="R581" s="10"/>
      <c r="S581" s="104"/>
      <c r="T581" s="162"/>
      <c r="U581" s="10"/>
    </row>
    <row r="582" spans="1:21" ht="21.75" customHeight="1" x14ac:dyDescent="0.2">
      <c r="A582" s="102"/>
      <c r="B582" s="2"/>
      <c r="C582" s="2"/>
      <c r="D582" s="2"/>
      <c r="E582" s="5"/>
      <c r="F582" s="2"/>
      <c r="G582" s="5"/>
      <c r="H582" s="8" t="str">
        <f t="shared" si="53"/>
        <v/>
      </c>
      <c r="I582" s="7" t="str">
        <f t="shared" si="54"/>
        <v/>
      </c>
      <c r="J582" s="3" t="str">
        <f t="shared" si="55"/>
        <v/>
      </c>
      <c r="K582" s="4" t="str">
        <f t="shared" si="56"/>
        <v/>
      </c>
      <c r="L582" s="7" t="str">
        <f t="shared" si="57"/>
        <v/>
      </c>
      <c r="M582" s="9" t="str">
        <f t="shared" si="58"/>
        <v/>
      </c>
      <c r="N582" s="9" t="str">
        <f>IF(NOT(ISERROR(VLOOKUP(B582,Deflatores!G$42:H$64,2,FALSE))),VLOOKUP(B582,Deflatores!G$42:H$64,2,FALSE),IF(OR(ISBLANK(C582),ISBLANK(B582)),"",VLOOKUP(C582,Deflatores!G$4:H$38,2,FALSE)*J582+VLOOKUP(C582,Deflatores!G$4:I$38,3,FALSE)))</f>
        <v/>
      </c>
      <c r="O582" s="5"/>
      <c r="P582" s="5"/>
      <c r="Q582" s="6"/>
      <c r="R582" s="10"/>
      <c r="S582" s="104"/>
      <c r="T582" s="162"/>
      <c r="U582" s="10"/>
    </row>
    <row r="583" spans="1:21" ht="21.75" customHeight="1" x14ac:dyDescent="0.2">
      <c r="A583" s="102"/>
      <c r="B583" s="2"/>
      <c r="C583" s="2"/>
      <c r="D583" s="2"/>
      <c r="E583" s="5"/>
      <c r="F583" s="2"/>
      <c r="G583" s="5"/>
      <c r="H583" s="8" t="str">
        <f t="shared" si="53"/>
        <v/>
      </c>
      <c r="I583" s="7" t="str">
        <f t="shared" si="54"/>
        <v/>
      </c>
      <c r="J583" s="3" t="str">
        <f t="shared" si="55"/>
        <v/>
      </c>
      <c r="K583" s="4" t="str">
        <f t="shared" si="56"/>
        <v/>
      </c>
      <c r="L583" s="7" t="str">
        <f t="shared" si="57"/>
        <v/>
      </c>
      <c r="M583" s="9" t="str">
        <f t="shared" si="58"/>
        <v/>
      </c>
      <c r="N583" s="9" t="str">
        <f>IF(NOT(ISERROR(VLOOKUP(B583,Deflatores!G$42:H$64,2,FALSE))),VLOOKUP(B583,Deflatores!G$42:H$64,2,FALSE),IF(OR(ISBLANK(C583),ISBLANK(B583)),"",VLOOKUP(C583,Deflatores!G$4:H$38,2,FALSE)*J583+VLOOKUP(C583,Deflatores!G$4:I$38,3,FALSE)))</f>
        <v/>
      </c>
      <c r="O583" s="5"/>
      <c r="P583" s="5"/>
      <c r="Q583" s="6"/>
      <c r="R583" s="10"/>
      <c r="S583" s="104"/>
      <c r="T583" s="162"/>
      <c r="U583" s="10"/>
    </row>
    <row r="584" spans="1:21" ht="21.75" customHeight="1" x14ac:dyDescent="0.2">
      <c r="A584" s="102"/>
      <c r="B584" s="2"/>
      <c r="C584" s="2"/>
      <c r="D584" s="2"/>
      <c r="E584" s="5"/>
      <c r="F584" s="2"/>
      <c r="G584" s="5"/>
      <c r="H584" s="8" t="str">
        <f t="shared" si="53"/>
        <v/>
      </c>
      <c r="I584" s="7" t="str">
        <f t="shared" si="54"/>
        <v/>
      </c>
      <c r="J584" s="3" t="str">
        <f t="shared" si="55"/>
        <v/>
      </c>
      <c r="K584" s="4" t="str">
        <f t="shared" si="56"/>
        <v/>
      </c>
      <c r="L584" s="7" t="str">
        <f t="shared" si="57"/>
        <v/>
      </c>
      <c r="M584" s="9" t="str">
        <f t="shared" si="58"/>
        <v/>
      </c>
      <c r="N584" s="9" t="str">
        <f>IF(NOT(ISERROR(VLOOKUP(B584,Deflatores!G$42:H$64,2,FALSE))),VLOOKUP(B584,Deflatores!G$42:H$64,2,FALSE),IF(OR(ISBLANK(C584),ISBLANK(B584)),"",VLOOKUP(C584,Deflatores!G$4:H$38,2,FALSE)*J584+VLOOKUP(C584,Deflatores!G$4:I$38,3,FALSE)))</f>
        <v/>
      </c>
      <c r="O584" s="5"/>
      <c r="P584" s="5"/>
      <c r="Q584" s="6"/>
      <c r="R584" s="10"/>
      <c r="S584" s="104"/>
      <c r="T584" s="162"/>
      <c r="U584" s="10"/>
    </row>
    <row r="585" spans="1:21" ht="21.75" customHeight="1" x14ac:dyDescent="0.2">
      <c r="A585" s="102"/>
      <c r="B585" s="2"/>
      <c r="C585" s="2"/>
      <c r="D585" s="2"/>
      <c r="E585" s="5"/>
      <c r="F585" s="2"/>
      <c r="G585" s="5"/>
      <c r="H585" s="8" t="str">
        <f t="shared" ref="H585:H606" si="59">IF(ISBLANK(B585),"",IF(K585="L","Baixa",IF(K585="A","Média",IF(K585="","","Alta"))))</f>
        <v/>
      </c>
      <c r="I585" s="7" t="str">
        <f t="shared" ref="I585:I606" si="60">CONCATENATE(B585,K585)</f>
        <v/>
      </c>
      <c r="J585" s="3" t="str">
        <f t="shared" ref="J585:J606" si="61">IF(ISBLANK(B585),"",IF(B585="ALI",IF(K585="L",7,IF(K585="A",10,15)),IF(B585="AIE",IF(K585="L",5,IF(K585="A",7,10)),IF(B585="SE",IF(K585="L",4,IF(K585="A",5,7)),IF(OR(B585="EE",B585="CE"),IF(K585="L",3,IF(K585="A",4,6)),0)))))</f>
        <v/>
      </c>
      <c r="K585" s="4" t="str">
        <f t="shared" ref="K585:K606" si="62">IF(OR(ISBLANK(D585),ISBLANK(F585)),IF(OR(B585="ALI",B585="AIE"),"L",IF(OR(B585="EE",B585="SE",B585="CE"),"A","")),IF(B585="EE",IF(F585&gt;=3,IF(D585&gt;=5,"H","A"),IF(F585&gt;=2,IF(D585&gt;=16,"H",IF(D585&lt;=4,"L","A")),IF(D585&lt;=15,"L","A"))),IF(OR(B585="SE",B585="CE"),IF(F585&gt;=4,IF(D585&gt;=6,"H","A"),IF(F585&gt;=2,IF(D585&gt;=20,"H",IF(D585&lt;=5,"L","A")),IF(D585&lt;=19,"L","A"))),IF(OR(B585="ALI",B585="AIE"),IF(F585&gt;=6,IF(D585&gt;=20,"H","A"),IF(F585&gt;=2,IF(D585&gt;=51,"H",IF(D585&lt;=19,"L","A")),IF(D585&lt;=50,"L","A"))),""))))</f>
        <v/>
      </c>
      <c r="L585" s="7" t="str">
        <f t="shared" ref="L585:L606" si="63">CONCATENATE(B585,C585)</f>
        <v/>
      </c>
      <c r="M585" s="9" t="str">
        <f t="shared" ref="M585:M606" si="64">IF(OR(J585="",J585=0),N585,J585)</f>
        <v/>
      </c>
      <c r="N585" s="9" t="str">
        <f>IF(NOT(ISERROR(VLOOKUP(B585,Deflatores!G$42:H$64,2,FALSE))),VLOOKUP(B585,Deflatores!G$42:H$64,2,FALSE),IF(OR(ISBLANK(C585),ISBLANK(B585)),"",VLOOKUP(C585,Deflatores!G$4:H$38,2,FALSE)*J585+VLOOKUP(C585,Deflatores!G$4:I$38,3,FALSE)))</f>
        <v/>
      </c>
      <c r="O585" s="5"/>
      <c r="P585" s="5"/>
      <c r="Q585" s="6"/>
      <c r="R585" s="10"/>
      <c r="S585" s="104"/>
      <c r="T585" s="162"/>
      <c r="U585" s="10"/>
    </row>
    <row r="586" spans="1:21" ht="21.75" customHeight="1" x14ac:dyDescent="0.2">
      <c r="A586" s="102"/>
      <c r="B586" s="2"/>
      <c r="C586" s="2"/>
      <c r="D586" s="2"/>
      <c r="E586" s="5"/>
      <c r="F586" s="2"/>
      <c r="G586" s="5"/>
      <c r="H586" s="8" t="str">
        <f t="shared" si="59"/>
        <v/>
      </c>
      <c r="I586" s="7" t="str">
        <f t="shared" si="60"/>
        <v/>
      </c>
      <c r="J586" s="3" t="str">
        <f t="shared" si="61"/>
        <v/>
      </c>
      <c r="K586" s="4" t="str">
        <f t="shared" si="62"/>
        <v/>
      </c>
      <c r="L586" s="7" t="str">
        <f t="shared" si="63"/>
        <v/>
      </c>
      <c r="M586" s="9" t="str">
        <f t="shared" si="64"/>
        <v/>
      </c>
      <c r="N586" s="9" t="str">
        <f>IF(NOT(ISERROR(VLOOKUP(B586,Deflatores!G$42:H$64,2,FALSE))),VLOOKUP(B586,Deflatores!G$42:H$64,2,FALSE),IF(OR(ISBLANK(C586),ISBLANK(B586)),"",VLOOKUP(C586,Deflatores!G$4:H$38,2,FALSE)*J586+VLOOKUP(C586,Deflatores!G$4:I$38,3,FALSE)))</f>
        <v/>
      </c>
      <c r="O586" s="5"/>
      <c r="P586" s="5"/>
      <c r="Q586" s="6"/>
      <c r="R586" s="10"/>
      <c r="S586" s="104"/>
      <c r="T586" s="162"/>
      <c r="U586" s="10"/>
    </row>
    <row r="587" spans="1:21" ht="21.75" customHeight="1" x14ac:dyDescent="0.2">
      <c r="A587" s="102"/>
      <c r="B587" s="2"/>
      <c r="C587" s="2"/>
      <c r="D587" s="2"/>
      <c r="E587" s="5"/>
      <c r="F587" s="2"/>
      <c r="G587" s="5"/>
      <c r="H587" s="8" t="str">
        <f t="shared" si="59"/>
        <v/>
      </c>
      <c r="I587" s="7" t="str">
        <f t="shared" si="60"/>
        <v/>
      </c>
      <c r="J587" s="3" t="str">
        <f t="shared" si="61"/>
        <v/>
      </c>
      <c r="K587" s="4" t="str">
        <f t="shared" si="62"/>
        <v/>
      </c>
      <c r="L587" s="7" t="str">
        <f t="shared" si="63"/>
        <v/>
      </c>
      <c r="M587" s="9" t="str">
        <f t="shared" si="64"/>
        <v/>
      </c>
      <c r="N587" s="9" t="str">
        <f>IF(NOT(ISERROR(VLOOKUP(B587,Deflatores!G$42:H$64,2,FALSE))),VLOOKUP(B587,Deflatores!G$42:H$64,2,FALSE),IF(OR(ISBLANK(C587),ISBLANK(B587)),"",VLOOKUP(C587,Deflatores!G$4:H$38,2,FALSE)*J587+VLOOKUP(C587,Deflatores!G$4:I$38,3,FALSE)))</f>
        <v/>
      </c>
      <c r="O587" s="5"/>
      <c r="P587" s="5"/>
      <c r="Q587" s="6"/>
      <c r="R587" s="10"/>
      <c r="S587" s="104"/>
      <c r="T587" s="162"/>
      <c r="U587" s="10"/>
    </row>
    <row r="588" spans="1:21" ht="21.75" customHeight="1" x14ac:dyDescent="0.2">
      <c r="A588" s="102"/>
      <c r="B588" s="2"/>
      <c r="C588" s="2"/>
      <c r="D588" s="2"/>
      <c r="E588" s="5"/>
      <c r="F588" s="2"/>
      <c r="G588" s="5"/>
      <c r="H588" s="8" t="str">
        <f t="shared" si="59"/>
        <v/>
      </c>
      <c r="I588" s="7" t="str">
        <f t="shared" si="60"/>
        <v/>
      </c>
      <c r="J588" s="3" t="str">
        <f t="shared" si="61"/>
        <v/>
      </c>
      <c r="K588" s="4" t="str">
        <f t="shared" si="62"/>
        <v/>
      </c>
      <c r="L588" s="7" t="str">
        <f t="shared" si="63"/>
        <v/>
      </c>
      <c r="M588" s="9" t="str">
        <f t="shared" si="64"/>
        <v/>
      </c>
      <c r="N588" s="9" t="str">
        <f>IF(NOT(ISERROR(VLOOKUP(B588,Deflatores!G$42:H$64,2,FALSE))),VLOOKUP(B588,Deflatores!G$42:H$64,2,FALSE),IF(OR(ISBLANK(C588),ISBLANK(B588)),"",VLOOKUP(C588,Deflatores!G$4:H$38,2,FALSE)*J588+VLOOKUP(C588,Deflatores!G$4:I$38,3,FALSE)))</f>
        <v/>
      </c>
      <c r="O588" s="5"/>
      <c r="P588" s="5"/>
      <c r="Q588" s="6"/>
      <c r="R588" s="10"/>
      <c r="S588" s="104"/>
      <c r="T588" s="162"/>
      <c r="U588" s="10"/>
    </row>
    <row r="589" spans="1:21" ht="21.75" customHeight="1" x14ac:dyDescent="0.2">
      <c r="A589" s="102"/>
      <c r="B589" s="2"/>
      <c r="C589" s="2"/>
      <c r="D589" s="2"/>
      <c r="E589" s="5"/>
      <c r="F589" s="2"/>
      <c r="G589" s="5"/>
      <c r="H589" s="8" t="str">
        <f t="shared" si="59"/>
        <v/>
      </c>
      <c r="I589" s="7" t="str">
        <f t="shared" si="60"/>
        <v/>
      </c>
      <c r="J589" s="3" t="str">
        <f t="shared" si="61"/>
        <v/>
      </c>
      <c r="K589" s="4" t="str">
        <f t="shared" si="62"/>
        <v/>
      </c>
      <c r="L589" s="7" t="str">
        <f t="shared" si="63"/>
        <v/>
      </c>
      <c r="M589" s="9" t="str">
        <f t="shared" si="64"/>
        <v/>
      </c>
      <c r="N589" s="9" t="str">
        <f>IF(NOT(ISERROR(VLOOKUP(B589,Deflatores!G$42:H$64,2,FALSE))),VLOOKUP(B589,Deflatores!G$42:H$64,2,FALSE),IF(OR(ISBLANK(C589),ISBLANK(B589)),"",VLOOKUP(C589,Deflatores!G$4:H$38,2,FALSE)*J589+VLOOKUP(C589,Deflatores!G$4:I$38,3,FALSE)))</f>
        <v/>
      </c>
      <c r="O589" s="5"/>
      <c r="P589" s="5"/>
      <c r="Q589" s="6"/>
      <c r="R589" s="10"/>
      <c r="S589" s="104"/>
      <c r="T589" s="162"/>
      <c r="U589" s="10"/>
    </row>
    <row r="590" spans="1:21" ht="21.75" customHeight="1" x14ac:dyDescent="0.2">
      <c r="A590" s="102"/>
      <c r="B590" s="2"/>
      <c r="C590" s="2"/>
      <c r="D590" s="2"/>
      <c r="E590" s="5"/>
      <c r="F590" s="2"/>
      <c r="G590" s="5"/>
      <c r="H590" s="8" t="str">
        <f t="shared" si="59"/>
        <v/>
      </c>
      <c r="I590" s="7" t="str">
        <f t="shared" si="60"/>
        <v/>
      </c>
      <c r="J590" s="3" t="str">
        <f t="shared" si="61"/>
        <v/>
      </c>
      <c r="K590" s="4" t="str">
        <f t="shared" si="62"/>
        <v/>
      </c>
      <c r="L590" s="7" t="str">
        <f t="shared" si="63"/>
        <v/>
      </c>
      <c r="M590" s="9" t="str">
        <f t="shared" si="64"/>
        <v/>
      </c>
      <c r="N590" s="9" t="str">
        <f>IF(NOT(ISERROR(VLOOKUP(B590,Deflatores!G$42:H$64,2,FALSE))),VLOOKUP(B590,Deflatores!G$42:H$64,2,FALSE),IF(OR(ISBLANK(C590),ISBLANK(B590)),"",VLOOKUP(C590,Deflatores!G$4:H$38,2,FALSE)*J590+VLOOKUP(C590,Deflatores!G$4:I$38,3,FALSE)))</f>
        <v/>
      </c>
      <c r="O590" s="5"/>
      <c r="P590" s="5"/>
      <c r="Q590" s="6"/>
      <c r="R590" s="10"/>
      <c r="S590" s="104"/>
      <c r="T590" s="162"/>
      <c r="U590" s="10"/>
    </row>
    <row r="591" spans="1:21" ht="21.75" customHeight="1" x14ac:dyDescent="0.2">
      <c r="A591" s="102"/>
      <c r="B591" s="2"/>
      <c r="C591" s="2"/>
      <c r="D591" s="2"/>
      <c r="E591" s="5"/>
      <c r="F591" s="2"/>
      <c r="G591" s="5"/>
      <c r="H591" s="8" t="str">
        <f t="shared" si="59"/>
        <v/>
      </c>
      <c r="I591" s="7" t="str">
        <f t="shared" si="60"/>
        <v/>
      </c>
      <c r="J591" s="3" t="str">
        <f t="shared" si="61"/>
        <v/>
      </c>
      <c r="K591" s="4" t="str">
        <f t="shared" si="62"/>
        <v/>
      </c>
      <c r="L591" s="7" t="str">
        <f t="shared" si="63"/>
        <v/>
      </c>
      <c r="M591" s="9" t="str">
        <f t="shared" si="64"/>
        <v/>
      </c>
      <c r="N591" s="9" t="str">
        <f>IF(NOT(ISERROR(VLOOKUP(B591,Deflatores!G$42:H$64,2,FALSE))),VLOOKUP(B591,Deflatores!G$42:H$64,2,FALSE),IF(OR(ISBLANK(C591),ISBLANK(B591)),"",VLOOKUP(C591,Deflatores!G$4:H$38,2,FALSE)*J591+VLOOKUP(C591,Deflatores!G$4:I$38,3,FALSE)))</f>
        <v/>
      </c>
      <c r="O591" s="5"/>
      <c r="P591" s="5"/>
      <c r="Q591" s="6"/>
      <c r="R591" s="10"/>
      <c r="S591" s="104"/>
      <c r="T591" s="162"/>
      <c r="U591" s="10"/>
    </row>
    <row r="592" spans="1:21" ht="21.75" customHeight="1" x14ac:dyDescent="0.2">
      <c r="A592" s="102"/>
      <c r="B592" s="2"/>
      <c r="C592" s="2"/>
      <c r="D592" s="2"/>
      <c r="E592" s="5"/>
      <c r="F592" s="2"/>
      <c r="G592" s="5"/>
      <c r="H592" s="8" t="str">
        <f t="shared" si="59"/>
        <v/>
      </c>
      <c r="I592" s="7" t="str">
        <f t="shared" si="60"/>
        <v/>
      </c>
      <c r="J592" s="3" t="str">
        <f t="shared" si="61"/>
        <v/>
      </c>
      <c r="K592" s="4" t="str">
        <f t="shared" si="62"/>
        <v/>
      </c>
      <c r="L592" s="7" t="str">
        <f t="shared" si="63"/>
        <v/>
      </c>
      <c r="M592" s="9" t="str">
        <f t="shared" si="64"/>
        <v/>
      </c>
      <c r="N592" s="9" t="str">
        <f>IF(NOT(ISERROR(VLOOKUP(B592,Deflatores!G$42:H$64,2,FALSE))),VLOOKUP(B592,Deflatores!G$42:H$64,2,FALSE),IF(OR(ISBLANK(C592),ISBLANK(B592)),"",VLOOKUP(C592,Deflatores!G$4:H$38,2,FALSE)*J592+VLOOKUP(C592,Deflatores!G$4:I$38,3,FALSE)))</f>
        <v/>
      </c>
      <c r="O592" s="5"/>
      <c r="P592" s="5"/>
      <c r="Q592" s="6"/>
      <c r="R592" s="10"/>
      <c r="S592" s="104"/>
      <c r="T592" s="162"/>
      <c r="U592" s="10"/>
    </row>
    <row r="593" spans="1:21" ht="21.75" customHeight="1" x14ac:dyDescent="0.2">
      <c r="A593" s="102"/>
      <c r="B593" s="2"/>
      <c r="C593" s="2"/>
      <c r="D593" s="2"/>
      <c r="E593" s="5"/>
      <c r="F593" s="2"/>
      <c r="G593" s="5"/>
      <c r="H593" s="8" t="str">
        <f t="shared" si="59"/>
        <v/>
      </c>
      <c r="I593" s="7" t="str">
        <f t="shared" si="60"/>
        <v/>
      </c>
      <c r="J593" s="3" t="str">
        <f t="shared" si="61"/>
        <v/>
      </c>
      <c r="K593" s="4" t="str">
        <f t="shared" si="62"/>
        <v/>
      </c>
      <c r="L593" s="7" t="str">
        <f t="shared" si="63"/>
        <v/>
      </c>
      <c r="M593" s="9" t="str">
        <f t="shared" si="64"/>
        <v/>
      </c>
      <c r="N593" s="9" t="str">
        <f>IF(NOT(ISERROR(VLOOKUP(B593,Deflatores!G$42:H$64,2,FALSE))),VLOOKUP(B593,Deflatores!G$42:H$64,2,FALSE),IF(OR(ISBLANK(C593),ISBLANK(B593)),"",VLOOKUP(C593,Deflatores!G$4:H$38,2,FALSE)*J593+VLOOKUP(C593,Deflatores!G$4:I$38,3,FALSE)))</f>
        <v/>
      </c>
      <c r="O593" s="5"/>
      <c r="P593" s="5"/>
      <c r="Q593" s="6"/>
      <c r="R593" s="10"/>
      <c r="S593" s="104"/>
      <c r="T593" s="162"/>
      <c r="U593" s="10"/>
    </row>
    <row r="594" spans="1:21" ht="21.75" customHeight="1" x14ac:dyDescent="0.2">
      <c r="A594" s="102"/>
      <c r="B594" s="2"/>
      <c r="C594" s="2"/>
      <c r="D594" s="2"/>
      <c r="E594" s="5"/>
      <c r="F594" s="2"/>
      <c r="G594" s="5"/>
      <c r="H594" s="8" t="str">
        <f t="shared" si="59"/>
        <v/>
      </c>
      <c r="I594" s="7" t="str">
        <f t="shared" si="60"/>
        <v/>
      </c>
      <c r="J594" s="3" t="str">
        <f t="shared" si="61"/>
        <v/>
      </c>
      <c r="K594" s="4" t="str">
        <f t="shared" si="62"/>
        <v/>
      </c>
      <c r="L594" s="7" t="str">
        <f t="shared" si="63"/>
        <v/>
      </c>
      <c r="M594" s="9" t="str">
        <f t="shared" si="64"/>
        <v/>
      </c>
      <c r="N594" s="9" t="str">
        <f>IF(NOT(ISERROR(VLOOKUP(B594,Deflatores!G$42:H$64,2,FALSE))),VLOOKUP(B594,Deflatores!G$42:H$64,2,FALSE),IF(OR(ISBLANK(C594),ISBLANK(B594)),"",VLOOKUP(C594,Deflatores!G$4:H$38,2,FALSE)*J594+VLOOKUP(C594,Deflatores!G$4:I$38,3,FALSE)))</f>
        <v/>
      </c>
      <c r="O594" s="5"/>
      <c r="P594" s="5"/>
      <c r="Q594" s="6"/>
      <c r="R594" s="10"/>
      <c r="S594" s="104"/>
      <c r="T594" s="162"/>
      <c r="U594" s="10"/>
    </row>
    <row r="595" spans="1:21" ht="21.75" customHeight="1" x14ac:dyDescent="0.2">
      <c r="A595" s="102"/>
      <c r="B595" s="2"/>
      <c r="C595" s="2"/>
      <c r="D595" s="2"/>
      <c r="E595" s="5"/>
      <c r="F595" s="2"/>
      <c r="G595" s="5"/>
      <c r="H595" s="8" t="str">
        <f t="shared" si="59"/>
        <v/>
      </c>
      <c r="I595" s="7" t="str">
        <f t="shared" si="60"/>
        <v/>
      </c>
      <c r="J595" s="3" t="str">
        <f t="shared" si="61"/>
        <v/>
      </c>
      <c r="K595" s="4" t="str">
        <f t="shared" si="62"/>
        <v/>
      </c>
      <c r="L595" s="7" t="str">
        <f t="shared" si="63"/>
        <v/>
      </c>
      <c r="M595" s="9" t="str">
        <f t="shared" si="64"/>
        <v/>
      </c>
      <c r="N595" s="9" t="str">
        <f>IF(NOT(ISERROR(VLOOKUP(B595,Deflatores!G$42:H$64,2,FALSE))),VLOOKUP(B595,Deflatores!G$42:H$64,2,FALSE),IF(OR(ISBLANK(C595),ISBLANK(B595)),"",VLOOKUP(C595,Deflatores!G$4:H$38,2,FALSE)*J595+VLOOKUP(C595,Deflatores!G$4:I$38,3,FALSE)))</f>
        <v/>
      </c>
      <c r="O595" s="5"/>
      <c r="P595" s="5"/>
      <c r="Q595" s="6"/>
      <c r="R595" s="10"/>
      <c r="S595" s="104"/>
      <c r="T595" s="162"/>
      <c r="U595" s="10"/>
    </row>
    <row r="596" spans="1:21" ht="21.75" customHeight="1" x14ac:dyDescent="0.2">
      <c r="A596" s="102"/>
      <c r="B596" s="2"/>
      <c r="C596" s="2"/>
      <c r="D596" s="2"/>
      <c r="E596" s="5"/>
      <c r="F596" s="2"/>
      <c r="G596" s="5"/>
      <c r="H596" s="8" t="str">
        <f t="shared" si="59"/>
        <v/>
      </c>
      <c r="I596" s="7" t="str">
        <f t="shared" si="60"/>
        <v/>
      </c>
      <c r="J596" s="3" t="str">
        <f t="shared" si="61"/>
        <v/>
      </c>
      <c r="K596" s="4" t="str">
        <f t="shared" si="62"/>
        <v/>
      </c>
      <c r="L596" s="7" t="str">
        <f t="shared" si="63"/>
        <v/>
      </c>
      <c r="M596" s="9" t="str">
        <f t="shared" si="64"/>
        <v/>
      </c>
      <c r="N596" s="9" t="str">
        <f>IF(NOT(ISERROR(VLOOKUP(B596,Deflatores!G$42:H$64,2,FALSE))),VLOOKUP(B596,Deflatores!G$42:H$64,2,FALSE),IF(OR(ISBLANK(C596),ISBLANK(B596)),"",VLOOKUP(C596,Deflatores!G$4:H$38,2,FALSE)*J596+VLOOKUP(C596,Deflatores!G$4:I$38,3,FALSE)))</f>
        <v/>
      </c>
      <c r="O596" s="5"/>
      <c r="P596" s="5"/>
      <c r="Q596" s="6"/>
      <c r="R596" s="10"/>
      <c r="S596" s="104"/>
      <c r="T596" s="162"/>
      <c r="U596" s="10"/>
    </row>
    <row r="597" spans="1:21" ht="21.75" customHeight="1" x14ac:dyDescent="0.2">
      <c r="A597" s="102"/>
      <c r="B597" s="2"/>
      <c r="C597" s="2"/>
      <c r="D597" s="2"/>
      <c r="E597" s="5"/>
      <c r="F597" s="2"/>
      <c r="G597" s="5"/>
      <c r="H597" s="8" t="str">
        <f t="shared" si="59"/>
        <v/>
      </c>
      <c r="I597" s="7" t="str">
        <f t="shared" si="60"/>
        <v/>
      </c>
      <c r="J597" s="3" t="str">
        <f t="shared" si="61"/>
        <v/>
      </c>
      <c r="K597" s="4" t="str">
        <f t="shared" si="62"/>
        <v/>
      </c>
      <c r="L597" s="7" t="str">
        <f t="shared" si="63"/>
        <v/>
      </c>
      <c r="M597" s="9" t="str">
        <f t="shared" si="64"/>
        <v/>
      </c>
      <c r="N597" s="9" t="str">
        <f>IF(NOT(ISERROR(VLOOKUP(B597,Deflatores!G$42:H$64,2,FALSE))),VLOOKUP(B597,Deflatores!G$42:H$64,2,FALSE),IF(OR(ISBLANK(C597),ISBLANK(B597)),"",VLOOKUP(C597,Deflatores!G$4:H$38,2,FALSE)*J597+VLOOKUP(C597,Deflatores!G$4:I$38,3,FALSE)))</f>
        <v/>
      </c>
      <c r="O597" s="5"/>
      <c r="P597" s="5"/>
      <c r="Q597" s="6"/>
      <c r="R597" s="10"/>
      <c r="S597" s="104"/>
      <c r="T597" s="162"/>
      <c r="U597" s="10"/>
    </row>
    <row r="598" spans="1:21" ht="21.75" customHeight="1" x14ac:dyDescent="0.2">
      <c r="A598" s="102"/>
      <c r="B598" s="2"/>
      <c r="C598" s="2"/>
      <c r="D598" s="2"/>
      <c r="E598" s="5"/>
      <c r="F598" s="2"/>
      <c r="G598" s="5"/>
      <c r="H598" s="8" t="str">
        <f t="shared" si="59"/>
        <v/>
      </c>
      <c r="I598" s="7" t="str">
        <f t="shared" si="60"/>
        <v/>
      </c>
      <c r="J598" s="3" t="str">
        <f t="shared" si="61"/>
        <v/>
      </c>
      <c r="K598" s="4" t="str">
        <f t="shared" si="62"/>
        <v/>
      </c>
      <c r="L598" s="7" t="str">
        <f t="shared" si="63"/>
        <v/>
      </c>
      <c r="M598" s="9" t="str">
        <f t="shared" si="64"/>
        <v/>
      </c>
      <c r="N598" s="9" t="str">
        <f>IF(NOT(ISERROR(VLOOKUP(B598,Deflatores!G$42:H$64,2,FALSE))),VLOOKUP(B598,Deflatores!G$42:H$64,2,FALSE),IF(OR(ISBLANK(C598),ISBLANK(B598)),"",VLOOKUP(C598,Deflatores!G$4:H$38,2,FALSE)*J598+VLOOKUP(C598,Deflatores!G$4:I$38,3,FALSE)))</f>
        <v/>
      </c>
      <c r="O598" s="5"/>
      <c r="P598" s="5"/>
      <c r="Q598" s="6"/>
      <c r="R598" s="10"/>
      <c r="S598" s="104"/>
      <c r="T598" s="162"/>
      <c r="U598" s="10"/>
    </row>
    <row r="599" spans="1:21" ht="21.75" customHeight="1" x14ac:dyDescent="0.2">
      <c r="A599" s="102"/>
      <c r="B599" s="2"/>
      <c r="C599" s="2"/>
      <c r="D599" s="2"/>
      <c r="E599" s="5"/>
      <c r="F599" s="2"/>
      <c r="G599" s="5"/>
      <c r="H599" s="8" t="str">
        <f t="shared" si="59"/>
        <v/>
      </c>
      <c r="I599" s="7" t="str">
        <f t="shared" si="60"/>
        <v/>
      </c>
      <c r="J599" s="3" t="str">
        <f t="shared" si="61"/>
        <v/>
      </c>
      <c r="K599" s="4" t="str">
        <f t="shared" si="62"/>
        <v/>
      </c>
      <c r="L599" s="7" t="str">
        <f t="shared" si="63"/>
        <v/>
      </c>
      <c r="M599" s="9" t="str">
        <f t="shared" si="64"/>
        <v/>
      </c>
      <c r="N599" s="9" t="str">
        <f>IF(NOT(ISERROR(VLOOKUP(B599,Deflatores!G$42:H$64,2,FALSE))),VLOOKUP(B599,Deflatores!G$42:H$64,2,FALSE),IF(OR(ISBLANK(C599),ISBLANK(B599)),"",VLOOKUP(C599,Deflatores!G$4:H$38,2,FALSE)*J599+VLOOKUP(C599,Deflatores!G$4:I$38,3,FALSE)))</f>
        <v/>
      </c>
      <c r="O599" s="5"/>
      <c r="P599" s="5"/>
      <c r="Q599" s="6"/>
      <c r="R599" s="10"/>
      <c r="S599" s="104"/>
      <c r="T599" s="162"/>
      <c r="U599" s="10"/>
    </row>
    <row r="600" spans="1:21" ht="21.75" customHeight="1" x14ac:dyDescent="0.2">
      <c r="A600" s="102"/>
      <c r="B600" s="2"/>
      <c r="C600" s="2"/>
      <c r="D600" s="2"/>
      <c r="E600" s="5"/>
      <c r="F600" s="2"/>
      <c r="G600" s="5"/>
      <c r="H600" s="8" t="str">
        <f t="shared" si="59"/>
        <v/>
      </c>
      <c r="I600" s="7" t="str">
        <f t="shared" si="60"/>
        <v/>
      </c>
      <c r="J600" s="3" t="str">
        <f t="shared" si="61"/>
        <v/>
      </c>
      <c r="K600" s="4" t="str">
        <f t="shared" si="62"/>
        <v/>
      </c>
      <c r="L600" s="7" t="str">
        <f t="shared" si="63"/>
        <v/>
      </c>
      <c r="M600" s="9" t="str">
        <f t="shared" si="64"/>
        <v/>
      </c>
      <c r="N600" s="9" t="str">
        <f>IF(NOT(ISERROR(VLOOKUP(B600,Deflatores!G$42:H$64,2,FALSE))),VLOOKUP(B600,Deflatores!G$42:H$64,2,FALSE),IF(OR(ISBLANK(C600),ISBLANK(B600)),"",VLOOKUP(C600,Deflatores!G$4:H$38,2,FALSE)*J600+VLOOKUP(C600,Deflatores!G$4:I$38,3,FALSE)))</f>
        <v/>
      </c>
      <c r="O600" s="5"/>
      <c r="P600" s="5"/>
      <c r="Q600" s="6"/>
      <c r="R600" s="10"/>
      <c r="S600" s="104"/>
      <c r="T600" s="162"/>
      <c r="U600" s="10"/>
    </row>
    <row r="601" spans="1:21" ht="21.75" customHeight="1" x14ac:dyDescent="0.2">
      <c r="A601" s="102"/>
      <c r="B601" s="2"/>
      <c r="C601" s="2"/>
      <c r="D601" s="2"/>
      <c r="E601" s="5"/>
      <c r="F601" s="2"/>
      <c r="G601" s="5"/>
      <c r="H601" s="8" t="str">
        <f t="shared" si="59"/>
        <v/>
      </c>
      <c r="I601" s="7" t="str">
        <f t="shared" si="60"/>
        <v/>
      </c>
      <c r="J601" s="3" t="str">
        <f t="shared" si="61"/>
        <v/>
      </c>
      <c r="K601" s="4" t="str">
        <f t="shared" si="62"/>
        <v/>
      </c>
      <c r="L601" s="7" t="str">
        <f t="shared" si="63"/>
        <v/>
      </c>
      <c r="M601" s="9" t="str">
        <f t="shared" si="64"/>
        <v/>
      </c>
      <c r="N601" s="9" t="str">
        <f>IF(NOT(ISERROR(VLOOKUP(B601,Deflatores!G$42:H$64,2,FALSE))),VLOOKUP(B601,Deflatores!G$42:H$64,2,FALSE),IF(OR(ISBLANK(C601),ISBLANK(B601)),"",VLOOKUP(C601,Deflatores!G$4:H$38,2,FALSE)*J601+VLOOKUP(C601,Deflatores!G$4:I$38,3,FALSE)))</f>
        <v/>
      </c>
      <c r="O601" s="5"/>
      <c r="P601" s="5"/>
      <c r="Q601" s="6"/>
      <c r="R601" s="10"/>
      <c r="S601" s="104"/>
      <c r="T601" s="162"/>
      <c r="U601" s="10"/>
    </row>
    <row r="602" spans="1:21" ht="21.75" customHeight="1" x14ac:dyDescent="0.2">
      <c r="A602" s="102"/>
      <c r="B602" s="2"/>
      <c r="C602" s="2"/>
      <c r="D602" s="2"/>
      <c r="E602" s="5"/>
      <c r="F602" s="2"/>
      <c r="G602" s="5"/>
      <c r="H602" s="8" t="str">
        <f t="shared" si="59"/>
        <v/>
      </c>
      <c r="I602" s="7" t="str">
        <f t="shared" si="60"/>
        <v/>
      </c>
      <c r="J602" s="3" t="str">
        <f t="shared" si="61"/>
        <v/>
      </c>
      <c r="K602" s="4" t="str">
        <f t="shared" si="62"/>
        <v/>
      </c>
      <c r="L602" s="7" t="str">
        <f t="shared" si="63"/>
        <v/>
      </c>
      <c r="M602" s="9" t="str">
        <f t="shared" si="64"/>
        <v/>
      </c>
      <c r="N602" s="9" t="str">
        <f>IF(NOT(ISERROR(VLOOKUP(B602,Deflatores!G$42:H$64,2,FALSE))),VLOOKUP(B602,Deflatores!G$42:H$64,2,FALSE),IF(OR(ISBLANK(C602),ISBLANK(B602)),"",VLOOKUP(C602,Deflatores!G$4:H$38,2,FALSE)*J602+VLOOKUP(C602,Deflatores!G$4:I$38,3,FALSE)))</f>
        <v/>
      </c>
      <c r="O602" s="5"/>
      <c r="P602" s="5"/>
      <c r="Q602" s="6"/>
      <c r="R602" s="10"/>
      <c r="S602" s="104"/>
      <c r="T602" s="162"/>
      <c r="U602" s="10"/>
    </row>
    <row r="603" spans="1:21" ht="21.75" customHeight="1" x14ac:dyDescent="0.2">
      <c r="A603" s="102"/>
      <c r="B603" s="2"/>
      <c r="C603" s="2"/>
      <c r="D603" s="2"/>
      <c r="E603" s="5"/>
      <c r="F603" s="2"/>
      <c r="G603" s="5"/>
      <c r="H603" s="8" t="str">
        <f t="shared" si="59"/>
        <v/>
      </c>
      <c r="I603" s="7" t="str">
        <f t="shared" si="60"/>
        <v/>
      </c>
      <c r="J603" s="3" t="str">
        <f t="shared" si="61"/>
        <v/>
      </c>
      <c r="K603" s="4" t="str">
        <f t="shared" si="62"/>
        <v/>
      </c>
      <c r="L603" s="7" t="str">
        <f t="shared" si="63"/>
        <v/>
      </c>
      <c r="M603" s="9" t="str">
        <f t="shared" si="64"/>
        <v/>
      </c>
      <c r="N603" s="9" t="str">
        <f>IF(NOT(ISERROR(VLOOKUP(B603,Deflatores!G$42:H$64,2,FALSE))),VLOOKUP(B603,Deflatores!G$42:H$64,2,FALSE),IF(OR(ISBLANK(C603),ISBLANK(B603)),"",VLOOKUP(C603,Deflatores!G$4:H$38,2,FALSE)*J603+VLOOKUP(C603,Deflatores!G$4:I$38,3,FALSE)))</f>
        <v/>
      </c>
      <c r="O603" s="5"/>
      <c r="P603" s="5"/>
      <c r="Q603" s="6"/>
      <c r="R603" s="10"/>
      <c r="S603" s="104"/>
      <c r="T603" s="162"/>
      <c r="U603" s="10"/>
    </row>
    <row r="604" spans="1:21" ht="21.75" customHeight="1" x14ac:dyDescent="0.2">
      <c r="A604" s="102"/>
      <c r="B604" s="2"/>
      <c r="C604" s="2"/>
      <c r="D604" s="2"/>
      <c r="E604" s="5"/>
      <c r="F604" s="2"/>
      <c r="G604" s="5"/>
      <c r="H604" s="8" t="str">
        <f t="shared" si="59"/>
        <v/>
      </c>
      <c r="I604" s="7" t="str">
        <f t="shared" si="60"/>
        <v/>
      </c>
      <c r="J604" s="3" t="str">
        <f t="shared" si="61"/>
        <v/>
      </c>
      <c r="K604" s="4" t="str">
        <f t="shared" si="62"/>
        <v/>
      </c>
      <c r="L604" s="7" t="str">
        <f t="shared" si="63"/>
        <v/>
      </c>
      <c r="M604" s="9" t="str">
        <f t="shared" si="64"/>
        <v/>
      </c>
      <c r="N604" s="9" t="str">
        <f>IF(NOT(ISERROR(VLOOKUP(B604,Deflatores!G$42:H$64,2,FALSE))),VLOOKUP(B604,Deflatores!G$42:H$64,2,FALSE),IF(OR(ISBLANK(C604),ISBLANK(B604)),"",VLOOKUP(C604,Deflatores!G$4:H$38,2,FALSE)*J604+VLOOKUP(C604,Deflatores!G$4:I$38,3,FALSE)))</f>
        <v/>
      </c>
      <c r="O604" s="5"/>
      <c r="P604" s="5"/>
      <c r="Q604" s="6"/>
      <c r="R604" s="10"/>
      <c r="S604" s="104"/>
      <c r="T604" s="162"/>
      <c r="U604" s="10"/>
    </row>
    <row r="605" spans="1:21" ht="21.75" customHeight="1" x14ac:dyDescent="0.2">
      <c r="A605" s="102"/>
      <c r="B605" s="2"/>
      <c r="C605" s="2"/>
      <c r="D605" s="2"/>
      <c r="E605" s="5"/>
      <c r="F605" s="2"/>
      <c r="G605" s="5"/>
      <c r="H605" s="8" t="str">
        <f t="shared" si="59"/>
        <v/>
      </c>
      <c r="I605" s="7" t="str">
        <f t="shared" si="60"/>
        <v/>
      </c>
      <c r="J605" s="3" t="str">
        <f t="shared" si="61"/>
        <v/>
      </c>
      <c r="K605" s="4" t="str">
        <f t="shared" si="62"/>
        <v/>
      </c>
      <c r="L605" s="7" t="str">
        <f t="shared" si="63"/>
        <v/>
      </c>
      <c r="M605" s="9" t="str">
        <f t="shared" si="64"/>
        <v/>
      </c>
      <c r="N605" s="9" t="str">
        <f>IF(NOT(ISERROR(VLOOKUP(B605,Deflatores!G$42:H$64,2,FALSE))),VLOOKUP(B605,Deflatores!G$42:H$64,2,FALSE),IF(OR(ISBLANK(C605),ISBLANK(B605)),"",VLOOKUP(C605,Deflatores!G$4:H$38,2,FALSE)*J605+VLOOKUP(C605,Deflatores!G$4:I$38,3,FALSE)))</f>
        <v/>
      </c>
      <c r="O605" s="5"/>
      <c r="P605" s="5"/>
      <c r="Q605" s="6"/>
      <c r="R605" s="10"/>
      <c r="S605" s="104"/>
      <c r="T605" s="162"/>
      <c r="U605" s="10"/>
    </row>
    <row r="606" spans="1:21" ht="21.75" customHeight="1" x14ac:dyDescent="0.2">
      <c r="A606" s="102"/>
      <c r="B606" s="2"/>
      <c r="C606" s="2"/>
      <c r="D606" s="2"/>
      <c r="E606" s="5"/>
      <c r="F606" s="2"/>
      <c r="G606" s="5"/>
      <c r="H606" s="8" t="str">
        <f t="shared" si="59"/>
        <v/>
      </c>
      <c r="I606" s="7" t="str">
        <f t="shared" si="60"/>
        <v/>
      </c>
      <c r="J606" s="3" t="str">
        <f t="shared" si="61"/>
        <v/>
      </c>
      <c r="K606" s="4" t="str">
        <f t="shared" si="62"/>
        <v/>
      </c>
      <c r="L606" s="7" t="str">
        <f t="shared" si="63"/>
        <v/>
      </c>
      <c r="M606" s="9" t="str">
        <f t="shared" si="64"/>
        <v/>
      </c>
      <c r="N606" s="9" t="str">
        <f>IF(NOT(ISERROR(VLOOKUP(B606,Deflatores!G$42:H$64,2,FALSE))),VLOOKUP(B606,Deflatores!G$42:H$64,2,FALSE),IF(OR(ISBLANK(C606),ISBLANK(B606)),"",VLOOKUP(C606,Deflatores!G$4:H$38,2,FALSE)*J606+VLOOKUP(C606,Deflatores!G$4:I$38,3,FALSE)))</f>
        <v/>
      </c>
      <c r="O606" s="5"/>
      <c r="P606" s="5"/>
      <c r="Q606" s="6"/>
      <c r="R606" s="10"/>
      <c r="S606" s="104"/>
      <c r="T606" s="162"/>
      <c r="U606" s="10"/>
    </row>
  </sheetData>
  <protectedRanges>
    <protectedRange algorithmName="SHA-512" hashValue="zu+VPVeZ+sLzRcFVTU+tlNZsJpZSk+sJcNkkG9rScrRNqgWKiOjc+Z0frmuATVlFCRbOwaQu87xpfpyEHlzzIQ==" saltValue="NIjMJbmh8uxC7cujpRee4A==" spinCount="100000" sqref="T8:T606" name="Fábrica_Métricas_1"/>
    <protectedRange algorithmName="SHA-512" hashValue="zu+VPVeZ+sLzRcFVTU+tlNZsJpZSk+sJcNkkG9rScrRNqgWKiOjc+Z0frmuATVlFCRbOwaQu87xpfpyEHlzzIQ==" saltValue="NIjMJbmh8uxC7cujpRee4A==" spinCount="100000" sqref="R3:U6" name="Fábrica_Métricas_2"/>
    <protectedRange algorithmName="SHA-512" hashValue="DcqTaSRA8KvTuc5/21tUqI8eK8DUPeaLsqWGjTUcMBt4uGrTDRzezrSXAkcwoCMdiyrbiVt3GozrEzjQbkM5cw==" saltValue="WRFh1xXjcvB7uN96quGPbg==" spinCount="100000" sqref="A8:G606" name="FSW_1"/>
    <protectedRange algorithmName="SHA-512" hashValue="zu+VPVeZ+sLzRcFVTU+tlNZsJpZSk+sJcNkkG9rScrRNqgWKiOjc+Z0frmuATVlFCRbOwaQu87xpfpyEHlzzIQ==" saltValue="NIjMJbmh8uxC7cujpRee4A==" spinCount="100000" sqref="A8:G606" name="Fábrica_Métricas"/>
    <protectedRange algorithmName="SHA-512" hashValue="zu+VPVeZ+sLzRcFVTU+tlNZsJpZSk+sJcNkkG9rScrRNqgWKiOjc+Z0frmuATVlFCRbOwaQu87xpfpyEHlzzIQ==" saltValue="NIjMJbmh8uxC7cujpRee4A==" spinCount="100000" sqref="O8:S606" name="Fábrica_Métricas_4"/>
    <protectedRange algorithmName="SHA-512" hashValue="zu+VPVeZ+sLzRcFVTU+tlNZsJpZSk+sJcNkkG9rScrRNqgWKiOjc+Z0frmuATVlFCRbOwaQu87xpfpyEHlzzIQ==" saltValue="NIjMJbmh8uxC7cujpRee4A==" spinCount="100000" sqref="U8:U606" name="Fábrica_Métricas_6"/>
  </protectedRanges>
  <autoFilter ref="O1:O606" xr:uid="{20D6DEB6-EE39-4EC4-9846-950B93CBBDFF}"/>
  <mergeCells count="10">
    <mergeCell ref="A1:Q3"/>
    <mergeCell ref="O4:Q4"/>
    <mergeCell ref="O5:Q5"/>
    <mergeCell ref="B4:L4"/>
    <mergeCell ref="B5:L5"/>
    <mergeCell ref="R6:U6"/>
    <mergeCell ref="B6:L6"/>
    <mergeCell ref="O6:Q6"/>
    <mergeCell ref="R4:T4"/>
    <mergeCell ref="R5:T5"/>
  </mergeCells>
  <phoneticPr fontId="19" type="noConversion"/>
  <conditionalFormatting sqref="C8:C606">
    <cfRule type="cellIs" dxfId="6" priority="4" stopIfTrue="1" operator="equal">
      <formula>"I"</formula>
    </cfRule>
    <cfRule type="cellIs" dxfId="5" priority="5" stopIfTrue="1" operator="equal">
      <formula>"A"</formula>
    </cfRule>
    <cfRule type="cellIs" dxfId="4" priority="6" stopIfTrue="1" operator="equal">
      <formula>"E"</formula>
    </cfRule>
  </conditionalFormatting>
  <dataValidations xWindow="375" yWindow="468" count="3">
    <dataValidation type="list" operator="equal" allowBlank="1" showInputMessage="1" showErrorMessage="1" promptTitle="Tipo da Função" prompt="ALI, AIE, EE, SE, CE_x000a_ou_x000a_Itens não mensuráveis" sqref="B8:B606" xr:uid="{5F199776-5F7C-43E3-81AA-0B8595DB643D}">
      <formula1>TiposDeFuncao</formula1>
      <formula2>0</formula2>
    </dataValidation>
    <dataValidation type="list" operator="equal" allowBlank="1" showInputMessage="1" showErrorMessage="1" promptTitle="Tipo de Manutenção na Função" prompt="I, A, E _x000a_ou_x000a_Itens não mensuráveis" sqref="C8:C606" xr:uid="{76725883-6E0D-4EDA-A967-48768610E11F}">
      <formula1>TiposDeManutencao</formula1>
      <formula2>0</formula2>
    </dataValidation>
    <dataValidation type="list" allowBlank="1" showInputMessage="1" showErrorMessage="1" sqref="T8:T606" xr:uid="{385BE7F6-559F-4E3C-94EE-94BF40D72D60}">
      <formula1>"VALIDADO,DIVERGENTE,AG. AJUSTE FSW"</formula1>
    </dataValidation>
  </dataValidations>
  <pageMargins left="0.70833333333333337" right="0.70833333333333337" top="0.74791666666666667" bottom="0.74861111111111112" header="0.51180555555555551" footer="0.31527777777777777"/>
  <pageSetup paperSize="9" scale="34" firstPageNumber="0" fitToHeight="0" orientation="landscape" horizontalDpi="300" verticalDpi="300" r:id="rId1"/>
  <headerFooter alignWithMargins="0">
    <oddFooter>&amp;CPágina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F161-982C-4801-96A9-D58676141362}">
  <sheetPr>
    <pageSetUpPr fitToPage="1"/>
  </sheetPr>
  <dimension ref="A1:U606"/>
  <sheetViews>
    <sheetView showGridLines="0" view="pageBreakPreview" zoomScaleSheetLayoutView="100" workbookViewId="0">
      <pane ySplit="7" topLeftCell="A8" activePane="bottomLeft" state="frozen"/>
      <selection activeCell="B11" sqref="B11"/>
      <selection pane="bottomLeft" activeCell="H10" sqref="H10"/>
    </sheetView>
  </sheetViews>
  <sheetFormatPr defaultRowHeight="12.75" zeroHeight="1" x14ac:dyDescent="0.2"/>
  <cols>
    <col min="1" max="1" width="19.42578125" customWidth="1"/>
    <col min="2" max="2" width="42.85546875" customWidth="1"/>
    <col min="3" max="3" width="5" customWidth="1"/>
    <col min="4" max="4" width="13.7109375" customWidth="1"/>
    <col min="5" max="5" width="3.5703125" customWidth="1"/>
    <col min="6" max="6" width="11" bestFit="1" customWidth="1"/>
    <col min="7" max="7" width="7.140625" bestFit="1" customWidth="1"/>
    <col min="8" max="8" width="14.85546875" bestFit="1" customWidth="1"/>
    <col min="9" max="9" width="7.5703125" customWidth="1"/>
    <col min="10" max="10" width="7.5703125" hidden="1" customWidth="1"/>
    <col min="11" max="11" width="10.7109375" customWidth="1"/>
    <col min="12" max="12" width="11" hidden="1" customWidth="1"/>
    <col min="13" max="13" width="10.28515625" hidden="1" customWidth="1"/>
    <col min="14" max="14" width="12.5703125" customWidth="1"/>
    <col min="15" max="15" width="12" customWidth="1"/>
    <col min="16" max="16" width="7.85546875" customWidth="1"/>
    <col min="17" max="17" width="31.85546875" customWidth="1"/>
    <col min="18" max="18" width="38.28515625" customWidth="1"/>
    <col min="19" max="19" width="66.5703125" customWidth="1"/>
    <col min="20" max="20" width="27.140625" customWidth="1"/>
    <col min="21" max="21" width="19.7109375" customWidth="1"/>
  </cols>
  <sheetData>
    <row r="1" spans="1:21" x14ac:dyDescent="0.2">
      <c r="B1" s="205" t="s">
        <v>19</v>
      </c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</row>
    <row r="2" spans="1:21" ht="18" customHeight="1" x14ac:dyDescent="0.2"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</row>
    <row r="3" spans="1:21" ht="21" customHeight="1" thickBot="1" x14ac:dyDescent="0.25"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U3" s="19" t="s">
        <v>20</v>
      </c>
    </row>
    <row r="4" spans="1:21" x14ac:dyDescent="0.2">
      <c r="A4" s="211" t="str">
        <f>'Info Gerais'!A5&amp;" : "&amp;'Info Gerais'!F5</f>
        <v xml:space="preserve">Aplicação : </v>
      </c>
      <c r="B4" s="208"/>
      <c r="C4" s="206" t="str">
        <f>'Info Gerais'!A8&amp;" : "&amp;'Info Gerais'!F8</f>
        <v xml:space="preserve">Projeto : </v>
      </c>
      <c r="D4" s="207"/>
      <c r="E4" s="207"/>
      <c r="F4" s="207"/>
      <c r="G4" s="207"/>
      <c r="H4" s="207"/>
      <c r="I4" s="207"/>
      <c r="J4" s="207"/>
      <c r="K4" s="207"/>
      <c r="L4" s="207"/>
      <c r="M4" s="208"/>
      <c r="N4" s="125" t="s">
        <v>3</v>
      </c>
      <c r="O4" s="126">
        <f>SUM(K8:K606)</f>
        <v>0</v>
      </c>
      <c r="P4" s="125"/>
      <c r="Q4" s="127"/>
      <c r="R4" s="128"/>
      <c r="S4" s="117" t="s">
        <v>21</v>
      </c>
      <c r="T4" s="117"/>
      <c r="U4" s="112">
        <v>46108</v>
      </c>
    </row>
    <row r="5" spans="1:21" ht="13.5" thickBot="1" x14ac:dyDescent="0.25">
      <c r="A5" s="210" t="str">
        <f>'Info Gerais'!A9&amp;" : "&amp;'Info Gerais'!F9</f>
        <v xml:space="preserve">Responsável : </v>
      </c>
      <c r="B5" s="202"/>
      <c r="C5" s="191" t="str">
        <f>'Info Gerais'!A10&amp;" : "&amp;'Info Gerais'!F10</f>
        <v xml:space="preserve">Revisor : </v>
      </c>
      <c r="D5" s="192"/>
      <c r="E5" s="192"/>
      <c r="F5" s="192"/>
      <c r="G5" s="192"/>
      <c r="H5" s="192"/>
      <c r="I5" s="192"/>
      <c r="J5" s="192"/>
      <c r="K5" s="192"/>
      <c r="L5" s="192"/>
      <c r="M5" s="202"/>
      <c r="N5" s="96" t="s">
        <v>22</v>
      </c>
      <c r="O5" s="97">
        <f>SUM(N8:N606)</f>
        <v>0</v>
      </c>
      <c r="P5" s="96"/>
      <c r="Q5" s="119"/>
      <c r="R5" s="129"/>
      <c r="S5" s="118" t="s">
        <v>23</v>
      </c>
      <c r="T5" s="165"/>
      <c r="U5" s="113" t="s">
        <v>42</v>
      </c>
    </row>
    <row r="6" spans="1:21" ht="13.5" thickBot="1" x14ac:dyDescent="0.25">
      <c r="A6" s="209" t="str">
        <f>'Info Gerais'!A4&amp;" : "&amp;'Info Gerais'!F4</f>
        <v>Empresa : BASIS</v>
      </c>
      <c r="B6" s="190"/>
      <c r="C6" s="188" t="str">
        <f>"Tipo da Contagem : "&amp;'Info Gerais'!F6</f>
        <v xml:space="preserve">Tipo da Contagem : </v>
      </c>
      <c r="D6" s="189"/>
      <c r="E6" s="189"/>
      <c r="F6" s="189"/>
      <c r="G6" s="189"/>
      <c r="H6" s="189"/>
      <c r="I6" s="189"/>
      <c r="J6" s="189"/>
      <c r="K6" s="189"/>
      <c r="L6" s="189"/>
      <c r="M6" s="190"/>
      <c r="N6" s="95" t="s">
        <v>7</v>
      </c>
      <c r="O6" s="134">
        <f>SUM(O8:O55)</f>
        <v>0</v>
      </c>
      <c r="P6" s="135"/>
      <c r="Q6" s="136"/>
      <c r="R6" s="137"/>
      <c r="S6" s="124"/>
      <c r="T6" s="124"/>
      <c r="U6" s="120"/>
    </row>
    <row r="7" spans="1:21" ht="13.5" customHeight="1" x14ac:dyDescent="0.25">
      <c r="A7" s="149" t="s">
        <v>40</v>
      </c>
      <c r="B7" s="150" t="s">
        <v>43</v>
      </c>
      <c r="C7" s="151" t="s">
        <v>44</v>
      </c>
      <c r="D7" s="151" t="s">
        <v>26</v>
      </c>
      <c r="E7" s="149" t="s">
        <v>27</v>
      </c>
      <c r="F7" s="149" t="s">
        <v>28</v>
      </c>
      <c r="G7" s="149" t="s">
        <v>29</v>
      </c>
      <c r="H7" s="149" t="s">
        <v>30</v>
      </c>
      <c r="I7" s="149" t="s">
        <v>31</v>
      </c>
      <c r="J7" s="149" t="s">
        <v>32</v>
      </c>
      <c r="K7" s="152" t="s">
        <v>3</v>
      </c>
      <c r="L7" s="152" t="s">
        <v>32</v>
      </c>
      <c r="M7" s="152" t="s">
        <v>33</v>
      </c>
      <c r="N7" s="152" t="s">
        <v>22</v>
      </c>
      <c r="O7" s="152" t="s">
        <v>7</v>
      </c>
      <c r="P7" s="152" t="s">
        <v>35</v>
      </c>
      <c r="Q7" s="152" t="s">
        <v>45</v>
      </c>
      <c r="R7" s="152" t="s">
        <v>46</v>
      </c>
      <c r="S7" s="152" t="s">
        <v>47</v>
      </c>
      <c r="T7" s="152" t="s">
        <v>48</v>
      </c>
      <c r="U7" s="130" t="s">
        <v>49</v>
      </c>
    </row>
    <row r="8" spans="1:21" ht="66.75" customHeight="1" x14ac:dyDescent="0.2">
      <c r="A8" s="169"/>
      <c r="B8" s="163"/>
      <c r="C8" s="116"/>
      <c r="D8" s="105"/>
      <c r="E8" s="121"/>
      <c r="F8" s="164"/>
      <c r="G8" s="121"/>
      <c r="H8" s="164"/>
      <c r="I8" s="142" t="str">
        <f t="shared" ref="I8:I55" si="0">IF(ISBLANK(C8),"",IF(L8="L","Baixa",IF(L8="A","Média",IF(L8="","","Alta"))))</f>
        <v/>
      </c>
      <c r="J8" s="105" t="str">
        <f t="shared" ref="J8:J55" si="1">CONCATENATE(C8,L8)</f>
        <v/>
      </c>
      <c r="K8" s="143" t="str">
        <f t="shared" ref="K8:K55" si="2">IF(ISBLANK(C8),"",IF(C8="ALI",IF(L8="L",7,IF(L8="A",10,15)),IF(C8="AIE",IF(L8="L",5,IF(L8="A",7,10)),IF(C8="SE",IF(L8="L",4,IF(L8="A",5,7)),IF(OR(C8="EE",C8="CE"),IF(L8="L",3,IF(L8="A",4,6)),0)))))</f>
        <v/>
      </c>
      <c r="L8" s="106" t="str">
        <f t="shared" ref="L8:L55" si="3">IF(OR(ISBLANK(E8),ISBLANK(G8)),IF(OR(C8="ALI",C8="AIE"),"L",IF(OR(C8="EE",C8="SE",C8="CE"),"A","")),IF(C8="EE",IF(G8&gt;=3,IF(E8&gt;=5,"H","A"),IF(G8&gt;=2,IF(E8&gt;=16,"H",IF(E8&lt;=4,"L","A")),IF(E8&lt;=15,"L","A"))),IF(OR(C8="SE",C8="CE"),IF(G8&gt;=4,IF(E8&gt;=6,"H","A"),IF(G8&gt;=2,IF(E8&gt;=20,"H",IF(E8&lt;=5,"L","A")),IF(E8&lt;=19,"L","A"))),IF(OR(C8="ALI",C8="AIE"),IF(G8&gt;=6,IF(E8&gt;=20,"H","A"),IF(G8&gt;=2,IF(E8&gt;=51,"H",IF(E8&lt;=19,"L","A")),IF(E8&lt;=50,"L","A"))),""))))</f>
        <v/>
      </c>
      <c r="M8" s="105" t="str">
        <f t="shared" ref="M8:M55" si="4">CONCATENATE(C8,D8)</f>
        <v/>
      </c>
      <c r="N8" s="144" t="str">
        <f>IF(OR(K8="",K8=0),O8,K8)</f>
        <v/>
      </c>
      <c r="O8" s="144" t="str">
        <f>IF(NOT(ISERROR(VLOOKUP(C8,Deflatores!G$42:H$64,2,FALSE))),VLOOKUP(C8,Deflatores!G$42:H$64,2,FALSE),IF(OR(ISBLANK(D8),ISBLANK(C8)),"",VLOOKUP(D8,Deflatores!G$4:H$38,2,FALSE)*K8+VLOOKUP(D8,Deflatores!G$4:I$38,3,FALSE)))</f>
        <v/>
      </c>
      <c r="P8" s="115"/>
      <c r="Q8" s="115"/>
      <c r="R8" s="203"/>
      <c r="S8" s="204"/>
      <c r="T8" s="10"/>
      <c r="U8" s="170"/>
    </row>
    <row r="9" spans="1:21" ht="66.75" customHeight="1" x14ac:dyDescent="0.2">
      <c r="A9" s="169"/>
      <c r="B9" s="163"/>
      <c r="C9" s="116"/>
      <c r="D9" s="105"/>
      <c r="E9" s="121"/>
      <c r="F9" s="164"/>
      <c r="G9" s="121"/>
      <c r="H9" s="164"/>
      <c r="I9" s="142" t="str">
        <f t="shared" si="0"/>
        <v/>
      </c>
      <c r="J9" s="105" t="str">
        <f t="shared" si="1"/>
        <v/>
      </c>
      <c r="K9" s="143" t="str">
        <f t="shared" si="2"/>
        <v/>
      </c>
      <c r="L9" s="106" t="str">
        <f t="shared" si="3"/>
        <v/>
      </c>
      <c r="M9" s="105" t="str">
        <f t="shared" si="4"/>
        <v/>
      </c>
      <c r="N9" s="144" t="str">
        <f t="shared" ref="N9:N55" si="5">IF(OR(K9="",K9=0),O9,K9)</f>
        <v/>
      </c>
      <c r="O9" s="144" t="str">
        <f>IF(NOT(ISERROR(VLOOKUP(C9,Deflatores!G$42:H$64,2,FALSE))),VLOOKUP(C9,Deflatores!G$42:H$64,2,FALSE),IF(OR(ISBLANK(D9),ISBLANK(C9)),"",VLOOKUP(D9,Deflatores!G$4:H$38,2,FALSE)*K9+VLOOKUP(D9,Deflatores!G$4:I$38,3,FALSE)))</f>
        <v/>
      </c>
      <c r="P9" s="115"/>
      <c r="Q9" s="115"/>
      <c r="R9" s="203"/>
      <c r="S9" s="204"/>
      <c r="T9" s="10"/>
      <c r="U9" s="170"/>
    </row>
    <row r="10" spans="1:21" ht="66.75" customHeight="1" x14ac:dyDescent="0.2">
      <c r="A10" s="169"/>
      <c r="B10" s="163"/>
      <c r="C10" s="116"/>
      <c r="D10" s="105"/>
      <c r="E10" s="121"/>
      <c r="F10" s="164"/>
      <c r="G10" s="121"/>
      <c r="H10" s="164"/>
      <c r="I10" s="142" t="str">
        <f t="shared" si="0"/>
        <v/>
      </c>
      <c r="J10" s="105" t="str">
        <f t="shared" si="1"/>
        <v/>
      </c>
      <c r="K10" s="143" t="str">
        <f t="shared" si="2"/>
        <v/>
      </c>
      <c r="L10" s="106" t="str">
        <f t="shared" si="3"/>
        <v/>
      </c>
      <c r="M10" s="105" t="str">
        <f t="shared" si="4"/>
        <v/>
      </c>
      <c r="N10" s="144" t="str">
        <f t="shared" si="5"/>
        <v/>
      </c>
      <c r="O10" s="144" t="str">
        <f>IF(NOT(ISERROR(VLOOKUP(C10,Deflatores!G$42:H$64,2,FALSE))),VLOOKUP(C10,Deflatores!G$42:H$64,2,FALSE),IF(OR(ISBLANK(D10),ISBLANK(C10)),"",VLOOKUP(D10,Deflatores!G$4:H$38,2,FALSE)*K10+VLOOKUP(D10,Deflatores!G$4:I$38,3,FALSE)))</f>
        <v/>
      </c>
      <c r="P10" s="115"/>
      <c r="Q10" s="115"/>
      <c r="R10" s="203"/>
      <c r="S10" s="204"/>
      <c r="T10" s="10"/>
      <c r="U10" s="170"/>
    </row>
    <row r="11" spans="1:21" ht="89.25" customHeight="1" x14ac:dyDescent="0.2">
      <c r="A11" s="169"/>
      <c r="B11" s="163"/>
      <c r="C11" s="116"/>
      <c r="D11" s="105"/>
      <c r="E11" s="121"/>
      <c r="F11" s="164"/>
      <c r="G11" s="121"/>
      <c r="H11" s="164"/>
      <c r="I11" s="142" t="str">
        <f t="shared" si="0"/>
        <v/>
      </c>
      <c r="J11" s="105" t="str">
        <f t="shared" si="1"/>
        <v/>
      </c>
      <c r="K11" s="143" t="str">
        <f t="shared" si="2"/>
        <v/>
      </c>
      <c r="L11" s="106" t="str">
        <f t="shared" si="3"/>
        <v/>
      </c>
      <c r="M11" s="105" t="str">
        <f t="shared" si="4"/>
        <v/>
      </c>
      <c r="N11" s="144" t="str">
        <f t="shared" si="5"/>
        <v/>
      </c>
      <c r="O11" s="144" t="str">
        <f>IF(NOT(ISERROR(VLOOKUP(C11,Deflatores!G$42:H$64,2,FALSE))),VLOOKUP(C11,Deflatores!G$42:H$64,2,FALSE),IF(OR(ISBLANK(D11),ISBLANK(C11)),"",VLOOKUP(D11,Deflatores!G$4:H$38,2,FALSE)*K11+VLOOKUP(D11,Deflatores!G$4:I$38,3,FALSE)))</f>
        <v/>
      </c>
      <c r="P11" s="115"/>
      <c r="Q11" s="115"/>
      <c r="R11" s="203"/>
      <c r="S11" s="204"/>
      <c r="T11" s="10"/>
      <c r="U11" s="170"/>
    </row>
    <row r="12" spans="1:21" ht="66.75" customHeight="1" x14ac:dyDescent="0.2">
      <c r="A12" s="114"/>
      <c r="B12" s="115"/>
      <c r="C12" s="116"/>
      <c r="D12" s="105"/>
      <c r="E12" s="123"/>
      <c r="F12" s="122"/>
      <c r="G12" s="123"/>
      <c r="H12" s="122"/>
      <c r="I12" s="142" t="str">
        <f t="shared" si="0"/>
        <v/>
      </c>
      <c r="J12" s="105" t="str">
        <f t="shared" si="1"/>
        <v/>
      </c>
      <c r="K12" s="143" t="str">
        <f t="shared" si="2"/>
        <v/>
      </c>
      <c r="L12" s="106" t="str">
        <f t="shared" si="3"/>
        <v/>
      </c>
      <c r="M12" s="105" t="str">
        <f t="shared" si="4"/>
        <v/>
      </c>
      <c r="N12" s="144" t="str">
        <f t="shared" si="5"/>
        <v/>
      </c>
      <c r="O12" s="144" t="str">
        <f>IF(NOT(ISERROR(VLOOKUP(C12,Deflatores!G$42:H$64,2,FALSE))),VLOOKUP(C12,Deflatores!G$42:H$64,2,FALSE),IF(OR(ISBLANK(D12),ISBLANK(C12)),"",VLOOKUP(D12,Deflatores!G$4:H$38,2,FALSE)*K12+VLOOKUP(D12,Deflatores!G$4:I$38,3,FALSE)))</f>
        <v/>
      </c>
      <c r="P12" s="115"/>
      <c r="Q12" s="115"/>
      <c r="R12" s="116"/>
      <c r="S12" s="147"/>
      <c r="T12" s="147"/>
      <c r="U12" s="146"/>
    </row>
    <row r="13" spans="1:21" ht="66.75" customHeight="1" x14ac:dyDescent="0.2">
      <c r="A13" s="114"/>
      <c r="B13" s="145"/>
      <c r="C13" s="116"/>
      <c r="D13" s="105"/>
      <c r="E13" s="123"/>
      <c r="F13" s="122"/>
      <c r="G13" s="123"/>
      <c r="H13" s="122"/>
      <c r="I13" s="142" t="str">
        <f t="shared" si="0"/>
        <v/>
      </c>
      <c r="J13" s="105" t="str">
        <f t="shared" si="1"/>
        <v/>
      </c>
      <c r="K13" s="143" t="str">
        <f t="shared" si="2"/>
        <v/>
      </c>
      <c r="L13" s="106" t="str">
        <f>IF(OR(ISBLANK(E13),ISBLANK(G13)),IF(OR(C13="ALI",C13="AIE"),"L",IF(OR(C13="EE",C13="SE",C13="CE"),"A","")),IF(C13="EE",IF(G13&gt;=3,IF(E13&gt;=5,"H","A"),IF(G13&gt;=2,IF(E13&gt;=16,"H",IF(E13&lt;=4,"L","A")),IF(E13&lt;=15,"L","A"))),IF(OR(C13="SE",C13="CE"),IF(G13&gt;=4,IF(E13&gt;=6,"H","A"),IF(G13&gt;=2,IF(E13&gt;=20,"H",IF(E13&lt;=5,"L","A")),IF(E13&lt;=19,"L","A"))),IF(OR(C13="ALI",C13="AIE"),IF(G13&gt;=6,IF(E13&gt;=20,"H","A"),IF(G13&gt;=2,IF(E13&gt;=51,"H",IF(E13&lt;=19,"L","A")),IF(E13&lt;=50,"L","A"))),""))))</f>
        <v/>
      </c>
      <c r="M13" s="105" t="str">
        <f t="shared" si="4"/>
        <v/>
      </c>
      <c r="N13" s="144" t="str">
        <f t="shared" si="5"/>
        <v/>
      </c>
      <c r="O13" s="144" t="str">
        <f>IF(NOT(ISERROR(VLOOKUP(C13,Deflatores!G$42:H$64,2,FALSE))),VLOOKUP(C13,Deflatores!G$42:H$64,2,FALSE),IF(OR(ISBLANK(D13),ISBLANK(C13)),"",VLOOKUP(D13,Deflatores!G$4:H$38,2,FALSE)*K13+VLOOKUP(D13,Deflatores!G$4:I$38,3,FALSE)))</f>
        <v/>
      </c>
      <c r="P13" s="115"/>
      <c r="Q13" s="115"/>
      <c r="R13" s="116"/>
      <c r="S13" s="147"/>
      <c r="T13" s="147"/>
      <c r="U13" s="146"/>
    </row>
    <row r="14" spans="1:21" ht="12" customHeight="1" x14ac:dyDescent="0.2">
      <c r="A14" s="114"/>
      <c r="B14" s="153"/>
      <c r="C14" s="148"/>
      <c r="D14" s="154"/>
      <c r="E14" s="154"/>
      <c r="F14" s="154"/>
      <c r="G14" s="154"/>
      <c r="H14" s="162"/>
      <c r="I14" s="157" t="str">
        <f t="shared" si="0"/>
        <v/>
      </c>
      <c r="J14" s="155" t="str">
        <f t="shared" si="1"/>
        <v/>
      </c>
      <c r="K14" s="158" t="str">
        <f t="shared" si="2"/>
        <v/>
      </c>
      <c r="L14" s="156" t="str">
        <f t="shared" si="3"/>
        <v/>
      </c>
      <c r="M14" s="155" t="str">
        <f t="shared" si="4"/>
        <v/>
      </c>
      <c r="N14" s="159" t="str">
        <f t="shared" si="5"/>
        <v/>
      </c>
      <c r="O14" s="159" t="str">
        <f>IF(NOT(ISERROR(VLOOKUP(C14,Deflatores!G$42:H$64,2,FALSE))),VLOOKUP(C14,Deflatores!G$42:H$64,2,FALSE),IF(OR(ISBLANK(D14),ISBLANK(C14)),"",VLOOKUP(D14,Deflatores!G$4:H$38,2,FALSE)*K14+VLOOKUP(D14,Deflatores!G$4:I$38,3,FALSE)))</f>
        <v/>
      </c>
      <c r="P14" s="160"/>
      <c r="Q14" s="160"/>
      <c r="R14" s="160"/>
      <c r="S14" s="160"/>
      <c r="T14" s="166"/>
      <c r="U14" s="161"/>
    </row>
    <row r="15" spans="1:21" ht="12" customHeight="1" x14ac:dyDescent="0.2">
      <c r="A15" s="114"/>
      <c r="B15" s="145"/>
      <c r="C15" s="116"/>
      <c r="D15" s="107"/>
      <c r="E15" s="107"/>
      <c r="F15" s="107"/>
      <c r="G15" s="107"/>
      <c r="H15" s="111"/>
      <c r="I15" s="142" t="str">
        <f t="shared" si="0"/>
        <v/>
      </c>
      <c r="J15" s="105" t="str">
        <f t="shared" si="1"/>
        <v/>
      </c>
      <c r="K15" s="143" t="str">
        <f t="shared" si="2"/>
        <v/>
      </c>
      <c r="L15" s="106" t="str">
        <f t="shared" si="3"/>
        <v/>
      </c>
      <c r="M15" s="105" t="str">
        <f t="shared" si="4"/>
        <v/>
      </c>
      <c r="N15" s="144" t="str">
        <f t="shared" si="5"/>
        <v/>
      </c>
      <c r="O15" s="144" t="str">
        <f>IF(NOT(ISERROR(VLOOKUP(C15,Deflatores!G$42:H$64,2,FALSE))),VLOOKUP(C15,Deflatores!G$42:H$64,2,FALSE),IF(OR(ISBLANK(D15),ISBLANK(C15)),"",VLOOKUP(D15,Deflatores!G$4:H$38,2,FALSE)*K15+VLOOKUP(D15,Deflatores!G$4:I$38,3,FALSE)))</f>
        <v/>
      </c>
      <c r="P15" s="115"/>
      <c r="Q15" s="115"/>
      <c r="R15" s="115"/>
      <c r="S15" s="115"/>
      <c r="T15" s="167"/>
      <c r="U15" s="131"/>
    </row>
    <row r="16" spans="1:21" ht="12" customHeight="1" x14ac:dyDescent="0.2">
      <c r="A16" s="114"/>
      <c r="B16" s="145"/>
      <c r="C16" s="116"/>
      <c r="D16" s="107"/>
      <c r="E16" s="107"/>
      <c r="F16" s="107"/>
      <c r="G16" s="107"/>
      <c r="H16" s="111"/>
      <c r="I16" s="142" t="str">
        <f t="shared" si="0"/>
        <v/>
      </c>
      <c r="J16" s="105" t="str">
        <f t="shared" si="1"/>
        <v/>
      </c>
      <c r="K16" s="143" t="str">
        <f t="shared" si="2"/>
        <v/>
      </c>
      <c r="L16" s="106" t="str">
        <f t="shared" si="3"/>
        <v/>
      </c>
      <c r="M16" s="105" t="str">
        <f t="shared" si="4"/>
        <v/>
      </c>
      <c r="N16" s="144" t="str">
        <f t="shared" si="5"/>
        <v/>
      </c>
      <c r="O16" s="144" t="str">
        <f>IF(NOT(ISERROR(VLOOKUP(C16,Deflatores!G$42:H$64,2,FALSE))),VLOOKUP(C16,Deflatores!G$42:H$64,2,FALSE),IF(OR(ISBLANK(D16),ISBLANK(C16)),"",VLOOKUP(D16,Deflatores!G$4:H$38,2,FALSE)*K16+VLOOKUP(D16,Deflatores!G$4:I$38,3,FALSE)))</f>
        <v/>
      </c>
      <c r="P16" s="115"/>
      <c r="Q16" s="115"/>
      <c r="R16" s="115"/>
      <c r="S16" s="115"/>
      <c r="T16" s="167"/>
      <c r="U16" s="131"/>
    </row>
    <row r="17" spans="1:21" ht="12" customHeight="1" x14ac:dyDescent="0.2">
      <c r="A17" s="114"/>
      <c r="B17" s="145"/>
      <c r="C17" s="116"/>
      <c r="D17" s="107"/>
      <c r="E17" s="107"/>
      <c r="F17" s="107"/>
      <c r="G17" s="107"/>
      <c r="H17" s="111"/>
      <c r="I17" s="142" t="str">
        <f t="shared" si="0"/>
        <v/>
      </c>
      <c r="J17" s="105" t="str">
        <f t="shared" si="1"/>
        <v/>
      </c>
      <c r="K17" s="143" t="str">
        <f t="shared" si="2"/>
        <v/>
      </c>
      <c r="L17" s="106" t="str">
        <f t="shared" si="3"/>
        <v/>
      </c>
      <c r="M17" s="105" t="str">
        <f t="shared" si="4"/>
        <v/>
      </c>
      <c r="N17" s="144" t="str">
        <f t="shared" si="5"/>
        <v/>
      </c>
      <c r="O17" s="144" t="str">
        <f>IF(NOT(ISERROR(VLOOKUP(C17,Deflatores!G$42:H$64,2,FALSE))),VLOOKUP(C17,Deflatores!G$42:H$64,2,FALSE),IF(OR(ISBLANK(D17),ISBLANK(C17)),"",VLOOKUP(D17,Deflatores!G$4:H$38,2,FALSE)*K17+VLOOKUP(D17,Deflatores!G$4:I$38,3,FALSE)))</f>
        <v/>
      </c>
      <c r="P17" s="115"/>
      <c r="Q17" s="115"/>
      <c r="R17" s="115"/>
      <c r="S17" s="115"/>
      <c r="T17" s="167"/>
      <c r="U17" s="131"/>
    </row>
    <row r="18" spans="1:21" ht="12" customHeight="1" x14ac:dyDescent="0.2">
      <c r="A18" s="114"/>
      <c r="B18" s="145"/>
      <c r="C18" s="116"/>
      <c r="D18" s="107"/>
      <c r="E18" s="107"/>
      <c r="F18" s="107"/>
      <c r="G18" s="107"/>
      <c r="H18" s="111"/>
      <c r="I18" s="142" t="str">
        <f t="shared" si="0"/>
        <v/>
      </c>
      <c r="J18" s="105" t="str">
        <f t="shared" si="1"/>
        <v/>
      </c>
      <c r="K18" s="143" t="str">
        <f t="shared" si="2"/>
        <v/>
      </c>
      <c r="L18" s="106" t="str">
        <f t="shared" si="3"/>
        <v/>
      </c>
      <c r="M18" s="105" t="str">
        <f t="shared" si="4"/>
        <v/>
      </c>
      <c r="N18" s="144" t="str">
        <f t="shared" si="5"/>
        <v/>
      </c>
      <c r="O18" s="144" t="str">
        <f>IF(NOT(ISERROR(VLOOKUP(C18,Deflatores!G$42:H$64,2,FALSE))),VLOOKUP(C18,Deflatores!G$42:H$64,2,FALSE),IF(OR(ISBLANK(D18),ISBLANK(C18)),"",VLOOKUP(D18,Deflatores!G$4:H$38,2,FALSE)*K18+VLOOKUP(D18,Deflatores!G$4:I$38,3,FALSE)))</f>
        <v/>
      </c>
      <c r="P18" s="115"/>
      <c r="Q18" s="115"/>
      <c r="R18" s="115"/>
      <c r="S18" s="115"/>
      <c r="T18" s="167"/>
      <c r="U18" s="131"/>
    </row>
    <row r="19" spans="1:21" ht="12" customHeight="1" x14ac:dyDescent="0.2">
      <c r="A19" s="114"/>
      <c r="B19" s="145"/>
      <c r="C19" s="116"/>
      <c r="D19" s="107"/>
      <c r="E19" s="107"/>
      <c r="F19" s="107"/>
      <c r="G19" s="107"/>
      <c r="H19" s="111"/>
      <c r="I19" s="142" t="str">
        <f t="shared" si="0"/>
        <v/>
      </c>
      <c r="J19" s="105" t="str">
        <f t="shared" si="1"/>
        <v/>
      </c>
      <c r="K19" s="143" t="str">
        <f t="shared" si="2"/>
        <v/>
      </c>
      <c r="L19" s="106" t="str">
        <f t="shared" si="3"/>
        <v/>
      </c>
      <c r="M19" s="105" t="str">
        <f t="shared" si="4"/>
        <v/>
      </c>
      <c r="N19" s="144" t="str">
        <f t="shared" si="5"/>
        <v/>
      </c>
      <c r="O19" s="144" t="str">
        <f>IF(NOT(ISERROR(VLOOKUP(C19,Deflatores!G$42:H$64,2,FALSE))),VLOOKUP(C19,Deflatores!G$42:H$64,2,FALSE),IF(OR(ISBLANK(D19),ISBLANK(C19)),"",VLOOKUP(D19,Deflatores!G$4:H$38,2,FALSE)*K19+VLOOKUP(D19,Deflatores!G$4:I$38,3,FALSE)))</f>
        <v/>
      </c>
      <c r="P19" s="115"/>
      <c r="Q19" s="115"/>
      <c r="R19" s="115"/>
      <c r="S19" s="115"/>
      <c r="T19" s="167"/>
      <c r="U19" s="131"/>
    </row>
    <row r="20" spans="1:21" ht="12" customHeight="1" x14ac:dyDescent="0.2">
      <c r="A20" s="114"/>
      <c r="B20" s="145"/>
      <c r="C20" s="116"/>
      <c r="D20" s="107"/>
      <c r="E20" s="107"/>
      <c r="F20" s="107"/>
      <c r="G20" s="107"/>
      <c r="H20" s="111"/>
      <c r="I20" s="142" t="str">
        <f t="shared" si="0"/>
        <v/>
      </c>
      <c r="J20" s="105" t="str">
        <f t="shared" si="1"/>
        <v/>
      </c>
      <c r="K20" s="143" t="str">
        <f t="shared" si="2"/>
        <v/>
      </c>
      <c r="L20" s="106" t="str">
        <f t="shared" si="3"/>
        <v/>
      </c>
      <c r="M20" s="105" t="str">
        <f t="shared" si="4"/>
        <v/>
      </c>
      <c r="N20" s="144" t="str">
        <f t="shared" si="5"/>
        <v/>
      </c>
      <c r="O20" s="144" t="str">
        <f>IF(NOT(ISERROR(VLOOKUP(C20,Deflatores!G$42:H$64,2,FALSE))),VLOOKUP(C20,Deflatores!G$42:H$64,2,FALSE),IF(OR(ISBLANK(D20),ISBLANK(C20)),"",VLOOKUP(D20,Deflatores!G$4:H$38,2,FALSE)*K20+VLOOKUP(D20,Deflatores!G$4:I$38,3,FALSE)))</f>
        <v/>
      </c>
      <c r="P20" s="115"/>
      <c r="Q20" s="115"/>
      <c r="R20" s="115"/>
      <c r="S20" s="115"/>
      <c r="T20" s="167"/>
      <c r="U20" s="131"/>
    </row>
    <row r="21" spans="1:21" ht="12" customHeight="1" x14ac:dyDescent="0.2">
      <c r="A21" s="114"/>
      <c r="B21" s="145"/>
      <c r="C21" s="116"/>
      <c r="D21" s="107"/>
      <c r="E21" s="107"/>
      <c r="F21" s="105"/>
      <c r="G21" s="105"/>
      <c r="H21" s="106"/>
      <c r="I21" s="142" t="str">
        <f t="shared" si="0"/>
        <v/>
      </c>
      <c r="J21" s="105" t="str">
        <f t="shared" si="1"/>
        <v/>
      </c>
      <c r="K21" s="143" t="str">
        <f t="shared" si="2"/>
        <v/>
      </c>
      <c r="L21" s="106" t="str">
        <f t="shared" si="3"/>
        <v/>
      </c>
      <c r="M21" s="105" t="str">
        <f t="shared" si="4"/>
        <v/>
      </c>
      <c r="N21" s="144" t="str">
        <f t="shared" si="5"/>
        <v/>
      </c>
      <c r="O21" s="144" t="str">
        <f>IF(NOT(ISERROR(VLOOKUP(C21,Deflatores!G$42:H$64,2,FALSE))),VLOOKUP(C21,Deflatores!G$42:H$64,2,FALSE),IF(OR(ISBLANK(D21),ISBLANK(C21)),"",VLOOKUP(D21,Deflatores!G$4:H$38,2,FALSE)*K21+VLOOKUP(D21,Deflatores!G$4:I$38,3,FALSE)))</f>
        <v/>
      </c>
      <c r="P21" s="115"/>
      <c r="Q21" s="115"/>
      <c r="R21" s="115"/>
      <c r="S21" s="115"/>
      <c r="T21" s="167"/>
      <c r="U21" s="131"/>
    </row>
    <row r="22" spans="1:21" ht="12" customHeight="1" x14ac:dyDescent="0.2">
      <c r="A22" s="114"/>
      <c r="B22" s="145"/>
      <c r="C22" s="116"/>
      <c r="D22" s="107"/>
      <c r="E22" s="107"/>
      <c r="F22" s="105"/>
      <c r="G22" s="105"/>
      <c r="H22" s="106"/>
      <c r="I22" s="142" t="str">
        <f t="shared" si="0"/>
        <v/>
      </c>
      <c r="J22" s="105" t="str">
        <f t="shared" si="1"/>
        <v/>
      </c>
      <c r="K22" s="143" t="str">
        <f t="shared" si="2"/>
        <v/>
      </c>
      <c r="L22" s="106" t="str">
        <f t="shared" si="3"/>
        <v/>
      </c>
      <c r="M22" s="105" t="str">
        <f t="shared" si="4"/>
        <v/>
      </c>
      <c r="N22" s="144" t="str">
        <f t="shared" si="5"/>
        <v/>
      </c>
      <c r="O22" s="144" t="str">
        <f>IF(NOT(ISERROR(VLOOKUP(C22,Deflatores!G$42:H$64,2,FALSE))),VLOOKUP(C22,Deflatores!G$42:H$64,2,FALSE),IF(OR(ISBLANK(D22),ISBLANK(C22)),"",VLOOKUP(D22,Deflatores!G$4:H$38,2,FALSE)*K22+VLOOKUP(D22,Deflatores!G$4:I$38,3,FALSE)))</f>
        <v/>
      </c>
      <c r="P22" s="115"/>
      <c r="Q22" s="115"/>
      <c r="R22" s="115"/>
      <c r="S22" s="115"/>
      <c r="T22" s="167"/>
      <c r="U22" s="131"/>
    </row>
    <row r="23" spans="1:21" ht="12" customHeight="1" x14ac:dyDescent="0.2">
      <c r="A23" s="114"/>
      <c r="B23" s="145"/>
      <c r="C23" s="116"/>
      <c r="D23" s="107"/>
      <c r="E23" s="107"/>
      <c r="F23" s="105"/>
      <c r="G23" s="105"/>
      <c r="H23" s="106"/>
      <c r="I23" s="142" t="str">
        <f t="shared" si="0"/>
        <v/>
      </c>
      <c r="J23" s="105" t="str">
        <f t="shared" si="1"/>
        <v/>
      </c>
      <c r="K23" s="143" t="str">
        <f t="shared" si="2"/>
        <v/>
      </c>
      <c r="L23" s="106" t="str">
        <f t="shared" si="3"/>
        <v/>
      </c>
      <c r="M23" s="105" t="str">
        <f t="shared" si="4"/>
        <v/>
      </c>
      <c r="N23" s="144" t="str">
        <f t="shared" si="5"/>
        <v/>
      </c>
      <c r="O23" s="144" t="str">
        <f>IF(NOT(ISERROR(VLOOKUP(C23,Deflatores!G$42:H$64,2,FALSE))),VLOOKUP(C23,Deflatores!G$42:H$64,2,FALSE),IF(OR(ISBLANK(D23),ISBLANK(C23)),"",VLOOKUP(D23,Deflatores!G$4:H$38,2,FALSE)*K23+VLOOKUP(D23,Deflatores!G$4:I$38,3,FALSE)))</f>
        <v/>
      </c>
      <c r="P23" s="115"/>
      <c r="Q23" s="115"/>
      <c r="R23" s="115"/>
      <c r="S23" s="115"/>
      <c r="T23" s="167"/>
      <c r="U23" s="131"/>
    </row>
    <row r="24" spans="1:21" ht="12" customHeight="1" x14ac:dyDescent="0.2">
      <c r="A24" s="114"/>
      <c r="B24" s="145"/>
      <c r="C24" s="116"/>
      <c r="D24" s="107"/>
      <c r="E24" s="107"/>
      <c r="F24" s="105"/>
      <c r="G24" s="105"/>
      <c r="H24" s="106"/>
      <c r="I24" s="142" t="str">
        <f t="shared" si="0"/>
        <v/>
      </c>
      <c r="J24" s="105" t="str">
        <f t="shared" si="1"/>
        <v/>
      </c>
      <c r="K24" s="143" t="str">
        <f t="shared" si="2"/>
        <v/>
      </c>
      <c r="L24" s="106" t="str">
        <f t="shared" si="3"/>
        <v/>
      </c>
      <c r="M24" s="105" t="str">
        <f t="shared" si="4"/>
        <v/>
      </c>
      <c r="N24" s="144" t="str">
        <f t="shared" si="5"/>
        <v/>
      </c>
      <c r="O24" s="144" t="str">
        <f>IF(NOT(ISERROR(VLOOKUP(C24,Deflatores!G$42:H$64,2,FALSE))),VLOOKUP(C24,Deflatores!G$42:H$64,2,FALSE),IF(OR(ISBLANK(D24),ISBLANK(C24)),"",VLOOKUP(D24,Deflatores!G$4:H$38,2,FALSE)*K24+VLOOKUP(D24,Deflatores!G$4:I$38,3,FALSE)))</f>
        <v/>
      </c>
      <c r="P24" s="115"/>
      <c r="Q24" s="115"/>
      <c r="R24" s="115"/>
      <c r="S24" s="115"/>
      <c r="T24" s="167"/>
      <c r="U24" s="131"/>
    </row>
    <row r="25" spans="1:21" ht="12" customHeight="1" x14ac:dyDescent="0.2">
      <c r="A25" s="114"/>
      <c r="B25" s="115"/>
      <c r="C25" s="116"/>
      <c r="D25" s="105"/>
      <c r="E25" s="105"/>
      <c r="F25" s="105"/>
      <c r="G25" s="105"/>
      <c r="H25" s="106"/>
      <c r="I25" s="142" t="str">
        <f t="shared" si="0"/>
        <v/>
      </c>
      <c r="J25" s="105" t="str">
        <f t="shared" si="1"/>
        <v/>
      </c>
      <c r="K25" s="143" t="str">
        <f t="shared" si="2"/>
        <v/>
      </c>
      <c r="L25" s="106" t="str">
        <f t="shared" si="3"/>
        <v/>
      </c>
      <c r="M25" s="105" t="str">
        <f t="shared" si="4"/>
        <v/>
      </c>
      <c r="N25" s="144" t="str">
        <f t="shared" si="5"/>
        <v/>
      </c>
      <c r="O25" s="144" t="str">
        <f>IF(NOT(ISERROR(VLOOKUP(C25,Deflatores!G$42:H$64,2,FALSE))),VLOOKUP(C25,Deflatores!G$42:H$64,2,FALSE),IF(OR(ISBLANK(D25),ISBLANK(C25)),"",VLOOKUP(D25,Deflatores!G$4:H$38,2,FALSE)*K25+VLOOKUP(D25,Deflatores!G$4:I$38,3,FALSE)))</f>
        <v/>
      </c>
      <c r="P25" s="115"/>
      <c r="Q25" s="115"/>
      <c r="R25" s="115"/>
      <c r="S25" s="115"/>
      <c r="T25" s="167"/>
      <c r="U25" s="131"/>
    </row>
    <row r="26" spans="1:21" ht="12" customHeight="1" x14ac:dyDescent="0.2">
      <c r="A26" s="114"/>
      <c r="B26" s="115"/>
      <c r="C26" s="116"/>
      <c r="D26" s="105"/>
      <c r="E26" s="105"/>
      <c r="F26" s="105"/>
      <c r="G26" s="105"/>
      <c r="H26" s="106"/>
      <c r="I26" s="142" t="str">
        <f t="shared" si="0"/>
        <v/>
      </c>
      <c r="J26" s="105" t="str">
        <f t="shared" si="1"/>
        <v/>
      </c>
      <c r="K26" s="143" t="str">
        <f t="shared" si="2"/>
        <v/>
      </c>
      <c r="L26" s="106" t="str">
        <f t="shared" si="3"/>
        <v/>
      </c>
      <c r="M26" s="105" t="str">
        <f t="shared" si="4"/>
        <v/>
      </c>
      <c r="N26" s="144" t="str">
        <f t="shared" si="5"/>
        <v/>
      </c>
      <c r="O26" s="144" t="str">
        <f>IF(NOT(ISERROR(VLOOKUP(C26,Deflatores!G$42:H$64,2,FALSE))),VLOOKUP(C26,Deflatores!G$42:H$64,2,FALSE),IF(OR(ISBLANK(D26),ISBLANK(C26)),"",VLOOKUP(D26,Deflatores!G$4:H$38,2,FALSE)*K26+VLOOKUP(D26,Deflatores!G$4:I$38,3,FALSE)))</f>
        <v/>
      </c>
      <c r="P26" s="115"/>
      <c r="Q26" s="115"/>
      <c r="R26" s="115"/>
      <c r="S26" s="115"/>
      <c r="T26" s="167"/>
      <c r="U26" s="131"/>
    </row>
    <row r="27" spans="1:21" ht="12" customHeight="1" x14ac:dyDescent="0.2">
      <c r="A27" s="114"/>
      <c r="B27" s="115"/>
      <c r="C27" s="116"/>
      <c r="D27" s="105"/>
      <c r="E27" s="105"/>
      <c r="F27" s="105"/>
      <c r="G27" s="105"/>
      <c r="H27" s="106"/>
      <c r="I27" s="142" t="str">
        <f t="shared" si="0"/>
        <v/>
      </c>
      <c r="J27" s="105" t="str">
        <f t="shared" si="1"/>
        <v/>
      </c>
      <c r="K27" s="143" t="str">
        <f t="shared" si="2"/>
        <v/>
      </c>
      <c r="L27" s="106" t="str">
        <f t="shared" si="3"/>
        <v/>
      </c>
      <c r="M27" s="105" t="str">
        <f t="shared" si="4"/>
        <v/>
      </c>
      <c r="N27" s="144" t="str">
        <f t="shared" si="5"/>
        <v/>
      </c>
      <c r="O27" s="144" t="str">
        <f>IF(NOT(ISERROR(VLOOKUP(C27,Deflatores!G$42:H$64,2,FALSE))),VLOOKUP(C27,Deflatores!G$42:H$64,2,FALSE),IF(OR(ISBLANK(D27),ISBLANK(C27)),"",VLOOKUP(D27,Deflatores!G$4:H$38,2,FALSE)*K27+VLOOKUP(D27,Deflatores!G$4:I$38,3,FALSE)))</f>
        <v/>
      </c>
      <c r="P27" s="115"/>
      <c r="Q27" s="115"/>
      <c r="R27" s="115"/>
      <c r="S27" s="115"/>
      <c r="T27" s="167"/>
      <c r="U27" s="131"/>
    </row>
    <row r="28" spans="1:21" ht="12" customHeight="1" x14ac:dyDescent="0.2">
      <c r="A28" s="114"/>
      <c r="B28" s="115"/>
      <c r="C28" s="116"/>
      <c r="D28" s="105"/>
      <c r="E28" s="105"/>
      <c r="F28" s="105"/>
      <c r="G28" s="105"/>
      <c r="H28" s="106"/>
      <c r="I28" s="142" t="str">
        <f t="shared" si="0"/>
        <v/>
      </c>
      <c r="J28" s="105" t="str">
        <f t="shared" si="1"/>
        <v/>
      </c>
      <c r="K28" s="143" t="str">
        <f t="shared" si="2"/>
        <v/>
      </c>
      <c r="L28" s="106" t="str">
        <f t="shared" si="3"/>
        <v/>
      </c>
      <c r="M28" s="105" t="str">
        <f t="shared" si="4"/>
        <v/>
      </c>
      <c r="N28" s="144" t="str">
        <f t="shared" si="5"/>
        <v/>
      </c>
      <c r="O28" s="144" t="str">
        <f>IF(NOT(ISERROR(VLOOKUP(C28,Deflatores!G$42:H$64,2,FALSE))),VLOOKUP(C28,Deflatores!G$42:H$64,2,FALSE),IF(OR(ISBLANK(D28),ISBLANK(C28)),"",VLOOKUP(D28,Deflatores!G$4:H$38,2,FALSE)*K28+VLOOKUP(D28,Deflatores!G$4:I$38,3,FALSE)))</f>
        <v/>
      </c>
      <c r="P28" s="115"/>
      <c r="Q28" s="115"/>
      <c r="R28" s="115"/>
      <c r="S28" s="115"/>
      <c r="T28" s="167"/>
      <c r="U28" s="131"/>
    </row>
    <row r="29" spans="1:21" ht="12" customHeight="1" x14ac:dyDescent="0.2">
      <c r="A29" s="114"/>
      <c r="B29" s="115"/>
      <c r="C29" s="116"/>
      <c r="D29" s="105"/>
      <c r="E29" s="105"/>
      <c r="F29" s="105"/>
      <c r="G29" s="105"/>
      <c r="H29" s="106"/>
      <c r="I29" s="142" t="str">
        <f t="shared" si="0"/>
        <v/>
      </c>
      <c r="J29" s="105" t="str">
        <f t="shared" si="1"/>
        <v/>
      </c>
      <c r="K29" s="143" t="str">
        <f t="shared" si="2"/>
        <v/>
      </c>
      <c r="L29" s="106" t="str">
        <f t="shared" si="3"/>
        <v/>
      </c>
      <c r="M29" s="105" t="str">
        <f t="shared" si="4"/>
        <v/>
      </c>
      <c r="N29" s="144" t="str">
        <f t="shared" si="5"/>
        <v/>
      </c>
      <c r="O29" s="144" t="str">
        <f>IF(NOT(ISERROR(VLOOKUP(C29,Deflatores!G$42:H$64,2,FALSE))),VLOOKUP(C29,Deflatores!G$42:H$64,2,FALSE),IF(OR(ISBLANK(D29),ISBLANK(C29)),"",VLOOKUP(D29,Deflatores!G$4:H$38,2,FALSE)*K29+VLOOKUP(D29,Deflatores!G$4:I$38,3,FALSE)))</f>
        <v/>
      </c>
      <c r="P29" s="115"/>
      <c r="Q29" s="115"/>
      <c r="R29" s="115"/>
      <c r="S29" s="115"/>
      <c r="T29" s="167"/>
      <c r="U29" s="131"/>
    </row>
    <row r="30" spans="1:21" ht="12" customHeight="1" x14ac:dyDescent="0.2">
      <c r="A30" s="114"/>
      <c r="B30" s="115"/>
      <c r="C30" s="116"/>
      <c r="D30" s="105"/>
      <c r="E30" s="105"/>
      <c r="F30" s="105"/>
      <c r="G30" s="105"/>
      <c r="H30" s="106"/>
      <c r="I30" s="142" t="str">
        <f t="shared" si="0"/>
        <v/>
      </c>
      <c r="J30" s="105" t="str">
        <f t="shared" si="1"/>
        <v/>
      </c>
      <c r="K30" s="143" t="str">
        <f t="shared" si="2"/>
        <v/>
      </c>
      <c r="L30" s="106" t="str">
        <f t="shared" si="3"/>
        <v/>
      </c>
      <c r="M30" s="105" t="str">
        <f t="shared" si="4"/>
        <v/>
      </c>
      <c r="N30" s="144" t="str">
        <f t="shared" si="5"/>
        <v/>
      </c>
      <c r="O30" s="144" t="str">
        <f>IF(NOT(ISERROR(VLOOKUP(C30,Deflatores!G$42:H$64,2,FALSE))),VLOOKUP(C30,Deflatores!G$42:H$64,2,FALSE),IF(OR(ISBLANK(D30),ISBLANK(C30)),"",VLOOKUP(D30,Deflatores!G$4:H$38,2,FALSE)*K30+VLOOKUP(D30,Deflatores!G$4:I$38,3,FALSE)))</f>
        <v/>
      </c>
      <c r="P30" s="115"/>
      <c r="Q30" s="115"/>
      <c r="R30" s="115"/>
      <c r="S30" s="115"/>
      <c r="T30" s="167"/>
      <c r="U30" s="131"/>
    </row>
    <row r="31" spans="1:21" ht="12" customHeight="1" x14ac:dyDescent="0.2">
      <c r="A31" s="114"/>
      <c r="B31" s="115"/>
      <c r="C31" s="116"/>
      <c r="D31" s="105"/>
      <c r="E31" s="105"/>
      <c r="F31" s="105"/>
      <c r="G31" s="105"/>
      <c r="H31" s="106"/>
      <c r="I31" s="142" t="str">
        <f t="shared" si="0"/>
        <v/>
      </c>
      <c r="J31" s="105" t="str">
        <f t="shared" si="1"/>
        <v/>
      </c>
      <c r="K31" s="143" t="str">
        <f t="shared" si="2"/>
        <v/>
      </c>
      <c r="L31" s="106" t="str">
        <f t="shared" si="3"/>
        <v/>
      </c>
      <c r="M31" s="105" t="str">
        <f t="shared" si="4"/>
        <v/>
      </c>
      <c r="N31" s="144" t="str">
        <f t="shared" si="5"/>
        <v/>
      </c>
      <c r="O31" s="144" t="str">
        <f>IF(NOT(ISERROR(VLOOKUP(C31,Deflatores!G$42:H$64,2,FALSE))),VLOOKUP(C31,Deflatores!G$42:H$64,2,FALSE),IF(OR(ISBLANK(D31),ISBLANK(C31)),"",VLOOKUP(D31,Deflatores!G$4:H$38,2,FALSE)*K31+VLOOKUP(D31,Deflatores!G$4:I$38,3,FALSE)))</f>
        <v/>
      </c>
      <c r="P31" s="115"/>
      <c r="Q31" s="115"/>
      <c r="R31" s="115"/>
      <c r="S31" s="115"/>
      <c r="T31" s="167"/>
      <c r="U31" s="131"/>
    </row>
    <row r="32" spans="1:21" ht="12" customHeight="1" x14ac:dyDescent="0.2">
      <c r="A32" s="114"/>
      <c r="B32" s="115"/>
      <c r="C32" s="116"/>
      <c r="D32" s="105"/>
      <c r="E32" s="105"/>
      <c r="F32" s="105"/>
      <c r="G32" s="105"/>
      <c r="H32" s="106"/>
      <c r="I32" s="142" t="str">
        <f t="shared" si="0"/>
        <v/>
      </c>
      <c r="J32" s="105" t="str">
        <f t="shared" si="1"/>
        <v/>
      </c>
      <c r="K32" s="143" t="str">
        <f t="shared" si="2"/>
        <v/>
      </c>
      <c r="L32" s="106" t="str">
        <f t="shared" si="3"/>
        <v/>
      </c>
      <c r="M32" s="105" t="str">
        <f t="shared" si="4"/>
        <v/>
      </c>
      <c r="N32" s="144" t="str">
        <f t="shared" si="5"/>
        <v/>
      </c>
      <c r="O32" s="144" t="str">
        <f>IF(NOT(ISERROR(VLOOKUP(C32,Deflatores!G$42:H$64,2,FALSE))),VLOOKUP(C32,Deflatores!G$42:H$64,2,FALSE),IF(OR(ISBLANK(D32),ISBLANK(C32)),"",VLOOKUP(D32,Deflatores!G$4:H$38,2,FALSE)*K32+VLOOKUP(D32,Deflatores!G$4:I$38,3,FALSE)))</f>
        <v/>
      </c>
      <c r="P32" s="115"/>
      <c r="Q32" s="115"/>
      <c r="R32" s="115"/>
      <c r="S32" s="115"/>
      <c r="T32" s="167"/>
      <c r="U32" s="131"/>
    </row>
    <row r="33" spans="1:21" ht="12" customHeight="1" x14ac:dyDescent="0.2">
      <c r="A33" s="114"/>
      <c r="B33" s="115"/>
      <c r="C33" s="116"/>
      <c r="D33" s="105"/>
      <c r="E33" s="105"/>
      <c r="F33" s="105"/>
      <c r="G33" s="105"/>
      <c r="H33" s="106"/>
      <c r="I33" s="142" t="str">
        <f t="shared" si="0"/>
        <v/>
      </c>
      <c r="J33" s="105" t="str">
        <f t="shared" si="1"/>
        <v/>
      </c>
      <c r="K33" s="143" t="str">
        <f t="shared" si="2"/>
        <v/>
      </c>
      <c r="L33" s="106" t="str">
        <f t="shared" si="3"/>
        <v/>
      </c>
      <c r="M33" s="105" t="str">
        <f t="shared" si="4"/>
        <v/>
      </c>
      <c r="N33" s="144" t="str">
        <f t="shared" si="5"/>
        <v/>
      </c>
      <c r="O33" s="144" t="str">
        <f>IF(NOT(ISERROR(VLOOKUP(C33,Deflatores!G$42:H$64,2,FALSE))),VLOOKUP(C33,Deflatores!G$42:H$64,2,FALSE),IF(OR(ISBLANK(D33),ISBLANK(C33)),"",VLOOKUP(D33,Deflatores!G$4:H$38,2,FALSE)*K33+VLOOKUP(D33,Deflatores!G$4:I$38,3,FALSE)))</f>
        <v/>
      </c>
      <c r="P33" s="115"/>
      <c r="Q33" s="115"/>
      <c r="R33" s="115"/>
      <c r="S33" s="115"/>
      <c r="T33" s="167"/>
      <c r="U33" s="131"/>
    </row>
    <row r="34" spans="1:21" ht="12" customHeight="1" x14ac:dyDescent="0.2">
      <c r="A34" s="114"/>
      <c r="B34" s="115"/>
      <c r="C34" s="116"/>
      <c r="D34" s="105"/>
      <c r="E34" s="105"/>
      <c r="F34" s="105"/>
      <c r="G34" s="105"/>
      <c r="H34" s="106"/>
      <c r="I34" s="142" t="str">
        <f t="shared" si="0"/>
        <v/>
      </c>
      <c r="J34" s="105" t="str">
        <f t="shared" si="1"/>
        <v/>
      </c>
      <c r="K34" s="143" t="str">
        <f t="shared" si="2"/>
        <v/>
      </c>
      <c r="L34" s="106" t="str">
        <f t="shared" si="3"/>
        <v/>
      </c>
      <c r="M34" s="105" t="str">
        <f t="shared" si="4"/>
        <v/>
      </c>
      <c r="N34" s="144" t="str">
        <f t="shared" si="5"/>
        <v/>
      </c>
      <c r="O34" s="144" t="str">
        <f>IF(NOT(ISERROR(VLOOKUP(C34,Deflatores!G$42:H$64,2,FALSE))),VLOOKUP(C34,Deflatores!G$42:H$64,2,FALSE),IF(OR(ISBLANK(D34),ISBLANK(C34)),"",VLOOKUP(D34,Deflatores!G$4:H$38,2,FALSE)*K34+VLOOKUP(D34,Deflatores!G$4:I$38,3,FALSE)))</f>
        <v/>
      </c>
      <c r="P34" s="115"/>
      <c r="Q34" s="115"/>
      <c r="R34" s="115"/>
      <c r="S34" s="115"/>
      <c r="T34" s="167"/>
      <c r="U34" s="131"/>
    </row>
    <row r="35" spans="1:21" ht="12" customHeight="1" x14ac:dyDescent="0.2">
      <c r="A35" s="114"/>
      <c r="B35" s="115"/>
      <c r="C35" s="116"/>
      <c r="D35" s="105"/>
      <c r="E35" s="105"/>
      <c r="F35" s="105"/>
      <c r="G35" s="105"/>
      <c r="H35" s="106"/>
      <c r="I35" s="142" t="str">
        <f t="shared" si="0"/>
        <v/>
      </c>
      <c r="J35" s="105" t="str">
        <f t="shared" si="1"/>
        <v/>
      </c>
      <c r="K35" s="143" t="str">
        <f t="shared" si="2"/>
        <v/>
      </c>
      <c r="L35" s="106" t="str">
        <f t="shared" si="3"/>
        <v/>
      </c>
      <c r="M35" s="105" t="str">
        <f t="shared" si="4"/>
        <v/>
      </c>
      <c r="N35" s="144" t="str">
        <f t="shared" si="5"/>
        <v/>
      </c>
      <c r="O35" s="144" t="str">
        <f>IF(NOT(ISERROR(VLOOKUP(C35,Deflatores!G$42:H$64,2,FALSE))),VLOOKUP(C35,Deflatores!G$42:H$64,2,FALSE),IF(OR(ISBLANK(D35),ISBLANK(C35)),"",VLOOKUP(D35,Deflatores!G$4:H$38,2,FALSE)*K35+VLOOKUP(D35,Deflatores!G$4:I$38,3,FALSE)))</f>
        <v/>
      </c>
      <c r="P35" s="115"/>
      <c r="Q35" s="115"/>
      <c r="R35" s="115"/>
      <c r="S35" s="115"/>
      <c r="T35" s="167"/>
      <c r="U35" s="131"/>
    </row>
    <row r="36" spans="1:21" ht="12" customHeight="1" x14ac:dyDescent="0.2">
      <c r="A36" s="114"/>
      <c r="B36" s="115"/>
      <c r="C36" s="116"/>
      <c r="D36" s="105"/>
      <c r="E36" s="105"/>
      <c r="F36" s="105"/>
      <c r="G36" s="105"/>
      <c r="H36" s="106"/>
      <c r="I36" s="142" t="str">
        <f t="shared" si="0"/>
        <v/>
      </c>
      <c r="J36" s="105" t="str">
        <f t="shared" si="1"/>
        <v/>
      </c>
      <c r="K36" s="143" t="str">
        <f t="shared" si="2"/>
        <v/>
      </c>
      <c r="L36" s="106" t="str">
        <f t="shared" si="3"/>
        <v/>
      </c>
      <c r="M36" s="105" t="str">
        <f t="shared" si="4"/>
        <v/>
      </c>
      <c r="N36" s="144" t="str">
        <f t="shared" si="5"/>
        <v/>
      </c>
      <c r="O36" s="144" t="str">
        <f>IF(NOT(ISERROR(VLOOKUP(C36,Deflatores!G$42:H$64,2,FALSE))),VLOOKUP(C36,Deflatores!G$42:H$64,2,FALSE),IF(OR(ISBLANK(D36),ISBLANK(C36)),"",VLOOKUP(D36,Deflatores!G$4:H$38,2,FALSE)*K36+VLOOKUP(D36,Deflatores!G$4:I$38,3,FALSE)))</f>
        <v/>
      </c>
      <c r="P36" s="115"/>
      <c r="Q36" s="115"/>
      <c r="R36" s="115"/>
      <c r="S36" s="115"/>
      <c r="T36" s="167"/>
      <c r="U36" s="131"/>
    </row>
    <row r="37" spans="1:21" ht="12" customHeight="1" x14ac:dyDescent="0.2">
      <c r="A37" s="114"/>
      <c r="B37" s="115"/>
      <c r="C37" s="116"/>
      <c r="D37" s="105"/>
      <c r="E37" s="105"/>
      <c r="F37" s="105"/>
      <c r="G37" s="105"/>
      <c r="H37" s="106"/>
      <c r="I37" s="142" t="str">
        <f t="shared" si="0"/>
        <v/>
      </c>
      <c r="J37" s="105" t="str">
        <f t="shared" si="1"/>
        <v/>
      </c>
      <c r="K37" s="143" t="str">
        <f t="shared" si="2"/>
        <v/>
      </c>
      <c r="L37" s="106" t="str">
        <f t="shared" si="3"/>
        <v/>
      </c>
      <c r="M37" s="105" t="str">
        <f t="shared" si="4"/>
        <v/>
      </c>
      <c r="N37" s="144" t="str">
        <f t="shared" si="5"/>
        <v/>
      </c>
      <c r="O37" s="144" t="str">
        <f>IF(NOT(ISERROR(VLOOKUP(C37,Deflatores!G$42:H$64,2,FALSE))),VLOOKUP(C37,Deflatores!G$42:H$64,2,FALSE),IF(OR(ISBLANK(D37),ISBLANK(C37)),"",VLOOKUP(D37,Deflatores!G$4:H$38,2,FALSE)*K37+VLOOKUP(D37,Deflatores!G$4:I$38,3,FALSE)))</f>
        <v/>
      </c>
      <c r="P37" s="115"/>
      <c r="Q37" s="115"/>
      <c r="R37" s="115"/>
      <c r="S37" s="115"/>
      <c r="T37" s="167"/>
      <c r="U37" s="131"/>
    </row>
    <row r="38" spans="1:21" ht="12" customHeight="1" x14ac:dyDescent="0.2">
      <c r="A38" s="114"/>
      <c r="B38" s="115"/>
      <c r="C38" s="116"/>
      <c r="D38" s="105"/>
      <c r="E38" s="105"/>
      <c r="F38" s="105"/>
      <c r="G38" s="105"/>
      <c r="H38" s="106"/>
      <c r="I38" s="142" t="str">
        <f t="shared" si="0"/>
        <v/>
      </c>
      <c r="J38" s="105" t="str">
        <f t="shared" si="1"/>
        <v/>
      </c>
      <c r="K38" s="143" t="str">
        <f t="shared" si="2"/>
        <v/>
      </c>
      <c r="L38" s="106" t="str">
        <f t="shared" si="3"/>
        <v/>
      </c>
      <c r="M38" s="105" t="str">
        <f t="shared" si="4"/>
        <v/>
      </c>
      <c r="N38" s="144" t="str">
        <f t="shared" si="5"/>
        <v/>
      </c>
      <c r="O38" s="144" t="str">
        <f>IF(NOT(ISERROR(VLOOKUP(C38,Deflatores!G$42:H$64,2,FALSE))),VLOOKUP(C38,Deflatores!G$42:H$64,2,FALSE),IF(OR(ISBLANK(D38),ISBLANK(C38)),"",VLOOKUP(D38,Deflatores!G$4:H$38,2,FALSE)*K38+VLOOKUP(D38,Deflatores!G$4:I$38,3,FALSE)))</f>
        <v/>
      </c>
      <c r="P38" s="115"/>
      <c r="Q38" s="115"/>
      <c r="R38" s="115"/>
      <c r="S38" s="115"/>
      <c r="T38" s="167"/>
      <c r="U38" s="131"/>
    </row>
    <row r="39" spans="1:21" ht="12" customHeight="1" x14ac:dyDescent="0.2">
      <c r="A39" s="114"/>
      <c r="B39" s="115"/>
      <c r="C39" s="116"/>
      <c r="D39" s="105"/>
      <c r="E39" s="105"/>
      <c r="F39" s="105"/>
      <c r="G39" s="105"/>
      <c r="H39" s="106"/>
      <c r="I39" s="142" t="str">
        <f t="shared" si="0"/>
        <v/>
      </c>
      <c r="J39" s="105" t="str">
        <f t="shared" si="1"/>
        <v/>
      </c>
      <c r="K39" s="143" t="str">
        <f t="shared" si="2"/>
        <v/>
      </c>
      <c r="L39" s="106" t="str">
        <f t="shared" si="3"/>
        <v/>
      </c>
      <c r="M39" s="105" t="str">
        <f t="shared" si="4"/>
        <v/>
      </c>
      <c r="N39" s="144" t="str">
        <f t="shared" si="5"/>
        <v/>
      </c>
      <c r="O39" s="144" t="str">
        <f>IF(NOT(ISERROR(VLOOKUP(C39,Deflatores!G$42:H$64,2,FALSE))),VLOOKUP(C39,Deflatores!G$42:H$64,2,FALSE),IF(OR(ISBLANK(D39),ISBLANK(C39)),"",VLOOKUP(D39,Deflatores!G$4:H$38,2,FALSE)*K39+VLOOKUP(D39,Deflatores!G$4:I$38,3,FALSE)))</f>
        <v/>
      </c>
      <c r="P39" s="115"/>
      <c r="Q39" s="115"/>
      <c r="R39" s="115"/>
      <c r="S39" s="115"/>
      <c r="T39" s="167"/>
      <c r="U39" s="131"/>
    </row>
    <row r="40" spans="1:21" ht="12" customHeight="1" x14ac:dyDescent="0.2">
      <c r="A40" s="114"/>
      <c r="B40" s="115"/>
      <c r="C40" s="116"/>
      <c r="D40" s="105"/>
      <c r="E40" s="105"/>
      <c r="F40" s="105"/>
      <c r="G40" s="105"/>
      <c r="H40" s="106"/>
      <c r="I40" s="142" t="str">
        <f t="shared" si="0"/>
        <v/>
      </c>
      <c r="J40" s="105" t="str">
        <f t="shared" si="1"/>
        <v/>
      </c>
      <c r="K40" s="143" t="str">
        <f t="shared" si="2"/>
        <v/>
      </c>
      <c r="L40" s="106" t="str">
        <f t="shared" si="3"/>
        <v/>
      </c>
      <c r="M40" s="105" t="str">
        <f t="shared" si="4"/>
        <v/>
      </c>
      <c r="N40" s="144" t="str">
        <f t="shared" si="5"/>
        <v/>
      </c>
      <c r="O40" s="144" t="str">
        <f>IF(NOT(ISERROR(VLOOKUP(C40,Deflatores!G$42:H$64,2,FALSE))),VLOOKUP(C40,Deflatores!G$42:H$64,2,FALSE),IF(OR(ISBLANK(D40),ISBLANK(C40)),"",VLOOKUP(D40,Deflatores!G$4:H$38,2,FALSE)*K40+VLOOKUP(D40,Deflatores!G$4:I$38,3,FALSE)))</f>
        <v/>
      </c>
      <c r="P40" s="115"/>
      <c r="Q40" s="115"/>
      <c r="R40" s="115"/>
      <c r="S40" s="115"/>
      <c r="T40" s="167"/>
      <c r="U40" s="131"/>
    </row>
    <row r="41" spans="1:21" ht="12" customHeight="1" x14ac:dyDescent="0.2">
      <c r="A41" s="114"/>
      <c r="B41" s="115"/>
      <c r="C41" s="116"/>
      <c r="D41" s="105"/>
      <c r="E41" s="105"/>
      <c r="F41" s="105"/>
      <c r="G41" s="105"/>
      <c r="H41" s="106"/>
      <c r="I41" s="142" t="str">
        <f t="shared" si="0"/>
        <v/>
      </c>
      <c r="J41" s="105" t="str">
        <f t="shared" si="1"/>
        <v/>
      </c>
      <c r="K41" s="143" t="str">
        <f t="shared" si="2"/>
        <v/>
      </c>
      <c r="L41" s="106" t="str">
        <f t="shared" si="3"/>
        <v/>
      </c>
      <c r="M41" s="105" t="str">
        <f t="shared" si="4"/>
        <v/>
      </c>
      <c r="N41" s="144" t="str">
        <f t="shared" si="5"/>
        <v/>
      </c>
      <c r="O41" s="144" t="str">
        <f>IF(NOT(ISERROR(VLOOKUP(C41,Deflatores!G$42:H$64,2,FALSE))),VLOOKUP(C41,Deflatores!G$42:H$64,2,FALSE),IF(OR(ISBLANK(D41),ISBLANK(C41)),"",VLOOKUP(D41,Deflatores!G$4:H$38,2,FALSE)*K41+VLOOKUP(D41,Deflatores!G$4:I$38,3,FALSE)))</f>
        <v/>
      </c>
      <c r="P41" s="115"/>
      <c r="Q41" s="115"/>
      <c r="R41" s="115"/>
      <c r="S41" s="115"/>
      <c r="T41" s="167"/>
      <c r="U41" s="131"/>
    </row>
    <row r="42" spans="1:21" ht="12" customHeight="1" x14ac:dyDescent="0.2">
      <c r="A42" s="114"/>
      <c r="B42" s="115"/>
      <c r="C42" s="116"/>
      <c r="D42" s="105"/>
      <c r="E42" s="105"/>
      <c r="F42" s="105"/>
      <c r="G42" s="105"/>
      <c r="H42" s="106"/>
      <c r="I42" s="142" t="str">
        <f t="shared" si="0"/>
        <v/>
      </c>
      <c r="J42" s="105" t="str">
        <f t="shared" si="1"/>
        <v/>
      </c>
      <c r="K42" s="143" t="str">
        <f t="shared" si="2"/>
        <v/>
      </c>
      <c r="L42" s="106" t="str">
        <f t="shared" si="3"/>
        <v/>
      </c>
      <c r="M42" s="105" t="str">
        <f t="shared" si="4"/>
        <v/>
      </c>
      <c r="N42" s="144" t="str">
        <f t="shared" si="5"/>
        <v/>
      </c>
      <c r="O42" s="144" t="str">
        <f>IF(NOT(ISERROR(VLOOKUP(C42,Deflatores!G$42:H$64,2,FALSE))),VLOOKUP(C42,Deflatores!G$42:H$64,2,FALSE),IF(OR(ISBLANK(D42),ISBLANK(C42)),"",VLOOKUP(D42,Deflatores!G$4:H$38,2,FALSE)*K42+VLOOKUP(D42,Deflatores!G$4:I$38,3,FALSE)))</f>
        <v/>
      </c>
      <c r="P42" s="115"/>
      <c r="Q42" s="115"/>
      <c r="R42" s="115"/>
      <c r="S42" s="115"/>
      <c r="T42" s="167"/>
      <c r="U42" s="131"/>
    </row>
    <row r="43" spans="1:21" ht="12" customHeight="1" x14ac:dyDescent="0.2">
      <c r="A43" s="114"/>
      <c r="B43" s="115"/>
      <c r="C43" s="116"/>
      <c r="D43" s="105"/>
      <c r="E43" s="105"/>
      <c r="F43" s="105"/>
      <c r="G43" s="105"/>
      <c r="H43" s="106"/>
      <c r="I43" s="142" t="str">
        <f t="shared" si="0"/>
        <v/>
      </c>
      <c r="J43" s="105" t="str">
        <f t="shared" si="1"/>
        <v/>
      </c>
      <c r="K43" s="143" t="str">
        <f t="shared" si="2"/>
        <v/>
      </c>
      <c r="L43" s="106" t="str">
        <f t="shared" si="3"/>
        <v/>
      </c>
      <c r="M43" s="105" t="str">
        <f t="shared" si="4"/>
        <v/>
      </c>
      <c r="N43" s="144" t="str">
        <f t="shared" si="5"/>
        <v/>
      </c>
      <c r="O43" s="144" t="str">
        <f>IF(NOT(ISERROR(VLOOKUP(C43,Deflatores!G$42:H$64,2,FALSE))),VLOOKUP(C43,Deflatores!G$42:H$64,2,FALSE),IF(OR(ISBLANK(D43),ISBLANK(C43)),"",VLOOKUP(D43,Deflatores!G$4:H$38,2,FALSE)*K43+VLOOKUP(D43,Deflatores!G$4:I$38,3,FALSE)))</f>
        <v/>
      </c>
      <c r="P43" s="115"/>
      <c r="Q43" s="115"/>
      <c r="R43" s="115"/>
      <c r="S43" s="115"/>
      <c r="T43" s="167"/>
      <c r="U43" s="131"/>
    </row>
    <row r="44" spans="1:21" ht="12" customHeight="1" x14ac:dyDescent="0.2">
      <c r="A44" s="114"/>
      <c r="B44" s="115"/>
      <c r="C44" s="116"/>
      <c r="D44" s="105"/>
      <c r="E44" s="105"/>
      <c r="F44" s="105"/>
      <c r="G44" s="105"/>
      <c r="H44" s="106"/>
      <c r="I44" s="142" t="str">
        <f t="shared" si="0"/>
        <v/>
      </c>
      <c r="J44" s="105" t="str">
        <f t="shared" si="1"/>
        <v/>
      </c>
      <c r="K44" s="143" t="str">
        <f t="shared" si="2"/>
        <v/>
      </c>
      <c r="L44" s="106" t="str">
        <f t="shared" si="3"/>
        <v/>
      </c>
      <c r="M44" s="105" t="str">
        <f t="shared" si="4"/>
        <v/>
      </c>
      <c r="N44" s="144" t="str">
        <f t="shared" si="5"/>
        <v/>
      </c>
      <c r="O44" s="144" t="str">
        <f>IF(NOT(ISERROR(VLOOKUP(C44,Deflatores!G$42:H$64,2,FALSE))),VLOOKUP(C44,Deflatores!G$42:H$64,2,FALSE),IF(OR(ISBLANK(D44),ISBLANK(C44)),"",VLOOKUP(D44,Deflatores!G$4:H$38,2,FALSE)*K44+VLOOKUP(D44,Deflatores!G$4:I$38,3,FALSE)))</f>
        <v/>
      </c>
      <c r="P44" s="115"/>
      <c r="Q44" s="115"/>
      <c r="R44" s="115"/>
      <c r="S44" s="115"/>
      <c r="T44" s="167"/>
      <c r="U44" s="131"/>
    </row>
    <row r="45" spans="1:21" ht="12" customHeight="1" x14ac:dyDescent="0.2">
      <c r="A45" s="114"/>
      <c r="B45" s="115"/>
      <c r="C45" s="116"/>
      <c r="D45" s="105"/>
      <c r="E45" s="105"/>
      <c r="F45" s="105"/>
      <c r="G45" s="105"/>
      <c r="H45" s="106"/>
      <c r="I45" s="142" t="str">
        <f t="shared" si="0"/>
        <v/>
      </c>
      <c r="J45" s="105" t="str">
        <f t="shared" si="1"/>
        <v/>
      </c>
      <c r="K45" s="143" t="str">
        <f t="shared" si="2"/>
        <v/>
      </c>
      <c r="L45" s="106" t="str">
        <f t="shared" si="3"/>
        <v/>
      </c>
      <c r="M45" s="105" t="str">
        <f t="shared" si="4"/>
        <v/>
      </c>
      <c r="N45" s="144" t="str">
        <f t="shared" si="5"/>
        <v/>
      </c>
      <c r="O45" s="144" t="str">
        <f>IF(NOT(ISERROR(VLOOKUP(C45,Deflatores!G$42:H$64,2,FALSE))),VLOOKUP(C45,Deflatores!G$42:H$64,2,FALSE),IF(OR(ISBLANK(D45),ISBLANK(C45)),"",VLOOKUP(D45,Deflatores!G$4:H$38,2,FALSE)*K45+VLOOKUP(D45,Deflatores!G$4:I$38,3,FALSE)))</f>
        <v/>
      </c>
      <c r="P45" s="115"/>
      <c r="Q45" s="115"/>
      <c r="R45" s="115"/>
      <c r="S45" s="115"/>
      <c r="T45" s="167"/>
      <c r="U45" s="131"/>
    </row>
    <row r="46" spans="1:21" ht="12" customHeight="1" x14ac:dyDescent="0.2">
      <c r="A46" s="114"/>
      <c r="B46" s="115"/>
      <c r="C46" s="116"/>
      <c r="D46" s="105"/>
      <c r="E46" s="105"/>
      <c r="F46" s="105"/>
      <c r="G46" s="105"/>
      <c r="H46" s="106"/>
      <c r="I46" s="142" t="str">
        <f t="shared" si="0"/>
        <v/>
      </c>
      <c r="J46" s="105" t="str">
        <f t="shared" si="1"/>
        <v/>
      </c>
      <c r="K46" s="143" t="str">
        <f t="shared" si="2"/>
        <v/>
      </c>
      <c r="L46" s="106" t="str">
        <f t="shared" si="3"/>
        <v/>
      </c>
      <c r="M46" s="105" t="str">
        <f t="shared" si="4"/>
        <v/>
      </c>
      <c r="N46" s="144" t="str">
        <f t="shared" si="5"/>
        <v/>
      </c>
      <c r="O46" s="144" t="str">
        <f>IF(NOT(ISERROR(VLOOKUP(C46,Deflatores!G$42:H$64,2,FALSE))),VLOOKUP(C46,Deflatores!G$42:H$64,2,FALSE),IF(OR(ISBLANK(D46),ISBLANK(C46)),"",VLOOKUP(D46,Deflatores!G$4:H$38,2,FALSE)*K46+VLOOKUP(D46,Deflatores!G$4:I$38,3,FALSE)))</f>
        <v/>
      </c>
      <c r="P46" s="115"/>
      <c r="Q46" s="115"/>
      <c r="R46" s="115"/>
      <c r="S46" s="115"/>
      <c r="T46" s="167"/>
      <c r="U46" s="131"/>
    </row>
    <row r="47" spans="1:21" ht="12" customHeight="1" x14ac:dyDescent="0.2">
      <c r="A47" s="114"/>
      <c r="B47" s="115"/>
      <c r="C47" s="116"/>
      <c r="D47" s="105"/>
      <c r="E47" s="105"/>
      <c r="F47" s="105"/>
      <c r="G47" s="105"/>
      <c r="H47" s="106"/>
      <c r="I47" s="142" t="str">
        <f t="shared" si="0"/>
        <v/>
      </c>
      <c r="J47" s="105" t="str">
        <f t="shared" si="1"/>
        <v/>
      </c>
      <c r="K47" s="143" t="str">
        <f t="shared" si="2"/>
        <v/>
      </c>
      <c r="L47" s="106" t="str">
        <f t="shared" si="3"/>
        <v/>
      </c>
      <c r="M47" s="105" t="str">
        <f t="shared" si="4"/>
        <v/>
      </c>
      <c r="N47" s="144" t="str">
        <f t="shared" si="5"/>
        <v/>
      </c>
      <c r="O47" s="144" t="str">
        <f>IF(NOT(ISERROR(VLOOKUP(C47,Deflatores!G$42:H$64,2,FALSE))),VLOOKUP(C47,Deflatores!G$42:H$64,2,FALSE),IF(OR(ISBLANK(D47),ISBLANK(C47)),"",VLOOKUP(D47,Deflatores!G$4:H$38,2,FALSE)*K47+VLOOKUP(D47,Deflatores!G$4:I$38,3,FALSE)))</f>
        <v/>
      </c>
      <c r="P47" s="115"/>
      <c r="Q47" s="115"/>
      <c r="R47" s="115"/>
      <c r="S47" s="115"/>
      <c r="T47" s="167"/>
      <c r="U47" s="131"/>
    </row>
    <row r="48" spans="1:21" ht="12" customHeight="1" x14ac:dyDescent="0.2">
      <c r="A48" s="114"/>
      <c r="B48" s="115"/>
      <c r="C48" s="116"/>
      <c r="D48" s="105"/>
      <c r="E48" s="105"/>
      <c r="F48" s="105"/>
      <c r="G48" s="105"/>
      <c r="H48" s="106"/>
      <c r="I48" s="142" t="str">
        <f t="shared" si="0"/>
        <v/>
      </c>
      <c r="J48" s="105" t="str">
        <f t="shared" si="1"/>
        <v/>
      </c>
      <c r="K48" s="143" t="str">
        <f t="shared" si="2"/>
        <v/>
      </c>
      <c r="L48" s="106" t="str">
        <f t="shared" si="3"/>
        <v/>
      </c>
      <c r="M48" s="105" t="str">
        <f t="shared" si="4"/>
        <v/>
      </c>
      <c r="N48" s="144" t="str">
        <f t="shared" si="5"/>
        <v/>
      </c>
      <c r="O48" s="144" t="str">
        <f>IF(NOT(ISERROR(VLOOKUP(C48,Deflatores!G$42:H$64,2,FALSE))),VLOOKUP(C48,Deflatores!G$42:H$64,2,FALSE),IF(OR(ISBLANK(D48),ISBLANK(C48)),"",VLOOKUP(D48,Deflatores!G$4:H$38,2,FALSE)*K48+VLOOKUP(D48,Deflatores!G$4:I$38,3,FALSE)))</f>
        <v/>
      </c>
      <c r="P48" s="115"/>
      <c r="Q48" s="115"/>
      <c r="R48" s="115"/>
      <c r="S48" s="115"/>
      <c r="T48" s="167"/>
      <c r="U48" s="131"/>
    </row>
    <row r="49" spans="1:21" ht="12" customHeight="1" x14ac:dyDescent="0.2">
      <c r="A49" s="114"/>
      <c r="B49" s="115"/>
      <c r="C49" s="116"/>
      <c r="D49" s="105"/>
      <c r="E49" s="105"/>
      <c r="F49" s="105"/>
      <c r="G49" s="105"/>
      <c r="H49" s="106"/>
      <c r="I49" s="142" t="str">
        <f t="shared" si="0"/>
        <v/>
      </c>
      <c r="J49" s="105" t="str">
        <f t="shared" si="1"/>
        <v/>
      </c>
      <c r="K49" s="143" t="str">
        <f t="shared" si="2"/>
        <v/>
      </c>
      <c r="L49" s="106" t="str">
        <f t="shared" si="3"/>
        <v/>
      </c>
      <c r="M49" s="105" t="str">
        <f t="shared" si="4"/>
        <v/>
      </c>
      <c r="N49" s="144" t="str">
        <f t="shared" si="5"/>
        <v/>
      </c>
      <c r="O49" s="144" t="str">
        <f>IF(NOT(ISERROR(VLOOKUP(C49,Deflatores!G$42:H$64,2,FALSE))),VLOOKUP(C49,Deflatores!G$42:H$64,2,FALSE),IF(OR(ISBLANK(D49),ISBLANK(C49)),"",VLOOKUP(D49,Deflatores!G$4:H$38,2,FALSE)*K49+VLOOKUP(D49,Deflatores!G$4:I$38,3,FALSE)))</f>
        <v/>
      </c>
      <c r="P49" s="115"/>
      <c r="Q49" s="115"/>
      <c r="R49" s="115"/>
      <c r="S49" s="115"/>
      <c r="T49" s="167"/>
      <c r="U49" s="131"/>
    </row>
    <row r="50" spans="1:21" ht="12" customHeight="1" x14ac:dyDescent="0.2">
      <c r="A50" s="114"/>
      <c r="B50" s="115"/>
      <c r="C50" s="116"/>
      <c r="D50" s="105"/>
      <c r="E50" s="105"/>
      <c r="F50" s="105"/>
      <c r="G50" s="105"/>
      <c r="H50" s="106"/>
      <c r="I50" s="142" t="str">
        <f t="shared" si="0"/>
        <v/>
      </c>
      <c r="J50" s="105" t="str">
        <f t="shared" si="1"/>
        <v/>
      </c>
      <c r="K50" s="143" t="str">
        <f t="shared" si="2"/>
        <v/>
      </c>
      <c r="L50" s="106" t="str">
        <f t="shared" si="3"/>
        <v/>
      </c>
      <c r="M50" s="105" t="str">
        <f t="shared" si="4"/>
        <v/>
      </c>
      <c r="N50" s="144" t="str">
        <f t="shared" si="5"/>
        <v/>
      </c>
      <c r="O50" s="144" t="str">
        <f>IF(NOT(ISERROR(VLOOKUP(C50,Deflatores!G$42:H$64,2,FALSE))),VLOOKUP(C50,Deflatores!G$42:H$64,2,FALSE),IF(OR(ISBLANK(D50),ISBLANK(C50)),"",VLOOKUP(D50,Deflatores!G$4:H$38,2,FALSE)*K50+VLOOKUP(D50,Deflatores!G$4:I$38,3,FALSE)))</f>
        <v/>
      </c>
      <c r="P50" s="115"/>
      <c r="Q50" s="115"/>
      <c r="R50" s="115"/>
      <c r="S50" s="115"/>
      <c r="T50" s="167"/>
      <c r="U50" s="131"/>
    </row>
    <row r="51" spans="1:21" ht="12" customHeight="1" x14ac:dyDescent="0.2">
      <c r="A51" s="114"/>
      <c r="B51" s="115"/>
      <c r="C51" s="116"/>
      <c r="D51" s="105"/>
      <c r="E51" s="105"/>
      <c r="F51" s="105"/>
      <c r="G51" s="105"/>
      <c r="H51" s="106"/>
      <c r="I51" s="142" t="str">
        <f t="shared" si="0"/>
        <v/>
      </c>
      <c r="J51" s="105" t="str">
        <f t="shared" si="1"/>
        <v/>
      </c>
      <c r="K51" s="143" t="str">
        <f t="shared" si="2"/>
        <v/>
      </c>
      <c r="L51" s="106" t="str">
        <f t="shared" si="3"/>
        <v/>
      </c>
      <c r="M51" s="105" t="str">
        <f t="shared" si="4"/>
        <v/>
      </c>
      <c r="N51" s="144" t="str">
        <f t="shared" si="5"/>
        <v/>
      </c>
      <c r="O51" s="144" t="str">
        <f>IF(NOT(ISERROR(VLOOKUP(C51,Deflatores!G$42:H$64,2,FALSE))),VLOOKUP(C51,Deflatores!G$42:H$64,2,FALSE),IF(OR(ISBLANK(D51),ISBLANK(C51)),"",VLOOKUP(D51,Deflatores!G$4:H$38,2,FALSE)*K51+VLOOKUP(D51,Deflatores!G$4:I$38,3,FALSE)))</f>
        <v/>
      </c>
      <c r="P51" s="115"/>
      <c r="Q51" s="115"/>
      <c r="R51" s="115"/>
      <c r="S51" s="115"/>
      <c r="T51" s="167"/>
      <c r="U51" s="131"/>
    </row>
    <row r="52" spans="1:21" ht="12" customHeight="1" x14ac:dyDescent="0.2">
      <c r="A52" s="114"/>
      <c r="B52" s="115"/>
      <c r="C52" s="116"/>
      <c r="D52" s="105"/>
      <c r="E52" s="105"/>
      <c r="F52" s="105"/>
      <c r="G52" s="105"/>
      <c r="H52" s="106"/>
      <c r="I52" s="142" t="str">
        <f t="shared" si="0"/>
        <v/>
      </c>
      <c r="J52" s="105" t="str">
        <f t="shared" si="1"/>
        <v/>
      </c>
      <c r="K52" s="143" t="str">
        <f t="shared" si="2"/>
        <v/>
      </c>
      <c r="L52" s="106" t="str">
        <f t="shared" si="3"/>
        <v/>
      </c>
      <c r="M52" s="105" t="str">
        <f t="shared" si="4"/>
        <v/>
      </c>
      <c r="N52" s="144" t="str">
        <f t="shared" si="5"/>
        <v/>
      </c>
      <c r="O52" s="144" t="str">
        <f>IF(NOT(ISERROR(VLOOKUP(C52,Deflatores!G$42:H$64,2,FALSE))),VLOOKUP(C52,Deflatores!G$42:H$64,2,FALSE),IF(OR(ISBLANK(D52),ISBLANK(C52)),"",VLOOKUP(D52,Deflatores!G$4:H$38,2,FALSE)*K52+VLOOKUP(D52,Deflatores!G$4:I$38,3,FALSE)))</f>
        <v/>
      </c>
      <c r="P52" s="115"/>
      <c r="Q52" s="115"/>
      <c r="R52" s="115"/>
      <c r="S52" s="115"/>
      <c r="T52" s="167"/>
      <c r="U52" s="131"/>
    </row>
    <row r="53" spans="1:21" ht="12" customHeight="1" x14ac:dyDescent="0.2">
      <c r="A53" s="114"/>
      <c r="B53" s="115"/>
      <c r="C53" s="116"/>
      <c r="D53" s="105"/>
      <c r="E53" s="105"/>
      <c r="F53" s="105"/>
      <c r="G53" s="105"/>
      <c r="H53" s="106"/>
      <c r="I53" s="142" t="str">
        <f t="shared" si="0"/>
        <v/>
      </c>
      <c r="J53" s="105" t="str">
        <f t="shared" si="1"/>
        <v/>
      </c>
      <c r="K53" s="143" t="str">
        <f t="shared" si="2"/>
        <v/>
      </c>
      <c r="L53" s="106" t="str">
        <f t="shared" si="3"/>
        <v/>
      </c>
      <c r="M53" s="105" t="str">
        <f t="shared" si="4"/>
        <v/>
      </c>
      <c r="N53" s="144" t="str">
        <f t="shared" si="5"/>
        <v/>
      </c>
      <c r="O53" s="144" t="str">
        <f>IF(NOT(ISERROR(VLOOKUP(C53,Deflatores!G$42:H$64,2,FALSE))),VLOOKUP(C53,Deflatores!G$42:H$64,2,FALSE),IF(OR(ISBLANK(D53),ISBLANK(C53)),"",VLOOKUP(D53,Deflatores!G$4:H$38,2,FALSE)*K53+VLOOKUP(D53,Deflatores!G$4:I$38,3,FALSE)))</f>
        <v/>
      </c>
      <c r="P53" s="115"/>
      <c r="Q53" s="115"/>
      <c r="R53" s="115"/>
      <c r="S53" s="115"/>
      <c r="T53" s="167"/>
      <c r="U53" s="131"/>
    </row>
    <row r="54" spans="1:21" ht="12" customHeight="1" x14ac:dyDescent="0.2">
      <c r="A54" s="114"/>
      <c r="B54" s="115"/>
      <c r="C54" s="116"/>
      <c r="D54" s="105"/>
      <c r="E54" s="105"/>
      <c r="F54" s="105"/>
      <c r="G54" s="105"/>
      <c r="H54" s="106"/>
      <c r="I54" s="142" t="str">
        <f t="shared" si="0"/>
        <v/>
      </c>
      <c r="J54" s="105" t="str">
        <f t="shared" si="1"/>
        <v/>
      </c>
      <c r="K54" s="143" t="str">
        <f t="shared" si="2"/>
        <v/>
      </c>
      <c r="L54" s="106" t="str">
        <f t="shared" si="3"/>
        <v/>
      </c>
      <c r="M54" s="105" t="str">
        <f t="shared" si="4"/>
        <v/>
      </c>
      <c r="N54" s="144" t="str">
        <f t="shared" si="5"/>
        <v/>
      </c>
      <c r="O54" s="144" t="str">
        <f>IF(NOT(ISERROR(VLOOKUP(C54,Deflatores!G$42:H$64,2,FALSE))),VLOOKUP(C54,Deflatores!G$42:H$64,2,FALSE),IF(OR(ISBLANK(D54),ISBLANK(C54)),"",VLOOKUP(D54,Deflatores!G$4:H$38,2,FALSE)*K54+VLOOKUP(D54,Deflatores!G$4:I$38,3,FALSE)))</f>
        <v/>
      </c>
      <c r="P54" s="115"/>
      <c r="Q54" s="115"/>
      <c r="R54" s="115"/>
      <c r="S54" s="115"/>
      <c r="T54" s="167"/>
      <c r="U54" s="131"/>
    </row>
    <row r="55" spans="1:21" ht="12" customHeight="1" x14ac:dyDescent="0.2">
      <c r="A55" s="114"/>
      <c r="B55" s="115"/>
      <c r="C55" s="116"/>
      <c r="D55" s="105"/>
      <c r="E55" s="105"/>
      <c r="F55" s="105"/>
      <c r="G55" s="105"/>
      <c r="H55" s="106"/>
      <c r="I55" s="142" t="str">
        <f t="shared" si="0"/>
        <v/>
      </c>
      <c r="J55" s="105" t="str">
        <f t="shared" si="1"/>
        <v/>
      </c>
      <c r="K55" s="143" t="str">
        <f t="shared" si="2"/>
        <v/>
      </c>
      <c r="L55" s="106" t="str">
        <f t="shared" si="3"/>
        <v/>
      </c>
      <c r="M55" s="105" t="str">
        <f t="shared" si="4"/>
        <v/>
      </c>
      <c r="N55" s="144" t="str">
        <f t="shared" si="5"/>
        <v/>
      </c>
      <c r="O55" s="144" t="str">
        <f>IF(NOT(ISERROR(VLOOKUP(C55,Deflatores!G$42:H$64,2,FALSE))),VLOOKUP(C55,Deflatores!G$42:H$64,2,FALSE),IF(OR(ISBLANK(D55),ISBLANK(C55)),"",VLOOKUP(D55,Deflatores!G$4:H$38,2,FALSE)*K55+VLOOKUP(D55,Deflatores!G$4:I$38,3,FALSE)))</f>
        <v/>
      </c>
      <c r="P55" s="115"/>
      <c r="Q55" s="115"/>
      <c r="R55" s="115"/>
      <c r="S55" s="115"/>
      <c r="T55" s="167"/>
      <c r="U55" s="131"/>
    </row>
    <row r="56" spans="1:21" ht="12" customHeight="1" x14ac:dyDescent="0.2">
      <c r="A56" s="114"/>
      <c r="B56" s="115"/>
      <c r="C56" s="105"/>
      <c r="D56" s="105"/>
      <c r="E56" s="105"/>
      <c r="F56" s="105"/>
      <c r="G56" s="105"/>
      <c r="H56" s="106"/>
      <c r="I56" s="142"/>
      <c r="J56" s="105"/>
      <c r="K56" s="143"/>
      <c r="L56" s="106"/>
      <c r="M56" s="105"/>
      <c r="N56" s="144"/>
      <c r="O56" s="144"/>
      <c r="P56" s="115"/>
      <c r="Q56" s="115"/>
      <c r="R56" s="115"/>
      <c r="S56" s="115"/>
      <c r="T56" s="168"/>
      <c r="U56" s="132"/>
    </row>
    <row r="57" spans="1:21" ht="12" customHeight="1" x14ac:dyDescent="0.2">
      <c r="A57" s="114"/>
      <c r="B57" s="115"/>
      <c r="C57" s="105"/>
      <c r="D57" s="105"/>
      <c r="E57" s="105"/>
      <c r="F57" s="105"/>
      <c r="G57" s="105"/>
      <c r="H57" s="106"/>
      <c r="I57" s="142"/>
      <c r="J57" s="105"/>
      <c r="K57" s="143"/>
      <c r="L57" s="106"/>
      <c r="M57" s="105"/>
      <c r="N57" s="144"/>
      <c r="O57" s="144"/>
      <c r="P57" s="115"/>
      <c r="Q57" s="115"/>
      <c r="R57" s="115"/>
      <c r="S57" s="115"/>
      <c r="T57" s="168"/>
      <c r="U57" s="132"/>
    </row>
    <row r="58" spans="1:21" ht="12" customHeight="1" x14ac:dyDescent="0.2">
      <c r="A58" s="114"/>
      <c r="B58" s="115"/>
      <c r="C58" s="105"/>
      <c r="D58" s="105"/>
      <c r="E58" s="105"/>
      <c r="F58" s="105"/>
      <c r="G58" s="105"/>
      <c r="H58" s="106"/>
      <c r="I58" s="142"/>
      <c r="J58" s="105"/>
      <c r="K58" s="143"/>
      <c r="L58" s="106"/>
      <c r="M58" s="105"/>
      <c r="N58" s="144"/>
      <c r="O58" s="144"/>
      <c r="P58" s="115"/>
      <c r="Q58" s="115"/>
      <c r="R58" s="115"/>
      <c r="S58" s="115"/>
      <c r="T58" s="168"/>
      <c r="U58" s="132"/>
    </row>
    <row r="59" spans="1:21" ht="12" customHeight="1" x14ac:dyDescent="0.2">
      <c r="A59" s="114"/>
      <c r="B59" s="115"/>
      <c r="C59" s="105"/>
      <c r="D59" s="105"/>
      <c r="E59" s="105"/>
      <c r="F59" s="105"/>
      <c r="G59" s="105"/>
      <c r="H59" s="106"/>
      <c r="I59" s="142"/>
      <c r="J59" s="105"/>
      <c r="K59" s="143"/>
      <c r="L59" s="106"/>
      <c r="M59" s="105"/>
      <c r="N59" s="144"/>
      <c r="O59" s="144"/>
      <c r="P59" s="115"/>
      <c r="Q59" s="115"/>
      <c r="R59" s="115"/>
      <c r="S59" s="115"/>
      <c r="T59" s="168"/>
      <c r="U59" s="132"/>
    </row>
    <row r="60" spans="1:21" ht="12" customHeight="1" x14ac:dyDescent="0.2">
      <c r="A60" s="114"/>
      <c r="B60" s="115"/>
      <c r="C60" s="105"/>
      <c r="D60" s="105"/>
      <c r="E60" s="105"/>
      <c r="F60" s="105"/>
      <c r="G60" s="105"/>
      <c r="H60" s="106"/>
      <c r="I60" s="142"/>
      <c r="J60" s="105"/>
      <c r="K60" s="143"/>
      <c r="L60" s="106"/>
      <c r="M60" s="105"/>
      <c r="N60" s="144"/>
      <c r="O60" s="144"/>
      <c r="P60" s="115"/>
      <c r="Q60" s="115"/>
      <c r="R60" s="115"/>
      <c r="S60" s="115"/>
      <c r="T60" s="168"/>
      <c r="U60" s="132"/>
    </row>
    <row r="61" spans="1:21" ht="12" customHeight="1" x14ac:dyDescent="0.2">
      <c r="A61" s="114"/>
      <c r="B61" s="115"/>
      <c r="C61" s="105"/>
      <c r="D61" s="105"/>
      <c r="E61" s="105"/>
      <c r="F61" s="105"/>
      <c r="G61" s="105"/>
      <c r="H61" s="106"/>
      <c r="I61" s="142"/>
      <c r="J61" s="105"/>
      <c r="K61" s="143"/>
      <c r="L61" s="106"/>
      <c r="M61" s="105"/>
      <c r="N61" s="144"/>
      <c r="O61" s="144"/>
      <c r="P61" s="115"/>
      <c r="Q61" s="115"/>
      <c r="R61" s="115"/>
      <c r="S61" s="115"/>
      <c r="T61" s="168"/>
      <c r="U61" s="132"/>
    </row>
    <row r="62" spans="1:21" ht="12" customHeight="1" x14ac:dyDescent="0.2">
      <c r="A62" s="114"/>
      <c r="B62" s="115"/>
      <c r="C62" s="105"/>
      <c r="D62" s="105"/>
      <c r="E62" s="105"/>
      <c r="F62" s="105"/>
      <c r="G62" s="105"/>
      <c r="H62" s="106"/>
      <c r="I62" s="142"/>
      <c r="J62" s="105"/>
      <c r="K62" s="143"/>
      <c r="L62" s="106"/>
      <c r="M62" s="105"/>
      <c r="N62" s="144"/>
      <c r="O62" s="144"/>
      <c r="P62" s="115"/>
      <c r="Q62" s="115"/>
      <c r="R62" s="115"/>
      <c r="S62" s="115"/>
      <c r="T62" s="168"/>
      <c r="U62" s="132"/>
    </row>
    <row r="63" spans="1:21" ht="12" customHeight="1" x14ac:dyDescent="0.2">
      <c r="A63" s="114"/>
      <c r="B63" s="115"/>
      <c r="C63" s="105"/>
      <c r="D63" s="105"/>
      <c r="E63" s="105"/>
      <c r="F63" s="105"/>
      <c r="G63" s="105"/>
      <c r="H63" s="106"/>
      <c r="I63" s="142"/>
      <c r="J63" s="105"/>
      <c r="K63" s="143"/>
      <c r="L63" s="106"/>
      <c r="M63" s="105"/>
      <c r="N63" s="144"/>
      <c r="O63" s="144"/>
      <c r="P63" s="115"/>
      <c r="Q63" s="115"/>
      <c r="R63" s="115"/>
      <c r="S63" s="115"/>
      <c r="T63" s="168"/>
      <c r="U63" s="132"/>
    </row>
    <row r="64" spans="1:21" ht="12" customHeight="1" x14ac:dyDescent="0.2">
      <c r="A64" s="114"/>
      <c r="B64" s="115"/>
      <c r="C64" s="105"/>
      <c r="D64" s="105"/>
      <c r="E64" s="105"/>
      <c r="F64" s="105"/>
      <c r="G64" s="105"/>
      <c r="H64" s="106"/>
      <c r="I64" s="142"/>
      <c r="J64" s="105"/>
      <c r="K64" s="143"/>
      <c r="L64" s="106"/>
      <c r="M64" s="105"/>
      <c r="N64" s="144"/>
      <c r="O64" s="144"/>
      <c r="P64" s="115"/>
      <c r="Q64" s="115"/>
      <c r="R64" s="115"/>
      <c r="S64" s="115"/>
      <c r="T64" s="168"/>
      <c r="U64" s="132"/>
    </row>
    <row r="65" spans="1:21" ht="12" customHeight="1" x14ac:dyDescent="0.2">
      <c r="A65" s="114"/>
      <c r="B65" s="115"/>
      <c r="C65" s="105"/>
      <c r="D65" s="105"/>
      <c r="E65" s="105"/>
      <c r="F65" s="105"/>
      <c r="G65" s="105"/>
      <c r="H65" s="106"/>
      <c r="I65" s="142"/>
      <c r="J65" s="105"/>
      <c r="K65" s="143"/>
      <c r="L65" s="106"/>
      <c r="M65" s="105"/>
      <c r="N65" s="144"/>
      <c r="O65" s="144"/>
      <c r="P65" s="115"/>
      <c r="Q65" s="115"/>
      <c r="R65" s="115"/>
      <c r="S65" s="115"/>
      <c r="T65" s="168"/>
      <c r="U65" s="132"/>
    </row>
    <row r="66" spans="1:21" ht="12" customHeight="1" x14ac:dyDescent="0.2">
      <c r="A66" s="114"/>
      <c r="B66" s="115"/>
      <c r="C66" s="105"/>
      <c r="D66" s="105"/>
      <c r="E66" s="105"/>
      <c r="F66" s="105"/>
      <c r="G66" s="105"/>
      <c r="H66" s="106"/>
      <c r="I66" s="142"/>
      <c r="J66" s="105"/>
      <c r="K66" s="143"/>
      <c r="L66" s="106"/>
      <c r="M66" s="105"/>
      <c r="N66" s="144"/>
      <c r="O66" s="144"/>
      <c r="P66" s="115"/>
      <c r="Q66" s="115"/>
      <c r="R66" s="115"/>
      <c r="S66" s="115"/>
      <c r="T66" s="168"/>
      <c r="U66" s="132"/>
    </row>
    <row r="67" spans="1:21" ht="12" customHeight="1" x14ac:dyDescent="0.2">
      <c r="A67" s="114"/>
      <c r="B67" s="115"/>
      <c r="C67" s="105"/>
      <c r="D67" s="105"/>
      <c r="E67" s="105"/>
      <c r="F67" s="105"/>
      <c r="G67" s="105"/>
      <c r="H67" s="106"/>
      <c r="I67" s="142"/>
      <c r="J67" s="105"/>
      <c r="K67" s="143"/>
      <c r="L67" s="106"/>
      <c r="M67" s="105"/>
      <c r="N67" s="144"/>
      <c r="O67" s="144"/>
      <c r="P67" s="115"/>
      <c r="Q67" s="115"/>
      <c r="R67" s="115"/>
      <c r="S67" s="115"/>
      <c r="T67" s="168"/>
      <c r="U67" s="132"/>
    </row>
    <row r="68" spans="1:21" ht="12" customHeight="1" x14ac:dyDescent="0.2">
      <c r="A68" s="114"/>
      <c r="B68" s="115"/>
      <c r="C68" s="105"/>
      <c r="D68" s="105"/>
      <c r="E68" s="105"/>
      <c r="F68" s="105"/>
      <c r="G68" s="105"/>
      <c r="H68" s="106"/>
      <c r="I68" s="142"/>
      <c r="J68" s="105"/>
      <c r="K68" s="143"/>
      <c r="L68" s="106"/>
      <c r="M68" s="105"/>
      <c r="N68" s="144"/>
      <c r="O68" s="144"/>
      <c r="P68" s="115"/>
      <c r="Q68" s="115"/>
      <c r="R68" s="115"/>
      <c r="S68" s="115"/>
      <c r="T68" s="168"/>
      <c r="U68" s="133"/>
    </row>
    <row r="69" spans="1:21" ht="12" customHeight="1" x14ac:dyDescent="0.2">
      <c r="A69" s="114"/>
      <c r="B69" s="115"/>
      <c r="C69" s="105"/>
      <c r="D69" s="105"/>
      <c r="E69" s="105"/>
      <c r="F69" s="105"/>
      <c r="G69" s="105"/>
      <c r="H69" s="106"/>
      <c r="I69" s="142"/>
      <c r="J69" s="105"/>
      <c r="K69" s="143"/>
      <c r="L69" s="106"/>
      <c r="M69" s="105"/>
      <c r="N69" s="144"/>
      <c r="O69" s="144"/>
      <c r="P69" s="115"/>
      <c r="Q69" s="115"/>
      <c r="R69" s="115"/>
      <c r="S69" s="115"/>
      <c r="T69" s="168"/>
      <c r="U69" s="133"/>
    </row>
    <row r="70" spans="1:21" ht="12" customHeight="1" x14ac:dyDescent="0.2">
      <c r="A70" s="114"/>
      <c r="B70" s="115"/>
      <c r="C70" s="105"/>
      <c r="D70" s="105"/>
      <c r="E70" s="105"/>
      <c r="F70" s="105"/>
      <c r="G70" s="105"/>
      <c r="H70" s="106"/>
      <c r="I70" s="142"/>
      <c r="J70" s="105"/>
      <c r="K70" s="143"/>
      <c r="L70" s="106"/>
      <c r="M70" s="105"/>
      <c r="N70" s="144"/>
      <c r="O70" s="144"/>
      <c r="P70" s="115"/>
      <c r="Q70" s="115"/>
      <c r="R70" s="115"/>
      <c r="S70" s="115"/>
      <c r="T70" s="168"/>
      <c r="U70" s="133"/>
    </row>
    <row r="71" spans="1:21" ht="12" customHeight="1" x14ac:dyDescent="0.2">
      <c r="A71" s="114"/>
      <c r="B71" s="115"/>
      <c r="C71" s="105"/>
      <c r="D71" s="105"/>
      <c r="E71" s="105"/>
      <c r="F71" s="105"/>
      <c r="G71" s="105"/>
      <c r="H71" s="106"/>
      <c r="I71" s="142"/>
      <c r="J71" s="105"/>
      <c r="K71" s="143"/>
      <c r="L71" s="106"/>
      <c r="M71" s="105"/>
      <c r="N71" s="144"/>
      <c r="O71" s="144"/>
      <c r="P71" s="115"/>
      <c r="Q71" s="115"/>
      <c r="R71" s="115"/>
      <c r="S71" s="115"/>
      <c r="T71" s="168"/>
      <c r="U71" s="133"/>
    </row>
    <row r="72" spans="1:21" ht="12" customHeight="1" x14ac:dyDescent="0.2">
      <c r="A72" s="114"/>
      <c r="B72" s="115"/>
      <c r="C72" s="105"/>
      <c r="D72" s="105"/>
      <c r="E72" s="105"/>
      <c r="F72" s="105"/>
      <c r="G72" s="105"/>
      <c r="H72" s="106"/>
      <c r="I72" s="142"/>
      <c r="J72" s="105"/>
      <c r="K72" s="143"/>
      <c r="L72" s="106"/>
      <c r="M72" s="105"/>
      <c r="N72" s="144"/>
      <c r="O72" s="144"/>
      <c r="P72" s="115"/>
      <c r="Q72" s="115"/>
      <c r="R72" s="115"/>
      <c r="S72" s="115"/>
      <c r="T72" s="168"/>
      <c r="U72" s="133"/>
    </row>
    <row r="73" spans="1:21" ht="12" customHeight="1" x14ac:dyDescent="0.2">
      <c r="A73" s="114"/>
      <c r="B73" s="115"/>
      <c r="C73" s="105"/>
      <c r="D73" s="105"/>
      <c r="E73" s="105"/>
      <c r="F73" s="105"/>
      <c r="G73" s="105"/>
      <c r="H73" s="106"/>
      <c r="I73" s="142"/>
      <c r="J73" s="105"/>
      <c r="K73" s="143"/>
      <c r="L73" s="106"/>
      <c r="M73" s="105"/>
      <c r="N73" s="144"/>
      <c r="O73" s="144"/>
      <c r="P73" s="115"/>
      <c r="Q73" s="115"/>
      <c r="R73" s="115"/>
      <c r="S73" s="115"/>
      <c r="T73" s="168"/>
      <c r="U73" s="133"/>
    </row>
    <row r="74" spans="1:21" ht="12" customHeight="1" x14ac:dyDescent="0.2">
      <c r="A74" s="114"/>
      <c r="B74" s="115"/>
      <c r="C74" s="105"/>
      <c r="D74" s="105"/>
      <c r="E74" s="105"/>
      <c r="F74" s="105"/>
      <c r="G74" s="105"/>
      <c r="H74" s="106"/>
      <c r="I74" s="142"/>
      <c r="J74" s="105"/>
      <c r="K74" s="143"/>
      <c r="L74" s="106"/>
      <c r="M74" s="105"/>
      <c r="N74" s="144"/>
      <c r="O74" s="144"/>
      <c r="P74" s="115"/>
      <c r="Q74" s="115"/>
      <c r="R74" s="115"/>
      <c r="S74" s="115"/>
      <c r="T74" s="168"/>
      <c r="U74" s="133"/>
    </row>
    <row r="75" spans="1:21" ht="12" customHeight="1" x14ac:dyDescent="0.2">
      <c r="A75" s="114"/>
      <c r="B75" s="115"/>
      <c r="C75" s="105"/>
      <c r="D75" s="105"/>
      <c r="E75" s="105"/>
      <c r="F75" s="105"/>
      <c r="G75" s="105"/>
      <c r="H75" s="106"/>
      <c r="I75" s="142"/>
      <c r="J75" s="105"/>
      <c r="K75" s="143"/>
      <c r="L75" s="106"/>
      <c r="M75" s="105"/>
      <c r="N75" s="144"/>
      <c r="O75" s="144"/>
      <c r="P75" s="115"/>
      <c r="Q75" s="115"/>
      <c r="R75" s="115"/>
      <c r="S75" s="115"/>
      <c r="T75" s="168"/>
      <c r="U75" s="133"/>
    </row>
    <row r="76" spans="1:21" ht="12" customHeight="1" x14ac:dyDescent="0.2">
      <c r="A76" s="114"/>
      <c r="B76" s="115"/>
      <c r="C76" s="105"/>
      <c r="D76" s="105"/>
      <c r="E76" s="105"/>
      <c r="F76" s="105"/>
      <c r="G76" s="105"/>
      <c r="H76" s="106"/>
      <c r="I76" s="142"/>
      <c r="J76" s="105"/>
      <c r="K76" s="143"/>
      <c r="L76" s="106"/>
      <c r="M76" s="105"/>
      <c r="N76" s="144"/>
      <c r="O76" s="144"/>
      <c r="P76" s="115"/>
      <c r="Q76" s="115"/>
      <c r="R76" s="115"/>
      <c r="S76" s="115"/>
      <c r="T76" s="168"/>
      <c r="U76" s="133"/>
    </row>
    <row r="77" spans="1:21" ht="12" customHeight="1" x14ac:dyDescent="0.2">
      <c r="A77" s="114"/>
      <c r="B77" s="115"/>
      <c r="C77" s="105"/>
      <c r="D77" s="105"/>
      <c r="E77" s="105"/>
      <c r="F77" s="105"/>
      <c r="G77" s="105"/>
      <c r="H77" s="106"/>
      <c r="I77" s="142"/>
      <c r="J77" s="105"/>
      <c r="K77" s="143"/>
      <c r="L77" s="106"/>
      <c r="M77" s="105"/>
      <c r="N77" s="144"/>
      <c r="O77" s="144"/>
      <c r="P77" s="115"/>
      <c r="Q77" s="115"/>
      <c r="R77" s="115"/>
      <c r="S77" s="115"/>
      <c r="T77" s="168"/>
      <c r="U77" s="133"/>
    </row>
    <row r="78" spans="1:21" ht="12" customHeight="1" x14ac:dyDescent="0.2">
      <c r="A78" s="114"/>
      <c r="B78" s="115"/>
      <c r="C78" s="105"/>
      <c r="D78" s="105"/>
      <c r="E78" s="105"/>
      <c r="F78" s="105"/>
      <c r="G78" s="105"/>
      <c r="H78" s="106"/>
      <c r="I78" s="142" t="str">
        <f t="shared" ref="I78:I141" si="6">IF(ISBLANK(C78),"",IF(L78="L","Baixa",IF(L78="A","Média",IF(L78="","","Alta"))))</f>
        <v/>
      </c>
      <c r="J78" s="105" t="str">
        <f t="shared" ref="J78:J141" si="7">CONCATENATE(C78,L78)</f>
        <v/>
      </c>
      <c r="K78" s="143" t="str">
        <f t="shared" ref="K78:K141" si="8">IF(ISBLANK(C78),"",IF(C78="ALI",IF(L78="L",7,IF(L78="A",10,15)),IF(C78="AIE",IF(L78="L",5,IF(L78="A",7,10)),IF(C78="SE",IF(L78="L",4,IF(L78="A",5,7)),IF(OR(C78="EE",C78="CE"),IF(L78="L",3,IF(L78="A",4,6)),0)))))</f>
        <v/>
      </c>
      <c r="L78" s="106" t="str">
        <f t="shared" ref="L78:L141" si="9">IF(OR(ISBLANK(E78),ISBLANK(G78)),IF(OR(C78="ALI",C78="AIE"),"L",IF(OR(C78="EE",C78="SE",C78="CE"),"A","")),IF(C78="EE",IF(G78&gt;=3,IF(E78&gt;=5,"H","A"),IF(G78&gt;=2,IF(E78&gt;=16,"H",IF(E78&lt;=4,"L","A")),IF(E78&lt;=15,"L","A"))),IF(OR(C78="SE",C78="CE"),IF(G78&gt;=4,IF(E78&gt;=6,"H","A"),IF(G78&gt;=2,IF(E78&gt;=20,"H",IF(E78&lt;=5,"L","A")),IF(E78&lt;=19,"L","A"))),IF(OR(C78="ALI",C78="AIE"),IF(G78&gt;=6,IF(E78&gt;=20,"H","A"),IF(G78&gt;=2,IF(E78&gt;=51,"H",IF(E78&lt;=19,"L","A")),IF(E78&lt;=50,"L","A"))),""))))</f>
        <v/>
      </c>
      <c r="M78" s="105" t="str">
        <f t="shared" ref="M78:M141" si="10">CONCATENATE(C78,D78)</f>
        <v/>
      </c>
      <c r="N78" s="144" t="str">
        <f t="shared" ref="N78:N141" si="11">IF(OR(K78="",K78=0),O78,K78)</f>
        <v/>
      </c>
      <c r="O78" s="144" t="str">
        <f>IF(NOT(ISERROR(VLOOKUP(C78,Deflatores!G$42:H$64,2,FALSE))),VLOOKUP(C78,Deflatores!G$42:H$64,2,FALSE),IF(OR(ISBLANK(D78),ISBLANK(C78)),"",VLOOKUP(D78,Deflatores!G$4:H$38,2,FALSE)*K78+VLOOKUP(D78,Deflatores!G$4:I$38,3,FALSE)))</f>
        <v/>
      </c>
      <c r="P78" s="115"/>
      <c r="Q78" s="115"/>
      <c r="R78" s="115"/>
      <c r="S78" s="115"/>
      <c r="T78" s="168"/>
      <c r="U78" s="133"/>
    </row>
    <row r="79" spans="1:21" ht="12" customHeight="1" x14ac:dyDescent="0.2">
      <c r="A79" s="114"/>
      <c r="B79" s="115"/>
      <c r="C79" s="105"/>
      <c r="D79" s="105"/>
      <c r="E79" s="105"/>
      <c r="F79" s="105"/>
      <c r="G79" s="105"/>
      <c r="H79" s="105"/>
      <c r="I79" s="142" t="str">
        <f t="shared" si="6"/>
        <v/>
      </c>
      <c r="J79" s="105" t="str">
        <f t="shared" si="7"/>
        <v/>
      </c>
      <c r="K79" s="143" t="str">
        <f t="shared" si="8"/>
        <v/>
      </c>
      <c r="L79" s="106" t="str">
        <f t="shared" si="9"/>
        <v/>
      </c>
      <c r="M79" s="105" t="str">
        <f t="shared" si="10"/>
        <v/>
      </c>
      <c r="N79" s="144" t="str">
        <f t="shared" si="11"/>
        <v/>
      </c>
      <c r="O79" s="144" t="str">
        <f>IF(NOT(ISERROR(VLOOKUP(C79,Deflatores!G$42:H$64,2,FALSE))),VLOOKUP(C79,Deflatores!G$42:H$64,2,FALSE),IF(OR(ISBLANK(D79),ISBLANK(C79)),"",VLOOKUP(D79,Deflatores!G$4:H$38,2,FALSE)*K79+VLOOKUP(D79,Deflatores!G$4:I$38,3,FALSE)))</f>
        <v/>
      </c>
      <c r="P79" s="115"/>
      <c r="Q79" s="115"/>
      <c r="R79" s="115"/>
      <c r="S79" s="115"/>
      <c r="T79" s="168"/>
      <c r="U79" s="133"/>
    </row>
    <row r="80" spans="1:21" ht="12" customHeight="1" x14ac:dyDescent="0.2">
      <c r="A80" s="114"/>
      <c r="B80" s="115"/>
      <c r="C80" s="105"/>
      <c r="D80" s="105"/>
      <c r="E80" s="105"/>
      <c r="F80" s="105"/>
      <c r="G80" s="105"/>
      <c r="H80" s="105"/>
      <c r="I80" s="142" t="str">
        <f t="shared" si="6"/>
        <v/>
      </c>
      <c r="J80" s="105" t="str">
        <f t="shared" si="7"/>
        <v/>
      </c>
      <c r="K80" s="143" t="str">
        <f t="shared" si="8"/>
        <v/>
      </c>
      <c r="L80" s="106" t="str">
        <f t="shared" si="9"/>
        <v/>
      </c>
      <c r="M80" s="105" t="str">
        <f t="shared" si="10"/>
        <v/>
      </c>
      <c r="N80" s="144" t="str">
        <f t="shared" si="11"/>
        <v/>
      </c>
      <c r="O80" s="144" t="str">
        <f>IF(NOT(ISERROR(VLOOKUP(C80,Deflatores!G$42:H$64,2,FALSE))),VLOOKUP(C80,Deflatores!G$42:H$64,2,FALSE),IF(OR(ISBLANK(D80),ISBLANK(C80)),"",VLOOKUP(D80,Deflatores!G$4:H$38,2,FALSE)*K80+VLOOKUP(D80,Deflatores!G$4:I$38,3,FALSE)))</f>
        <v/>
      </c>
      <c r="P80" s="115"/>
      <c r="Q80" s="115"/>
      <c r="R80" s="115"/>
      <c r="S80" s="115"/>
      <c r="T80" s="168"/>
      <c r="U80" s="133"/>
    </row>
    <row r="81" spans="1:21" ht="12" customHeight="1" x14ac:dyDescent="0.2">
      <c r="A81" s="114"/>
      <c r="B81" s="115"/>
      <c r="C81" s="105"/>
      <c r="D81" s="105"/>
      <c r="E81" s="105"/>
      <c r="F81" s="105"/>
      <c r="G81" s="105"/>
      <c r="H81" s="105"/>
      <c r="I81" s="142" t="str">
        <f t="shared" si="6"/>
        <v/>
      </c>
      <c r="J81" s="105" t="str">
        <f t="shared" si="7"/>
        <v/>
      </c>
      <c r="K81" s="143" t="str">
        <f t="shared" si="8"/>
        <v/>
      </c>
      <c r="L81" s="106" t="str">
        <f t="shared" si="9"/>
        <v/>
      </c>
      <c r="M81" s="105" t="str">
        <f t="shared" si="10"/>
        <v/>
      </c>
      <c r="N81" s="144" t="str">
        <f t="shared" si="11"/>
        <v/>
      </c>
      <c r="O81" s="144" t="str">
        <f>IF(NOT(ISERROR(VLOOKUP(C81,Deflatores!G$42:H$64,2,FALSE))),VLOOKUP(C81,Deflatores!G$42:H$64,2,FALSE),IF(OR(ISBLANK(D81),ISBLANK(C81)),"",VLOOKUP(D81,Deflatores!G$4:H$38,2,FALSE)*K81+VLOOKUP(D81,Deflatores!G$4:I$38,3,FALSE)))</f>
        <v/>
      </c>
      <c r="P81" s="115"/>
      <c r="Q81" s="115"/>
      <c r="R81" s="115"/>
      <c r="S81" s="115"/>
      <c r="T81" s="168"/>
      <c r="U81" s="133"/>
    </row>
    <row r="82" spans="1:21" ht="12" customHeight="1" x14ac:dyDescent="0.2">
      <c r="A82" s="114"/>
      <c r="B82" s="115"/>
      <c r="C82" s="105"/>
      <c r="D82" s="105"/>
      <c r="E82" s="105"/>
      <c r="F82" s="105"/>
      <c r="G82" s="105"/>
      <c r="H82" s="105"/>
      <c r="I82" s="142" t="str">
        <f t="shared" si="6"/>
        <v/>
      </c>
      <c r="J82" s="105" t="str">
        <f t="shared" si="7"/>
        <v/>
      </c>
      <c r="K82" s="143" t="str">
        <f t="shared" si="8"/>
        <v/>
      </c>
      <c r="L82" s="106" t="str">
        <f t="shared" si="9"/>
        <v/>
      </c>
      <c r="M82" s="105" t="str">
        <f t="shared" si="10"/>
        <v/>
      </c>
      <c r="N82" s="144" t="str">
        <f t="shared" si="11"/>
        <v/>
      </c>
      <c r="O82" s="144" t="str">
        <f>IF(NOT(ISERROR(VLOOKUP(C82,Deflatores!G$42:H$64,2,FALSE))),VLOOKUP(C82,Deflatores!G$42:H$64,2,FALSE),IF(OR(ISBLANK(D82),ISBLANK(C82)),"",VLOOKUP(D82,Deflatores!G$4:H$38,2,FALSE)*K82+VLOOKUP(D82,Deflatores!G$4:I$38,3,FALSE)))</f>
        <v/>
      </c>
      <c r="P82" s="115"/>
      <c r="Q82" s="115"/>
      <c r="R82" s="115"/>
      <c r="S82" s="115"/>
      <c r="T82" s="168"/>
      <c r="U82" s="133"/>
    </row>
    <row r="83" spans="1:21" ht="12" customHeight="1" x14ac:dyDescent="0.2">
      <c r="A83" s="114"/>
      <c r="B83" s="115"/>
      <c r="C83" s="105"/>
      <c r="D83" s="105"/>
      <c r="E83" s="105"/>
      <c r="F83" s="105"/>
      <c r="G83" s="105"/>
      <c r="H83" s="105"/>
      <c r="I83" s="142" t="str">
        <f t="shared" si="6"/>
        <v/>
      </c>
      <c r="J83" s="105" t="str">
        <f t="shared" si="7"/>
        <v/>
      </c>
      <c r="K83" s="143" t="str">
        <f t="shared" si="8"/>
        <v/>
      </c>
      <c r="L83" s="106" t="str">
        <f t="shared" si="9"/>
        <v/>
      </c>
      <c r="M83" s="105" t="str">
        <f t="shared" si="10"/>
        <v/>
      </c>
      <c r="N83" s="144" t="str">
        <f t="shared" si="11"/>
        <v/>
      </c>
      <c r="O83" s="144" t="str">
        <f>IF(NOT(ISERROR(VLOOKUP(C83,Deflatores!G$42:H$64,2,FALSE))),VLOOKUP(C83,Deflatores!G$42:H$64,2,FALSE),IF(OR(ISBLANK(D83),ISBLANK(C83)),"",VLOOKUP(D83,Deflatores!G$4:H$38,2,FALSE)*K83+VLOOKUP(D83,Deflatores!G$4:I$38,3,FALSE)))</f>
        <v/>
      </c>
      <c r="P83" s="115"/>
      <c r="Q83" s="115"/>
      <c r="R83" s="115"/>
      <c r="S83" s="115"/>
      <c r="T83" s="168"/>
      <c r="U83" s="133"/>
    </row>
    <row r="84" spans="1:21" ht="12" customHeight="1" x14ac:dyDescent="0.2">
      <c r="A84" s="114"/>
      <c r="B84" s="115"/>
      <c r="C84" s="105"/>
      <c r="D84" s="105"/>
      <c r="E84" s="105"/>
      <c r="F84" s="105"/>
      <c r="G84" s="105"/>
      <c r="H84" s="105"/>
      <c r="I84" s="142" t="str">
        <f t="shared" si="6"/>
        <v/>
      </c>
      <c r="J84" s="105" t="str">
        <f t="shared" si="7"/>
        <v/>
      </c>
      <c r="K84" s="143" t="str">
        <f t="shared" si="8"/>
        <v/>
      </c>
      <c r="L84" s="106" t="str">
        <f t="shared" si="9"/>
        <v/>
      </c>
      <c r="M84" s="105" t="str">
        <f t="shared" si="10"/>
        <v/>
      </c>
      <c r="N84" s="144" t="str">
        <f t="shared" si="11"/>
        <v/>
      </c>
      <c r="O84" s="144" t="str">
        <f>IF(NOT(ISERROR(VLOOKUP(C84,Deflatores!G$42:H$64,2,FALSE))),VLOOKUP(C84,Deflatores!G$42:H$64,2,FALSE),IF(OR(ISBLANK(D84),ISBLANK(C84)),"",VLOOKUP(D84,Deflatores!G$4:H$38,2,FALSE)*K84+VLOOKUP(D84,Deflatores!G$4:I$38,3,FALSE)))</f>
        <v/>
      </c>
      <c r="P84" s="115"/>
      <c r="Q84" s="115"/>
      <c r="R84" s="115"/>
      <c r="S84" s="115"/>
      <c r="T84" s="168"/>
      <c r="U84" s="133"/>
    </row>
    <row r="85" spans="1:21" ht="12" customHeight="1" x14ac:dyDescent="0.2">
      <c r="A85" s="114"/>
      <c r="B85" s="115"/>
      <c r="C85" s="105"/>
      <c r="D85" s="105"/>
      <c r="E85" s="105"/>
      <c r="F85" s="105"/>
      <c r="G85" s="105"/>
      <c r="H85" s="105"/>
      <c r="I85" s="142" t="str">
        <f t="shared" si="6"/>
        <v/>
      </c>
      <c r="J85" s="105" t="str">
        <f t="shared" si="7"/>
        <v/>
      </c>
      <c r="K85" s="143" t="str">
        <f t="shared" si="8"/>
        <v/>
      </c>
      <c r="L85" s="106" t="str">
        <f t="shared" si="9"/>
        <v/>
      </c>
      <c r="M85" s="105" t="str">
        <f t="shared" si="10"/>
        <v/>
      </c>
      <c r="N85" s="144" t="str">
        <f t="shared" si="11"/>
        <v/>
      </c>
      <c r="O85" s="144" t="str">
        <f>IF(NOT(ISERROR(VLOOKUP(C85,Deflatores!G$42:H$64,2,FALSE))),VLOOKUP(C85,Deflatores!G$42:H$64,2,FALSE),IF(OR(ISBLANK(D85),ISBLANK(C85)),"",VLOOKUP(D85,Deflatores!G$4:H$38,2,FALSE)*K85+VLOOKUP(D85,Deflatores!G$4:I$38,3,FALSE)))</f>
        <v/>
      </c>
      <c r="P85" s="115"/>
      <c r="Q85" s="115"/>
      <c r="R85" s="115"/>
      <c r="S85" s="115"/>
      <c r="T85" s="168"/>
      <c r="U85" s="133"/>
    </row>
    <row r="86" spans="1:21" ht="12" customHeight="1" x14ac:dyDescent="0.2">
      <c r="A86" s="114"/>
      <c r="B86" s="115"/>
      <c r="C86" s="105"/>
      <c r="D86" s="105"/>
      <c r="E86" s="105"/>
      <c r="F86" s="105"/>
      <c r="G86" s="105"/>
      <c r="H86" s="105"/>
      <c r="I86" s="142" t="str">
        <f t="shared" si="6"/>
        <v/>
      </c>
      <c r="J86" s="105" t="str">
        <f t="shared" si="7"/>
        <v/>
      </c>
      <c r="K86" s="143" t="str">
        <f t="shared" si="8"/>
        <v/>
      </c>
      <c r="L86" s="106" t="str">
        <f t="shared" si="9"/>
        <v/>
      </c>
      <c r="M86" s="105" t="str">
        <f t="shared" si="10"/>
        <v/>
      </c>
      <c r="N86" s="144" t="str">
        <f t="shared" si="11"/>
        <v/>
      </c>
      <c r="O86" s="144" t="str">
        <f>IF(NOT(ISERROR(VLOOKUP(C86,Deflatores!G$42:H$64,2,FALSE))),VLOOKUP(C86,Deflatores!G$42:H$64,2,FALSE),IF(OR(ISBLANK(D86),ISBLANK(C86)),"",VLOOKUP(D86,Deflatores!G$4:H$38,2,FALSE)*K86+VLOOKUP(D86,Deflatores!G$4:I$38,3,FALSE)))</f>
        <v/>
      </c>
      <c r="P86" s="115"/>
      <c r="Q86" s="115"/>
      <c r="R86" s="115"/>
      <c r="S86" s="115"/>
      <c r="T86" s="168"/>
      <c r="U86" s="133"/>
    </row>
    <row r="87" spans="1:21" ht="12" customHeight="1" x14ac:dyDescent="0.2">
      <c r="A87" s="114"/>
      <c r="B87" s="115"/>
      <c r="C87" s="105"/>
      <c r="D87" s="105"/>
      <c r="E87" s="105"/>
      <c r="F87" s="105"/>
      <c r="G87" s="105"/>
      <c r="H87" s="105"/>
      <c r="I87" s="142" t="str">
        <f t="shared" si="6"/>
        <v/>
      </c>
      <c r="J87" s="105" t="str">
        <f t="shared" si="7"/>
        <v/>
      </c>
      <c r="K87" s="143" t="str">
        <f t="shared" si="8"/>
        <v/>
      </c>
      <c r="L87" s="106" t="str">
        <f t="shared" si="9"/>
        <v/>
      </c>
      <c r="M87" s="105" t="str">
        <f t="shared" si="10"/>
        <v/>
      </c>
      <c r="N87" s="144" t="str">
        <f t="shared" si="11"/>
        <v/>
      </c>
      <c r="O87" s="144" t="str">
        <f>IF(NOT(ISERROR(VLOOKUP(C87,Deflatores!G$42:H$64,2,FALSE))),VLOOKUP(C87,Deflatores!G$42:H$64,2,FALSE),IF(OR(ISBLANK(D87),ISBLANK(C87)),"",VLOOKUP(D87,Deflatores!G$4:H$38,2,FALSE)*K87+VLOOKUP(D87,Deflatores!G$4:I$38,3,FALSE)))</f>
        <v/>
      </c>
      <c r="P87" s="115"/>
      <c r="Q87" s="115"/>
      <c r="R87" s="115"/>
      <c r="S87" s="115"/>
      <c r="T87" s="168"/>
      <c r="U87" s="133"/>
    </row>
    <row r="88" spans="1:21" ht="12" customHeight="1" x14ac:dyDescent="0.2">
      <c r="A88" s="114"/>
      <c r="B88" s="115"/>
      <c r="C88" s="105"/>
      <c r="D88" s="105"/>
      <c r="E88" s="105"/>
      <c r="F88" s="105"/>
      <c r="G88" s="105"/>
      <c r="H88" s="105"/>
      <c r="I88" s="142" t="str">
        <f t="shared" si="6"/>
        <v/>
      </c>
      <c r="J88" s="105" t="str">
        <f t="shared" si="7"/>
        <v/>
      </c>
      <c r="K88" s="143" t="str">
        <f t="shared" si="8"/>
        <v/>
      </c>
      <c r="L88" s="106" t="str">
        <f t="shared" si="9"/>
        <v/>
      </c>
      <c r="M88" s="105" t="str">
        <f t="shared" si="10"/>
        <v/>
      </c>
      <c r="N88" s="144" t="str">
        <f t="shared" si="11"/>
        <v/>
      </c>
      <c r="O88" s="144" t="str">
        <f>IF(NOT(ISERROR(VLOOKUP(C88,Deflatores!G$42:H$64,2,FALSE))),VLOOKUP(C88,Deflatores!G$42:H$64,2,FALSE),IF(OR(ISBLANK(D88),ISBLANK(C88)),"",VLOOKUP(D88,Deflatores!G$4:H$38,2,FALSE)*K88+VLOOKUP(D88,Deflatores!G$4:I$38,3,FALSE)))</f>
        <v/>
      </c>
      <c r="P88" s="115"/>
      <c r="Q88" s="115"/>
      <c r="R88" s="115"/>
      <c r="S88" s="115"/>
      <c r="T88" s="168"/>
      <c r="U88" s="133"/>
    </row>
    <row r="89" spans="1:21" ht="12" customHeight="1" x14ac:dyDescent="0.2">
      <c r="A89" s="114"/>
      <c r="B89" s="115"/>
      <c r="C89" s="105"/>
      <c r="D89" s="105"/>
      <c r="E89" s="105"/>
      <c r="F89" s="105"/>
      <c r="G89" s="105"/>
      <c r="H89" s="105"/>
      <c r="I89" s="142" t="str">
        <f t="shared" si="6"/>
        <v/>
      </c>
      <c r="J89" s="105" t="str">
        <f t="shared" si="7"/>
        <v/>
      </c>
      <c r="K89" s="143" t="str">
        <f t="shared" si="8"/>
        <v/>
      </c>
      <c r="L89" s="106" t="str">
        <f t="shared" si="9"/>
        <v/>
      </c>
      <c r="M89" s="105" t="str">
        <f t="shared" si="10"/>
        <v/>
      </c>
      <c r="N89" s="144" t="str">
        <f t="shared" si="11"/>
        <v/>
      </c>
      <c r="O89" s="144" t="str">
        <f>IF(NOT(ISERROR(VLOOKUP(C89,Deflatores!G$42:H$64,2,FALSE))),VLOOKUP(C89,Deflatores!G$42:H$64,2,FALSE),IF(OR(ISBLANK(D89),ISBLANK(C89)),"",VLOOKUP(D89,Deflatores!G$4:H$38,2,FALSE)*K89+VLOOKUP(D89,Deflatores!G$4:I$38,3,FALSE)))</f>
        <v/>
      </c>
      <c r="P89" s="115"/>
      <c r="Q89" s="115"/>
      <c r="R89" s="115"/>
      <c r="S89" s="115"/>
      <c r="T89" s="168"/>
      <c r="U89" s="133"/>
    </row>
    <row r="90" spans="1:21" ht="12" customHeight="1" x14ac:dyDescent="0.2">
      <c r="A90" s="114"/>
      <c r="B90" s="115"/>
      <c r="C90" s="105"/>
      <c r="D90" s="105"/>
      <c r="E90" s="105"/>
      <c r="F90" s="105"/>
      <c r="G90" s="105"/>
      <c r="H90" s="105"/>
      <c r="I90" s="142" t="str">
        <f t="shared" si="6"/>
        <v/>
      </c>
      <c r="J90" s="105" t="str">
        <f t="shared" si="7"/>
        <v/>
      </c>
      <c r="K90" s="143" t="str">
        <f t="shared" si="8"/>
        <v/>
      </c>
      <c r="L90" s="106" t="str">
        <f t="shared" si="9"/>
        <v/>
      </c>
      <c r="M90" s="105" t="str">
        <f t="shared" si="10"/>
        <v/>
      </c>
      <c r="N90" s="144" t="str">
        <f t="shared" si="11"/>
        <v/>
      </c>
      <c r="O90" s="144" t="str">
        <f>IF(NOT(ISERROR(VLOOKUP(C90,Deflatores!G$42:H$64,2,FALSE))),VLOOKUP(C90,Deflatores!G$42:H$64,2,FALSE),IF(OR(ISBLANK(D90),ISBLANK(C90)),"",VLOOKUP(D90,Deflatores!G$4:H$38,2,FALSE)*K90+VLOOKUP(D90,Deflatores!G$4:I$38,3,FALSE)))</f>
        <v/>
      </c>
      <c r="P90" s="115"/>
      <c r="Q90" s="115"/>
      <c r="R90" s="115"/>
      <c r="S90" s="115"/>
      <c r="T90" s="168"/>
      <c r="U90" s="133"/>
    </row>
    <row r="91" spans="1:21" ht="12" customHeight="1" x14ac:dyDescent="0.2">
      <c r="A91" s="114"/>
      <c r="B91" s="115"/>
      <c r="C91" s="105"/>
      <c r="D91" s="105"/>
      <c r="E91" s="105"/>
      <c r="F91" s="105"/>
      <c r="G91" s="105"/>
      <c r="H91" s="105"/>
      <c r="I91" s="142" t="str">
        <f t="shared" si="6"/>
        <v/>
      </c>
      <c r="J91" s="105" t="str">
        <f t="shared" si="7"/>
        <v/>
      </c>
      <c r="K91" s="143" t="str">
        <f t="shared" si="8"/>
        <v/>
      </c>
      <c r="L91" s="106" t="str">
        <f t="shared" si="9"/>
        <v/>
      </c>
      <c r="M91" s="105" t="str">
        <f t="shared" si="10"/>
        <v/>
      </c>
      <c r="N91" s="144" t="str">
        <f t="shared" si="11"/>
        <v/>
      </c>
      <c r="O91" s="144" t="str">
        <f>IF(NOT(ISERROR(VLOOKUP(C91,Deflatores!G$42:H$64,2,FALSE))),VLOOKUP(C91,Deflatores!G$42:H$64,2,FALSE),IF(OR(ISBLANK(D91),ISBLANK(C91)),"",VLOOKUP(D91,Deflatores!G$4:H$38,2,FALSE)*K91+VLOOKUP(D91,Deflatores!G$4:I$38,3,FALSE)))</f>
        <v/>
      </c>
      <c r="P91" s="115"/>
      <c r="Q91" s="115"/>
      <c r="R91" s="115"/>
      <c r="S91" s="115"/>
      <c r="T91" s="168"/>
      <c r="U91" s="133"/>
    </row>
    <row r="92" spans="1:21" ht="12" customHeight="1" x14ac:dyDescent="0.2">
      <c r="A92" s="114"/>
      <c r="B92" s="115"/>
      <c r="C92" s="105"/>
      <c r="D92" s="105"/>
      <c r="E92" s="105"/>
      <c r="F92" s="105"/>
      <c r="G92" s="105"/>
      <c r="H92" s="105"/>
      <c r="I92" s="142" t="str">
        <f t="shared" si="6"/>
        <v/>
      </c>
      <c r="J92" s="105" t="str">
        <f t="shared" si="7"/>
        <v/>
      </c>
      <c r="K92" s="143" t="str">
        <f t="shared" si="8"/>
        <v/>
      </c>
      <c r="L92" s="106" t="str">
        <f t="shared" si="9"/>
        <v/>
      </c>
      <c r="M92" s="105" t="str">
        <f t="shared" si="10"/>
        <v/>
      </c>
      <c r="N92" s="144" t="str">
        <f t="shared" si="11"/>
        <v/>
      </c>
      <c r="O92" s="144" t="str">
        <f>IF(NOT(ISERROR(VLOOKUP(C92,Deflatores!G$42:H$64,2,FALSE))),VLOOKUP(C92,Deflatores!G$42:H$64,2,FALSE),IF(OR(ISBLANK(D92),ISBLANK(C92)),"",VLOOKUP(D92,Deflatores!G$4:H$38,2,FALSE)*K92+VLOOKUP(D92,Deflatores!G$4:I$38,3,FALSE)))</f>
        <v/>
      </c>
      <c r="P92" s="115"/>
      <c r="Q92" s="115"/>
      <c r="R92" s="115"/>
      <c r="S92" s="115"/>
      <c r="T92" s="168"/>
      <c r="U92" s="133"/>
    </row>
    <row r="93" spans="1:21" ht="12" customHeight="1" x14ac:dyDescent="0.2">
      <c r="A93" s="114"/>
      <c r="B93" s="115"/>
      <c r="C93" s="105"/>
      <c r="D93" s="105"/>
      <c r="E93" s="105"/>
      <c r="F93" s="105"/>
      <c r="G93" s="105"/>
      <c r="H93" s="105"/>
      <c r="I93" s="142" t="str">
        <f t="shared" si="6"/>
        <v/>
      </c>
      <c r="J93" s="105" t="str">
        <f t="shared" si="7"/>
        <v/>
      </c>
      <c r="K93" s="143" t="str">
        <f t="shared" si="8"/>
        <v/>
      </c>
      <c r="L93" s="106" t="str">
        <f t="shared" si="9"/>
        <v/>
      </c>
      <c r="M93" s="105" t="str">
        <f t="shared" si="10"/>
        <v/>
      </c>
      <c r="N93" s="144" t="str">
        <f t="shared" si="11"/>
        <v/>
      </c>
      <c r="O93" s="144" t="str">
        <f>IF(NOT(ISERROR(VLOOKUP(C93,Deflatores!G$42:H$64,2,FALSE))),VLOOKUP(C93,Deflatores!G$42:H$64,2,FALSE),IF(OR(ISBLANK(D93),ISBLANK(C93)),"",VLOOKUP(D93,Deflatores!G$4:H$38,2,FALSE)*K93+VLOOKUP(D93,Deflatores!G$4:I$38,3,FALSE)))</f>
        <v/>
      </c>
      <c r="P93" s="115"/>
      <c r="Q93" s="115"/>
      <c r="R93" s="115"/>
      <c r="S93" s="115"/>
      <c r="T93" s="168"/>
      <c r="U93" s="133"/>
    </row>
    <row r="94" spans="1:21" ht="12" customHeight="1" x14ac:dyDescent="0.2">
      <c r="A94" s="114"/>
      <c r="B94" s="115"/>
      <c r="C94" s="105"/>
      <c r="D94" s="105"/>
      <c r="E94" s="105"/>
      <c r="F94" s="105"/>
      <c r="G94" s="105"/>
      <c r="H94" s="105"/>
      <c r="I94" s="142" t="str">
        <f t="shared" si="6"/>
        <v/>
      </c>
      <c r="J94" s="105" t="str">
        <f t="shared" si="7"/>
        <v/>
      </c>
      <c r="K94" s="143" t="str">
        <f t="shared" si="8"/>
        <v/>
      </c>
      <c r="L94" s="106" t="str">
        <f t="shared" si="9"/>
        <v/>
      </c>
      <c r="M94" s="105" t="str">
        <f t="shared" si="10"/>
        <v/>
      </c>
      <c r="N94" s="144" t="str">
        <f t="shared" si="11"/>
        <v/>
      </c>
      <c r="O94" s="144" t="str">
        <f>IF(NOT(ISERROR(VLOOKUP(C94,Deflatores!G$42:H$64,2,FALSE))),VLOOKUP(C94,Deflatores!G$42:H$64,2,FALSE),IF(OR(ISBLANK(D94),ISBLANK(C94)),"",VLOOKUP(D94,Deflatores!G$4:H$38,2,FALSE)*K94+VLOOKUP(D94,Deflatores!G$4:I$38,3,FALSE)))</f>
        <v/>
      </c>
      <c r="P94" s="115"/>
      <c r="Q94" s="115"/>
      <c r="R94" s="115"/>
      <c r="S94" s="115"/>
      <c r="T94" s="168"/>
      <c r="U94" s="133"/>
    </row>
    <row r="95" spans="1:21" ht="12" customHeight="1" x14ac:dyDescent="0.2">
      <c r="A95" s="114"/>
      <c r="B95" s="115"/>
      <c r="C95" s="105"/>
      <c r="D95" s="105"/>
      <c r="E95" s="105"/>
      <c r="F95" s="105"/>
      <c r="G95" s="105"/>
      <c r="H95" s="105"/>
      <c r="I95" s="142" t="str">
        <f t="shared" si="6"/>
        <v/>
      </c>
      <c r="J95" s="105" t="str">
        <f t="shared" si="7"/>
        <v/>
      </c>
      <c r="K95" s="143" t="str">
        <f t="shared" si="8"/>
        <v/>
      </c>
      <c r="L95" s="106" t="str">
        <f t="shared" si="9"/>
        <v/>
      </c>
      <c r="M95" s="105" t="str">
        <f t="shared" si="10"/>
        <v/>
      </c>
      <c r="N95" s="144" t="str">
        <f t="shared" si="11"/>
        <v/>
      </c>
      <c r="O95" s="144" t="str">
        <f>IF(NOT(ISERROR(VLOOKUP(C95,Deflatores!G$42:H$64,2,FALSE))),VLOOKUP(C95,Deflatores!G$42:H$64,2,FALSE),IF(OR(ISBLANK(D95),ISBLANK(C95)),"",VLOOKUP(D95,Deflatores!G$4:H$38,2,FALSE)*K95+VLOOKUP(D95,Deflatores!G$4:I$38,3,FALSE)))</f>
        <v/>
      </c>
      <c r="P95" s="115"/>
      <c r="Q95" s="115"/>
      <c r="R95" s="115"/>
      <c r="S95" s="115"/>
      <c r="T95" s="168"/>
      <c r="U95" s="133"/>
    </row>
    <row r="96" spans="1:21" ht="12" customHeight="1" x14ac:dyDescent="0.2">
      <c r="A96" s="114"/>
      <c r="B96" s="115"/>
      <c r="C96" s="105"/>
      <c r="D96" s="105"/>
      <c r="E96" s="105"/>
      <c r="F96" s="105"/>
      <c r="G96" s="105"/>
      <c r="H96" s="105"/>
      <c r="I96" s="142" t="str">
        <f t="shared" si="6"/>
        <v/>
      </c>
      <c r="J96" s="105" t="str">
        <f t="shared" si="7"/>
        <v/>
      </c>
      <c r="K96" s="143" t="str">
        <f t="shared" si="8"/>
        <v/>
      </c>
      <c r="L96" s="106" t="str">
        <f t="shared" si="9"/>
        <v/>
      </c>
      <c r="M96" s="105" t="str">
        <f t="shared" si="10"/>
        <v/>
      </c>
      <c r="N96" s="144" t="str">
        <f t="shared" si="11"/>
        <v/>
      </c>
      <c r="O96" s="144" t="str">
        <f>IF(NOT(ISERROR(VLOOKUP(C96,Deflatores!G$42:H$64,2,FALSE))),VLOOKUP(C96,Deflatores!G$42:H$64,2,FALSE),IF(OR(ISBLANK(D96),ISBLANK(C96)),"",VLOOKUP(D96,Deflatores!G$4:H$38,2,FALSE)*K96+VLOOKUP(D96,Deflatores!G$4:I$38,3,FALSE)))</f>
        <v/>
      </c>
      <c r="P96" s="115"/>
      <c r="Q96" s="115"/>
      <c r="R96" s="115"/>
      <c r="S96" s="115"/>
      <c r="T96" s="168"/>
      <c r="U96" s="133"/>
    </row>
    <row r="97" spans="1:21" ht="12" customHeight="1" x14ac:dyDescent="0.2">
      <c r="A97" s="114"/>
      <c r="B97" s="115"/>
      <c r="C97" s="105"/>
      <c r="D97" s="105"/>
      <c r="E97" s="105"/>
      <c r="F97" s="105"/>
      <c r="G97" s="105"/>
      <c r="H97" s="105"/>
      <c r="I97" s="142" t="str">
        <f t="shared" si="6"/>
        <v/>
      </c>
      <c r="J97" s="105" t="str">
        <f t="shared" si="7"/>
        <v/>
      </c>
      <c r="K97" s="143" t="str">
        <f t="shared" si="8"/>
        <v/>
      </c>
      <c r="L97" s="106" t="str">
        <f t="shared" si="9"/>
        <v/>
      </c>
      <c r="M97" s="105" t="str">
        <f t="shared" si="10"/>
        <v/>
      </c>
      <c r="N97" s="144" t="str">
        <f t="shared" si="11"/>
        <v/>
      </c>
      <c r="O97" s="144" t="str">
        <f>IF(NOT(ISERROR(VLOOKUP(C97,Deflatores!G$42:H$64,2,FALSE))),VLOOKUP(C97,Deflatores!G$42:H$64,2,FALSE),IF(OR(ISBLANK(D97),ISBLANK(C97)),"",VLOOKUP(D97,Deflatores!G$4:H$38,2,FALSE)*K97+VLOOKUP(D97,Deflatores!G$4:I$38,3,FALSE)))</f>
        <v/>
      </c>
      <c r="P97" s="115"/>
      <c r="Q97" s="115"/>
      <c r="R97" s="115"/>
      <c r="S97" s="115"/>
      <c r="T97" s="168"/>
      <c r="U97" s="133"/>
    </row>
    <row r="98" spans="1:21" ht="12" customHeight="1" x14ac:dyDescent="0.2">
      <c r="A98" s="114"/>
      <c r="B98" s="115"/>
      <c r="C98" s="105"/>
      <c r="D98" s="105"/>
      <c r="E98" s="105"/>
      <c r="F98" s="105"/>
      <c r="G98" s="105"/>
      <c r="H98" s="105"/>
      <c r="I98" s="142" t="str">
        <f t="shared" si="6"/>
        <v/>
      </c>
      <c r="J98" s="105" t="str">
        <f t="shared" si="7"/>
        <v/>
      </c>
      <c r="K98" s="143" t="str">
        <f t="shared" si="8"/>
        <v/>
      </c>
      <c r="L98" s="106" t="str">
        <f t="shared" si="9"/>
        <v/>
      </c>
      <c r="M98" s="105" t="str">
        <f t="shared" si="10"/>
        <v/>
      </c>
      <c r="N98" s="144" t="str">
        <f t="shared" si="11"/>
        <v/>
      </c>
      <c r="O98" s="144" t="str">
        <f>IF(NOT(ISERROR(VLOOKUP(C98,Deflatores!G$42:H$64,2,FALSE))),VLOOKUP(C98,Deflatores!G$42:H$64,2,FALSE),IF(OR(ISBLANK(D98),ISBLANK(C98)),"",VLOOKUP(D98,Deflatores!G$4:H$38,2,FALSE)*K98+VLOOKUP(D98,Deflatores!G$4:I$38,3,FALSE)))</f>
        <v/>
      </c>
      <c r="P98" s="115"/>
      <c r="Q98" s="115"/>
      <c r="R98" s="115"/>
      <c r="S98" s="115"/>
      <c r="T98" s="168"/>
      <c r="U98" s="133"/>
    </row>
    <row r="99" spans="1:21" ht="12" customHeight="1" x14ac:dyDescent="0.2">
      <c r="A99" s="114"/>
      <c r="B99" s="115"/>
      <c r="C99" s="105"/>
      <c r="D99" s="105"/>
      <c r="E99" s="105"/>
      <c r="F99" s="105"/>
      <c r="G99" s="105"/>
      <c r="H99" s="105"/>
      <c r="I99" s="142" t="str">
        <f t="shared" si="6"/>
        <v/>
      </c>
      <c r="J99" s="105" t="str">
        <f t="shared" si="7"/>
        <v/>
      </c>
      <c r="K99" s="143" t="str">
        <f t="shared" si="8"/>
        <v/>
      </c>
      <c r="L99" s="106" t="str">
        <f t="shared" si="9"/>
        <v/>
      </c>
      <c r="M99" s="105" t="str">
        <f t="shared" si="10"/>
        <v/>
      </c>
      <c r="N99" s="144" t="str">
        <f t="shared" si="11"/>
        <v/>
      </c>
      <c r="O99" s="144" t="str">
        <f>IF(NOT(ISERROR(VLOOKUP(C99,Deflatores!G$42:H$64,2,FALSE))),VLOOKUP(C99,Deflatores!G$42:H$64,2,FALSE),IF(OR(ISBLANK(D99),ISBLANK(C99)),"",VLOOKUP(D99,Deflatores!G$4:H$38,2,FALSE)*K99+VLOOKUP(D99,Deflatores!G$4:I$38,3,FALSE)))</f>
        <v/>
      </c>
      <c r="P99" s="115"/>
      <c r="Q99" s="115"/>
      <c r="R99" s="115"/>
      <c r="S99" s="115"/>
      <c r="T99" s="168"/>
      <c r="U99" s="133"/>
    </row>
    <row r="100" spans="1:21" ht="12" customHeight="1" x14ac:dyDescent="0.2">
      <c r="A100" s="114"/>
      <c r="B100" s="115"/>
      <c r="C100" s="105"/>
      <c r="D100" s="105"/>
      <c r="E100" s="105"/>
      <c r="F100" s="105"/>
      <c r="G100" s="105"/>
      <c r="H100" s="105"/>
      <c r="I100" s="142" t="str">
        <f t="shared" si="6"/>
        <v/>
      </c>
      <c r="J100" s="105" t="str">
        <f t="shared" si="7"/>
        <v/>
      </c>
      <c r="K100" s="143" t="str">
        <f t="shared" si="8"/>
        <v/>
      </c>
      <c r="L100" s="106" t="str">
        <f t="shared" si="9"/>
        <v/>
      </c>
      <c r="M100" s="105" t="str">
        <f t="shared" si="10"/>
        <v/>
      </c>
      <c r="N100" s="144" t="str">
        <f t="shared" si="11"/>
        <v/>
      </c>
      <c r="O100" s="144" t="str">
        <f>IF(NOT(ISERROR(VLOOKUP(C100,Deflatores!G$42:H$64,2,FALSE))),VLOOKUP(C100,Deflatores!G$42:H$64,2,FALSE),IF(OR(ISBLANK(D100),ISBLANK(C100)),"",VLOOKUP(D100,Deflatores!G$4:H$38,2,FALSE)*K100+VLOOKUP(D100,Deflatores!G$4:I$38,3,FALSE)))</f>
        <v/>
      </c>
      <c r="P100" s="115"/>
      <c r="Q100" s="115"/>
      <c r="R100" s="115"/>
      <c r="S100" s="115"/>
      <c r="T100" s="168"/>
      <c r="U100" s="133"/>
    </row>
    <row r="101" spans="1:21" ht="12" customHeight="1" x14ac:dyDescent="0.2">
      <c r="A101" s="114"/>
      <c r="B101" s="115"/>
      <c r="C101" s="105"/>
      <c r="D101" s="105"/>
      <c r="E101" s="105"/>
      <c r="F101" s="105"/>
      <c r="G101" s="105"/>
      <c r="H101" s="105"/>
      <c r="I101" s="142" t="str">
        <f t="shared" si="6"/>
        <v/>
      </c>
      <c r="J101" s="105" t="str">
        <f t="shared" si="7"/>
        <v/>
      </c>
      <c r="K101" s="143" t="str">
        <f t="shared" si="8"/>
        <v/>
      </c>
      <c r="L101" s="106" t="str">
        <f t="shared" si="9"/>
        <v/>
      </c>
      <c r="M101" s="105" t="str">
        <f t="shared" si="10"/>
        <v/>
      </c>
      <c r="N101" s="144" t="str">
        <f t="shared" si="11"/>
        <v/>
      </c>
      <c r="O101" s="144" t="str">
        <f>IF(NOT(ISERROR(VLOOKUP(C101,Deflatores!G$42:H$64,2,FALSE))),VLOOKUP(C101,Deflatores!G$42:H$64,2,FALSE),IF(OR(ISBLANK(D101),ISBLANK(C101)),"",VLOOKUP(D101,Deflatores!G$4:H$38,2,FALSE)*K101+VLOOKUP(D101,Deflatores!G$4:I$38,3,FALSE)))</f>
        <v/>
      </c>
      <c r="P101" s="115"/>
      <c r="Q101" s="115"/>
      <c r="R101" s="115"/>
      <c r="S101" s="115"/>
      <c r="T101" s="168"/>
      <c r="U101" s="133"/>
    </row>
    <row r="102" spans="1:21" ht="12" customHeight="1" x14ac:dyDescent="0.2">
      <c r="A102" s="114"/>
      <c r="B102" s="115"/>
      <c r="C102" s="105"/>
      <c r="D102" s="105"/>
      <c r="E102" s="105"/>
      <c r="F102" s="105"/>
      <c r="G102" s="105"/>
      <c r="H102" s="105"/>
      <c r="I102" s="142" t="str">
        <f t="shared" si="6"/>
        <v/>
      </c>
      <c r="J102" s="105" t="str">
        <f t="shared" si="7"/>
        <v/>
      </c>
      <c r="K102" s="143" t="str">
        <f t="shared" si="8"/>
        <v/>
      </c>
      <c r="L102" s="106" t="str">
        <f t="shared" si="9"/>
        <v/>
      </c>
      <c r="M102" s="105" t="str">
        <f t="shared" si="10"/>
        <v/>
      </c>
      <c r="N102" s="144" t="str">
        <f t="shared" si="11"/>
        <v/>
      </c>
      <c r="O102" s="144" t="str">
        <f>IF(NOT(ISERROR(VLOOKUP(C102,Deflatores!G$42:H$64,2,FALSE))),VLOOKUP(C102,Deflatores!G$42:H$64,2,FALSE),IF(OR(ISBLANK(D102),ISBLANK(C102)),"",VLOOKUP(D102,Deflatores!G$4:H$38,2,FALSE)*K102+VLOOKUP(D102,Deflatores!G$4:I$38,3,FALSE)))</f>
        <v/>
      </c>
      <c r="P102" s="115"/>
      <c r="Q102" s="115"/>
      <c r="R102" s="115"/>
      <c r="S102" s="115"/>
      <c r="T102" s="168"/>
      <c r="U102" s="133"/>
    </row>
    <row r="103" spans="1:21" ht="12" customHeight="1" x14ac:dyDescent="0.2">
      <c r="A103" s="114"/>
      <c r="B103" s="115"/>
      <c r="C103" s="105"/>
      <c r="D103" s="105"/>
      <c r="E103" s="105"/>
      <c r="F103" s="105"/>
      <c r="G103" s="105"/>
      <c r="H103" s="105"/>
      <c r="I103" s="142" t="str">
        <f t="shared" si="6"/>
        <v/>
      </c>
      <c r="J103" s="105" t="str">
        <f t="shared" si="7"/>
        <v/>
      </c>
      <c r="K103" s="143" t="str">
        <f t="shared" si="8"/>
        <v/>
      </c>
      <c r="L103" s="106" t="str">
        <f t="shared" si="9"/>
        <v/>
      </c>
      <c r="M103" s="105" t="str">
        <f t="shared" si="10"/>
        <v/>
      </c>
      <c r="N103" s="144" t="str">
        <f t="shared" si="11"/>
        <v/>
      </c>
      <c r="O103" s="144" t="str">
        <f>IF(NOT(ISERROR(VLOOKUP(C103,Deflatores!G$42:H$64,2,FALSE))),VLOOKUP(C103,Deflatores!G$42:H$64,2,FALSE),IF(OR(ISBLANK(D103),ISBLANK(C103)),"",VLOOKUP(D103,Deflatores!G$4:H$38,2,FALSE)*K103+VLOOKUP(D103,Deflatores!G$4:I$38,3,FALSE)))</f>
        <v/>
      </c>
      <c r="P103" s="115"/>
      <c r="Q103" s="115"/>
      <c r="R103" s="115"/>
      <c r="S103" s="115"/>
      <c r="T103" s="168"/>
      <c r="U103" s="133"/>
    </row>
    <row r="104" spans="1:21" ht="12" customHeight="1" x14ac:dyDescent="0.2">
      <c r="A104" s="114"/>
      <c r="B104" s="115"/>
      <c r="C104" s="105"/>
      <c r="D104" s="105"/>
      <c r="E104" s="105"/>
      <c r="F104" s="105"/>
      <c r="G104" s="105"/>
      <c r="H104" s="105"/>
      <c r="I104" s="142" t="str">
        <f t="shared" si="6"/>
        <v/>
      </c>
      <c r="J104" s="105" t="str">
        <f t="shared" si="7"/>
        <v/>
      </c>
      <c r="K104" s="143" t="str">
        <f t="shared" si="8"/>
        <v/>
      </c>
      <c r="L104" s="106" t="str">
        <f t="shared" si="9"/>
        <v/>
      </c>
      <c r="M104" s="105" t="str">
        <f t="shared" si="10"/>
        <v/>
      </c>
      <c r="N104" s="144" t="str">
        <f t="shared" si="11"/>
        <v/>
      </c>
      <c r="O104" s="144" t="str">
        <f>IF(NOT(ISERROR(VLOOKUP(C104,Deflatores!G$42:H$64,2,FALSE))),VLOOKUP(C104,Deflatores!G$42:H$64,2,FALSE),IF(OR(ISBLANK(D104),ISBLANK(C104)),"",VLOOKUP(D104,Deflatores!G$4:H$38,2,FALSE)*K104+VLOOKUP(D104,Deflatores!G$4:I$38,3,FALSE)))</f>
        <v/>
      </c>
      <c r="P104" s="115"/>
      <c r="Q104" s="115"/>
      <c r="R104" s="115"/>
      <c r="S104" s="115"/>
      <c r="T104" s="168"/>
      <c r="U104" s="133"/>
    </row>
    <row r="105" spans="1:21" ht="12" customHeight="1" x14ac:dyDescent="0.2">
      <c r="A105" s="114"/>
      <c r="B105" s="115"/>
      <c r="C105" s="105"/>
      <c r="D105" s="105"/>
      <c r="E105" s="105"/>
      <c r="F105" s="105"/>
      <c r="G105" s="105"/>
      <c r="H105" s="105"/>
      <c r="I105" s="142" t="str">
        <f t="shared" si="6"/>
        <v/>
      </c>
      <c r="J105" s="105" t="str">
        <f t="shared" si="7"/>
        <v/>
      </c>
      <c r="K105" s="143" t="str">
        <f t="shared" si="8"/>
        <v/>
      </c>
      <c r="L105" s="106" t="str">
        <f t="shared" si="9"/>
        <v/>
      </c>
      <c r="M105" s="105" t="str">
        <f t="shared" si="10"/>
        <v/>
      </c>
      <c r="N105" s="144" t="str">
        <f t="shared" si="11"/>
        <v/>
      </c>
      <c r="O105" s="144" t="str">
        <f>IF(NOT(ISERROR(VLOOKUP(C105,Deflatores!G$42:H$64,2,FALSE))),VLOOKUP(C105,Deflatores!G$42:H$64,2,FALSE),IF(OR(ISBLANK(D105),ISBLANK(C105)),"",VLOOKUP(D105,Deflatores!G$4:H$38,2,FALSE)*K105+VLOOKUP(D105,Deflatores!G$4:I$38,3,FALSE)))</f>
        <v/>
      </c>
      <c r="P105" s="115"/>
      <c r="Q105" s="115"/>
      <c r="R105" s="115"/>
      <c r="S105" s="115"/>
      <c r="T105" s="168"/>
      <c r="U105" s="133"/>
    </row>
    <row r="106" spans="1:21" ht="12" customHeight="1" x14ac:dyDescent="0.2">
      <c r="A106" s="114"/>
      <c r="B106" s="115"/>
      <c r="C106" s="105"/>
      <c r="D106" s="105"/>
      <c r="E106" s="105"/>
      <c r="F106" s="105"/>
      <c r="G106" s="105"/>
      <c r="H106" s="105"/>
      <c r="I106" s="142" t="str">
        <f t="shared" si="6"/>
        <v/>
      </c>
      <c r="J106" s="105" t="str">
        <f t="shared" si="7"/>
        <v/>
      </c>
      <c r="K106" s="143" t="str">
        <f t="shared" si="8"/>
        <v/>
      </c>
      <c r="L106" s="106" t="str">
        <f t="shared" si="9"/>
        <v/>
      </c>
      <c r="M106" s="105" t="str">
        <f t="shared" si="10"/>
        <v/>
      </c>
      <c r="N106" s="144" t="str">
        <f t="shared" si="11"/>
        <v/>
      </c>
      <c r="O106" s="144" t="str">
        <f>IF(NOT(ISERROR(VLOOKUP(C106,Deflatores!G$42:H$64,2,FALSE))),VLOOKUP(C106,Deflatores!G$42:H$64,2,FALSE),IF(OR(ISBLANK(D106),ISBLANK(C106)),"",VLOOKUP(D106,Deflatores!G$4:H$38,2,FALSE)*K106+VLOOKUP(D106,Deflatores!G$4:I$38,3,FALSE)))</f>
        <v/>
      </c>
      <c r="P106" s="115"/>
      <c r="Q106" s="115"/>
      <c r="R106" s="115"/>
      <c r="S106" s="115"/>
      <c r="T106" s="168"/>
      <c r="U106" s="133"/>
    </row>
    <row r="107" spans="1:21" ht="12" customHeight="1" x14ac:dyDescent="0.2">
      <c r="A107" s="114"/>
      <c r="B107" s="115"/>
      <c r="C107" s="105"/>
      <c r="D107" s="105"/>
      <c r="E107" s="105"/>
      <c r="F107" s="105"/>
      <c r="G107" s="105"/>
      <c r="H107" s="105"/>
      <c r="I107" s="142" t="str">
        <f t="shared" si="6"/>
        <v/>
      </c>
      <c r="J107" s="105" t="str">
        <f t="shared" si="7"/>
        <v/>
      </c>
      <c r="K107" s="143" t="str">
        <f t="shared" si="8"/>
        <v/>
      </c>
      <c r="L107" s="106" t="str">
        <f t="shared" si="9"/>
        <v/>
      </c>
      <c r="M107" s="105" t="str">
        <f t="shared" si="10"/>
        <v/>
      </c>
      <c r="N107" s="144" t="str">
        <f t="shared" si="11"/>
        <v/>
      </c>
      <c r="O107" s="144" t="str">
        <f>IF(NOT(ISERROR(VLOOKUP(C107,Deflatores!G$42:H$64,2,FALSE))),VLOOKUP(C107,Deflatores!G$42:H$64,2,FALSE),IF(OR(ISBLANK(D107),ISBLANK(C107)),"",VLOOKUP(D107,Deflatores!G$4:H$38,2,FALSE)*K107+VLOOKUP(D107,Deflatores!G$4:I$38,3,FALSE)))</f>
        <v/>
      </c>
      <c r="P107" s="115"/>
      <c r="Q107" s="115"/>
      <c r="R107" s="115"/>
      <c r="S107" s="115"/>
      <c r="T107" s="168"/>
      <c r="U107" s="133"/>
    </row>
    <row r="108" spans="1:21" ht="12" customHeight="1" x14ac:dyDescent="0.2">
      <c r="A108" s="115"/>
      <c r="B108" s="115"/>
      <c r="C108" s="105"/>
      <c r="D108" s="105"/>
      <c r="E108" s="105"/>
      <c r="F108" s="105"/>
      <c r="G108" s="105"/>
      <c r="H108" s="105"/>
      <c r="I108" s="142" t="str">
        <f t="shared" si="6"/>
        <v/>
      </c>
      <c r="J108" s="105" t="str">
        <f t="shared" si="7"/>
        <v/>
      </c>
      <c r="K108" s="143" t="str">
        <f t="shared" si="8"/>
        <v/>
      </c>
      <c r="L108" s="106" t="str">
        <f t="shared" si="9"/>
        <v/>
      </c>
      <c r="M108" s="105" t="str">
        <f t="shared" si="10"/>
        <v/>
      </c>
      <c r="N108" s="144" t="str">
        <f t="shared" si="11"/>
        <v/>
      </c>
      <c r="O108" s="144" t="str">
        <f>IF(NOT(ISERROR(VLOOKUP(C108,Deflatores!G$42:H$64,2,FALSE))),VLOOKUP(C108,Deflatores!G$42:H$64,2,FALSE),IF(OR(ISBLANK(D108),ISBLANK(C108)),"",VLOOKUP(D108,Deflatores!G$4:H$38,2,FALSE)*K108+VLOOKUP(D108,Deflatores!G$4:I$38,3,FALSE)))</f>
        <v/>
      </c>
      <c r="P108" s="115"/>
      <c r="Q108" s="115"/>
      <c r="R108" s="115"/>
      <c r="S108" s="115"/>
      <c r="T108" s="168"/>
      <c r="U108" s="133"/>
    </row>
    <row r="109" spans="1:21" ht="12" customHeight="1" x14ac:dyDescent="0.2">
      <c r="A109" s="115"/>
      <c r="B109" s="115"/>
      <c r="C109" s="105"/>
      <c r="D109" s="105"/>
      <c r="E109" s="105"/>
      <c r="F109" s="105"/>
      <c r="G109" s="105"/>
      <c r="H109" s="105"/>
      <c r="I109" s="142" t="str">
        <f t="shared" si="6"/>
        <v/>
      </c>
      <c r="J109" s="105" t="str">
        <f t="shared" si="7"/>
        <v/>
      </c>
      <c r="K109" s="143" t="str">
        <f t="shared" si="8"/>
        <v/>
      </c>
      <c r="L109" s="106" t="str">
        <f t="shared" si="9"/>
        <v/>
      </c>
      <c r="M109" s="105" t="str">
        <f t="shared" si="10"/>
        <v/>
      </c>
      <c r="N109" s="144" t="str">
        <f t="shared" si="11"/>
        <v/>
      </c>
      <c r="O109" s="144" t="str">
        <f>IF(NOT(ISERROR(VLOOKUP(C109,Deflatores!G$42:H$64,2,FALSE))),VLOOKUP(C109,Deflatores!G$42:H$64,2,FALSE),IF(OR(ISBLANK(D109),ISBLANK(C109)),"",VLOOKUP(D109,Deflatores!G$4:H$38,2,FALSE)*K109+VLOOKUP(D109,Deflatores!G$4:I$38,3,FALSE)))</f>
        <v/>
      </c>
      <c r="P109" s="115"/>
      <c r="Q109" s="115"/>
      <c r="R109" s="115"/>
      <c r="S109" s="115"/>
      <c r="T109" s="168"/>
      <c r="U109" s="133"/>
    </row>
    <row r="110" spans="1:21" ht="12" customHeight="1" x14ac:dyDescent="0.2">
      <c r="A110" s="115"/>
      <c r="B110" s="115"/>
      <c r="C110" s="105"/>
      <c r="D110" s="105"/>
      <c r="E110" s="105"/>
      <c r="F110" s="105"/>
      <c r="G110" s="105"/>
      <c r="H110" s="105"/>
      <c r="I110" s="142" t="str">
        <f t="shared" si="6"/>
        <v/>
      </c>
      <c r="J110" s="105" t="str">
        <f t="shared" si="7"/>
        <v/>
      </c>
      <c r="K110" s="143" t="str">
        <f t="shared" si="8"/>
        <v/>
      </c>
      <c r="L110" s="106" t="str">
        <f t="shared" si="9"/>
        <v/>
      </c>
      <c r="M110" s="105" t="str">
        <f t="shared" si="10"/>
        <v/>
      </c>
      <c r="N110" s="144" t="str">
        <f t="shared" si="11"/>
        <v/>
      </c>
      <c r="O110" s="144" t="str">
        <f>IF(NOT(ISERROR(VLOOKUP(C110,Deflatores!G$42:H$64,2,FALSE))),VLOOKUP(C110,Deflatores!G$42:H$64,2,FALSE),IF(OR(ISBLANK(D110),ISBLANK(C110)),"",VLOOKUP(D110,Deflatores!G$4:H$38,2,FALSE)*K110+VLOOKUP(D110,Deflatores!G$4:I$38,3,FALSE)))</f>
        <v/>
      </c>
      <c r="P110" s="115"/>
      <c r="Q110" s="115"/>
      <c r="R110" s="115"/>
      <c r="S110" s="115"/>
      <c r="T110" s="168"/>
      <c r="U110" s="133"/>
    </row>
    <row r="111" spans="1:21" ht="12" customHeight="1" x14ac:dyDescent="0.2">
      <c r="A111" s="115"/>
      <c r="B111" s="115"/>
      <c r="C111" s="105"/>
      <c r="D111" s="105"/>
      <c r="E111" s="105"/>
      <c r="F111" s="105"/>
      <c r="G111" s="105"/>
      <c r="H111" s="105"/>
      <c r="I111" s="142" t="str">
        <f t="shared" si="6"/>
        <v/>
      </c>
      <c r="J111" s="105" t="str">
        <f t="shared" si="7"/>
        <v/>
      </c>
      <c r="K111" s="143" t="str">
        <f t="shared" si="8"/>
        <v/>
      </c>
      <c r="L111" s="106" t="str">
        <f t="shared" si="9"/>
        <v/>
      </c>
      <c r="M111" s="105" t="str">
        <f t="shared" si="10"/>
        <v/>
      </c>
      <c r="N111" s="144" t="str">
        <f t="shared" si="11"/>
        <v/>
      </c>
      <c r="O111" s="144" t="str">
        <f>IF(NOT(ISERROR(VLOOKUP(C111,Deflatores!G$42:H$64,2,FALSE))),VLOOKUP(C111,Deflatores!G$42:H$64,2,FALSE),IF(OR(ISBLANK(D111),ISBLANK(C111)),"",VLOOKUP(D111,Deflatores!G$4:H$38,2,FALSE)*K111+VLOOKUP(D111,Deflatores!G$4:I$38,3,FALSE)))</f>
        <v/>
      </c>
      <c r="P111" s="115"/>
      <c r="Q111" s="115"/>
      <c r="R111" s="115"/>
      <c r="S111" s="115"/>
      <c r="T111" s="168"/>
      <c r="U111" s="133"/>
    </row>
    <row r="112" spans="1:21" ht="12" customHeight="1" x14ac:dyDescent="0.2">
      <c r="A112" s="115"/>
      <c r="B112" s="115"/>
      <c r="C112" s="105"/>
      <c r="D112" s="105"/>
      <c r="E112" s="105"/>
      <c r="F112" s="105"/>
      <c r="G112" s="105"/>
      <c r="H112" s="105"/>
      <c r="I112" s="142" t="str">
        <f t="shared" si="6"/>
        <v/>
      </c>
      <c r="J112" s="105" t="str">
        <f t="shared" si="7"/>
        <v/>
      </c>
      <c r="K112" s="143" t="str">
        <f t="shared" si="8"/>
        <v/>
      </c>
      <c r="L112" s="106" t="str">
        <f t="shared" si="9"/>
        <v/>
      </c>
      <c r="M112" s="105" t="str">
        <f t="shared" si="10"/>
        <v/>
      </c>
      <c r="N112" s="144" t="str">
        <f t="shared" si="11"/>
        <v/>
      </c>
      <c r="O112" s="144" t="str">
        <f>IF(NOT(ISERROR(VLOOKUP(C112,Deflatores!G$42:H$64,2,FALSE))),VLOOKUP(C112,Deflatores!G$42:H$64,2,FALSE),IF(OR(ISBLANK(D112),ISBLANK(C112)),"",VLOOKUP(D112,Deflatores!G$4:H$38,2,FALSE)*K112+VLOOKUP(D112,Deflatores!G$4:I$38,3,FALSE)))</f>
        <v/>
      </c>
      <c r="P112" s="115"/>
      <c r="Q112" s="115"/>
      <c r="R112" s="115"/>
      <c r="S112" s="115"/>
      <c r="T112" s="168"/>
      <c r="U112" s="133"/>
    </row>
    <row r="113" spans="1:21" ht="12" customHeight="1" x14ac:dyDescent="0.2">
      <c r="A113" s="115"/>
      <c r="B113" s="115"/>
      <c r="C113" s="105"/>
      <c r="D113" s="105"/>
      <c r="E113" s="105"/>
      <c r="F113" s="105"/>
      <c r="G113" s="105"/>
      <c r="H113" s="105"/>
      <c r="I113" s="142" t="str">
        <f t="shared" si="6"/>
        <v/>
      </c>
      <c r="J113" s="105" t="str">
        <f t="shared" si="7"/>
        <v/>
      </c>
      <c r="K113" s="143" t="str">
        <f t="shared" si="8"/>
        <v/>
      </c>
      <c r="L113" s="106" t="str">
        <f t="shared" si="9"/>
        <v/>
      </c>
      <c r="M113" s="105" t="str">
        <f t="shared" si="10"/>
        <v/>
      </c>
      <c r="N113" s="144" t="str">
        <f t="shared" si="11"/>
        <v/>
      </c>
      <c r="O113" s="144" t="str">
        <f>IF(NOT(ISERROR(VLOOKUP(C113,Deflatores!G$42:H$64,2,FALSE))),VLOOKUP(C113,Deflatores!G$42:H$64,2,FALSE),IF(OR(ISBLANK(D113),ISBLANK(C113)),"",VLOOKUP(D113,Deflatores!G$4:H$38,2,FALSE)*K113+VLOOKUP(D113,Deflatores!G$4:I$38,3,FALSE)))</f>
        <v/>
      </c>
      <c r="P113" s="115"/>
      <c r="Q113" s="115"/>
      <c r="R113" s="115"/>
      <c r="S113" s="115"/>
      <c r="T113" s="168"/>
      <c r="U113" s="133"/>
    </row>
    <row r="114" spans="1:21" ht="12" customHeight="1" x14ac:dyDescent="0.2">
      <c r="A114" s="115"/>
      <c r="B114" s="115"/>
      <c r="C114" s="105"/>
      <c r="D114" s="105"/>
      <c r="E114" s="105"/>
      <c r="F114" s="105"/>
      <c r="G114" s="105"/>
      <c r="H114" s="105"/>
      <c r="I114" s="142" t="str">
        <f t="shared" si="6"/>
        <v/>
      </c>
      <c r="J114" s="105" t="str">
        <f t="shared" si="7"/>
        <v/>
      </c>
      <c r="K114" s="143" t="str">
        <f t="shared" si="8"/>
        <v/>
      </c>
      <c r="L114" s="106" t="str">
        <f t="shared" si="9"/>
        <v/>
      </c>
      <c r="M114" s="105" t="str">
        <f t="shared" si="10"/>
        <v/>
      </c>
      <c r="N114" s="144" t="str">
        <f t="shared" si="11"/>
        <v/>
      </c>
      <c r="O114" s="144" t="str">
        <f>IF(NOT(ISERROR(VLOOKUP(C114,Deflatores!G$42:H$64,2,FALSE))),VLOOKUP(C114,Deflatores!G$42:H$64,2,FALSE),IF(OR(ISBLANK(D114),ISBLANK(C114)),"",VLOOKUP(D114,Deflatores!G$4:H$38,2,FALSE)*K114+VLOOKUP(D114,Deflatores!G$4:I$38,3,FALSE)))</f>
        <v/>
      </c>
      <c r="P114" s="115"/>
      <c r="Q114" s="115"/>
      <c r="R114" s="115"/>
      <c r="S114" s="115"/>
      <c r="T114" s="168"/>
      <c r="U114" s="133"/>
    </row>
    <row r="115" spans="1:21" ht="12" customHeight="1" x14ac:dyDescent="0.2">
      <c r="A115" s="115"/>
      <c r="B115" s="115"/>
      <c r="C115" s="105"/>
      <c r="D115" s="105"/>
      <c r="E115" s="105"/>
      <c r="F115" s="105"/>
      <c r="G115" s="105"/>
      <c r="H115" s="105"/>
      <c r="I115" s="142" t="str">
        <f t="shared" si="6"/>
        <v/>
      </c>
      <c r="J115" s="105" t="str">
        <f t="shared" si="7"/>
        <v/>
      </c>
      <c r="K115" s="143" t="str">
        <f t="shared" si="8"/>
        <v/>
      </c>
      <c r="L115" s="106" t="str">
        <f t="shared" si="9"/>
        <v/>
      </c>
      <c r="M115" s="105" t="str">
        <f t="shared" si="10"/>
        <v/>
      </c>
      <c r="N115" s="144" t="str">
        <f t="shared" si="11"/>
        <v/>
      </c>
      <c r="O115" s="144" t="str">
        <f>IF(NOT(ISERROR(VLOOKUP(C115,Deflatores!G$42:H$64,2,FALSE))),VLOOKUP(C115,Deflatores!G$42:H$64,2,FALSE),IF(OR(ISBLANK(D115),ISBLANK(C115)),"",VLOOKUP(D115,Deflatores!G$4:H$38,2,FALSE)*K115+VLOOKUP(D115,Deflatores!G$4:I$38,3,FALSE)))</f>
        <v/>
      </c>
      <c r="P115" s="115"/>
      <c r="Q115" s="115"/>
      <c r="R115" s="115"/>
      <c r="S115" s="115"/>
      <c r="T115" s="168"/>
      <c r="U115" s="133"/>
    </row>
    <row r="116" spans="1:21" ht="12" customHeight="1" x14ac:dyDescent="0.2">
      <c r="A116" s="115"/>
      <c r="B116" s="115"/>
      <c r="C116" s="105"/>
      <c r="D116" s="105"/>
      <c r="E116" s="105"/>
      <c r="F116" s="105"/>
      <c r="G116" s="105"/>
      <c r="H116" s="105"/>
      <c r="I116" s="142" t="str">
        <f t="shared" si="6"/>
        <v/>
      </c>
      <c r="J116" s="105" t="str">
        <f t="shared" si="7"/>
        <v/>
      </c>
      <c r="K116" s="143" t="str">
        <f t="shared" si="8"/>
        <v/>
      </c>
      <c r="L116" s="106" t="str">
        <f t="shared" si="9"/>
        <v/>
      </c>
      <c r="M116" s="105" t="str">
        <f t="shared" si="10"/>
        <v/>
      </c>
      <c r="N116" s="144" t="str">
        <f t="shared" si="11"/>
        <v/>
      </c>
      <c r="O116" s="144" t="str">
        <f>IF(NOT(ISERROR(VLOOKUP(C116,Deflatores!G$42:H$64,2,FALSE))),VLOOKUP(C116,Deflatores!G$42:H$64,2,FALSE),IF(OR(ISBLANK(D116),ISBLANK(C116)),"",VLOOKUP(D116,Deflatores!G$4:H$38,2,FALSE)*K116+VLOOKUP(D116,Deflatores!G$4:I$38,3,FALSE)))</f>
        <v/>
      </c>
      <c r="P116" s="115"/>
      <c r="Q116" s="115"/>
      <c r="R116" s="115"/>
      <c r="S116" s="115"/>
      <c r="T116" s="168"/>
      <c r="U116" s="133"/>
    </row>
    <row r="117" spans="1:21" ht="12" customHeight="1" x14ac:dyDescent="0.2">
      <c r="A117" s="115"/>
      <c r="B117" s="115"/>
      <c r="C117" s="105"/>
      <c r="D117" s="105"/>
      <c r="E117" s="105"/>
      <c r="F117" s="105"/>
      <c r="G117" s="105"/>
      <c r="H117" s="105"/>
      <c r="I117" s="142" t="str">
        <f t="shared" si="6"/>
        <v/>
      </c>
      <c r="J117" s="105" t="str">
        <f t="shared" si="7"/>
        <v/>
      </c>
      <c r="K117" s="143" t="str">
        <f t="shared" si="8"/>
        <v/>
      </c>
      <c r="L117" s="106" t="str">
        <f t="shared" si="9"/>
        <v/>
      </c>
      <c r="M117" s="105" t="str">
        <f t="shared" si="10"/>
        <v/>
      </c>
      <c r="N117" s="144" t="str">
        <f t="shared" si="11"/>
        <v/>
      </c>
      <c r="O117" s="144" t="str">
        <f>IF(NOT(ISERROR(VLOOKUP(C117,Deflatores!G$42:H$64,2,FALSE))),VLOOKUP(C117,Deflatores!G$42:H$64,2,FALSE),IF(OR(ISBLANK(D117),ISBLANK(C117)),"",VLOOKUP(D117,Deflatores!G$4:H$38,2,FALSE)*K117+VLOOKUP(D117,Deflatores!G$4:I$38,3,FALSE)))</f>
        <v/>
      </c>
      <c r="P117" s="115"/>
      <c r="Q117" s="115"/>
      <c r="R117" s="115"/>
      <c r="S117" s="115"/>
      <c r="T117" s="168"/>
      <c r="U117" s="133"/>
    </row>
    <row r="118" spans="1:21" ht="12" customHeight="1" x14ac:dyDescent="0.2">
      <c r="A118" s="115"/>
      <c r="B118" s="115"/>
      <c r="C118" s="105"/>
      <c r="D118" s="105"/>
      <c r="E118" s="105"/>
      <c r="F118" s="105"/>
      <c r="G118" s="105"/>
      <c r="H118" s="105"/>
      <c r="I118" s="142" t="str">
        <f t="shared" si="6"/>
        <v/>
      </c>
      <c r="J118" s="105" t="str">
        <f t="shared" si="7"/>
        <v/>
      </c>
      <c r="K118" s="143" t="str">
        <f t="shared" si="8"/>
        <v/>
      </c>
      <c r="L118" s="106" t="str">
        <f t="shared" si="9"/>
        <v/>
      </c>
      <c r="M118" s="105" t="str">
        <f t="shared" si="10"/>
        <v/>
      </c>
      <c r="N118" s="144" t="str">
        <f t="shared" si="11"/>
        <v/>
      </c>
      <c r="O118" s="144" t="str">
        <f>IF(NOT(ISERROR(VLOOKUP(C118,Deflatores!G$42:H$64,2,FALSE))),VLOOKUP(C118,Deflatores!G$42:H$64,2,FALSE),IF(OR(ISBLANK(D118),ISBLANK(C118)),"",VLOOKUP(D118,Deflatores!G$4:H$38,2,FALSE)*K118+VLOOKUP(D118,Deflatores!G$4:I$38,3,FALSE)))</f>
        <v/>
      </c>
      <c r="P118" s="115"/>
      <c r="Q118" s="115"/>
      <c r="R118" s="115"/>
      <c r="S118" s="115"/>
      <c r="T118" s="168"/>
      <c r="U118" s="133"/>
    </row>
    <row r="119" spans="1:21" ht="12" customHeight="1" x14ac:dyDescent="0.2">
      <c r="A119" s="115"/>
      <c r="B119" s="115"/>
      <c r="C119" s="105"/>
      <c r="D119" s="105"/>
      <c r="E119" s="105"/>
      <c r="F119" s="105"/>
      <c r="G119" s="105"/>
      <c r="H119" s="105"/>
      <c r="I119" s="142" t="str">
        <f t="shared" si="6"/>
        <v/>
      </c>
      <c r="J119" s="105" t="str">
        <f t="shared" si="7"/>
        <v/>
      </c>
      <c r="K119" s="143" t="str">
        <f t="shared" si="8"/>
        <v/>
      </c>
      <c r="L119" s="106" t="str">
        <f t="shared" si="9"/>
        <v/>
      </c>
      <c r="M119" s="105" t="str">
        <f t="shared" si="10"/>
        <v/>
      </c>
      <c r="N119" s="144" t="str">
        <f t="shared" si="11"/>
        <v/>
      </c>
      <c r="O119" s="144" t="str">
        <f>IF(NOT(ISERROR(VLOOKUP(C119,Deflatores!G$42:H$64,2,FALSE))),VLOOKUP(C119,Deflatores!G$42:H$64,2,FALSE),IF(OR(ISBLANK(D119),ISBLANK(C119)),"",VLOOKUP(D119,Deflatores!G$4:H$38,2,FALSE)*K119+VLOOKUP(D119,Deflatores!G$4:I$38,3,FALSE)))</f>
        <v/>
      </c>
      <c r="P119" s="115"/>
      <c r="Q119" s="115"/>
      <c r="R119" s="115"/>
      <c r="S119" s="115"/>
      <c r="T119" s="168"/>
      <c r="U119" s="133"/>
    </row>
    <row r="120" spans="1:21" ht="12" customHeight="1" x14ac:dyDescent="0.2">
      <c r="A120" s="115"/>
      <c r="B120" s="115"/>
      <c r="C120" s="105"/>
      <c r="D120" s="105"/>
      <c r="E120" s="105"/>
      <c r="F120" s="105"/>
      <c r="G120" s="105"/>
      <c r="H120" s="105"/>
      <c r="I120" s="142" t="str">
        <f t="shared" si="6"/>
        <v/>
      </c>
      <c r="J120" s="105" t="str">
        <f t="shared" si="7"/>
        <v/>
      </c>
      <c r="K120" s="143" t="str">
        <f t="shared" si="8"/>
        <v/>
      </c>
      <c r="L120" s="106" t="str">
        <f t="shared" si="9"/>
        <v/>
      </c>
      <c r="M120" s="105" t="str">
        <f t="shared" si="10"/>
        <v/>
      </c>
      <c r="N120" s="144" t="str">
        <f t="shared" si="11"/>
        <v/>
      </c>
      <c r="O120" s="144" t="str">
        <f>IF(NOT(ISERROR(VLOOKUP(C120,Deflatores!G$42:H$64,2,FALSE))),VLOOKUP(C120,Deflatores!G$42:H$64,2,FALSE),IF(OR(ISBLANK(D120),ISBLANK(C120)),"",VLOOKUP(D120,Deflatores!G$4:H$38,2,FALSE)*K120+VLOOKUP(D120,Deflatores!G$4:I$38,3,FALSE)))</f>
        <v/>
      </c>
      <c r="P120" s="115"/>
      <c r="Q120" s="115"/>
      <c r="R120" s="115"/>
      <c r="S120" s="115"/>
      <c r="T120" s="168"/>
      <c r="U120" s="133"/>
    </row>
    <row r="121" spans="1:21" ht="12" customHeight="1" x14ac:dyDescent="0.2">
      <c r="A121" s="115"/>
      <c r="B121" s="115"/>
      <c r="C121" s="105"/>
      <c r="D121" s="105"/>
      <c r="E121" s="105"/>
      <c r="F121" s="105"/>
      <c r="G121" s="105"/>
      <c r="H121" s="105"/>
      <c r="I121" s="142" t="str">
        <f t="shared" si="6"/>
        <v/>
      </c>
      <c r="J121" s="105" t="str">
        <f t="shared" si="7"/>
        <v/>
      </c>
      <c r="K121" s="143" t="str">
        <f t="shared" si="8"/>
        <v/>
      </c>
      <c r="L121" s="106" t="str">
        <f t="shared" si="9"/>
        <v/>
      </c>
      <c r="M121" s="105" t="str">
        <f t="shared" si="10"/>
        <v/>
      </c>
      <c r="N121" s="144" t="str">
        <f t="shared" si="11"/>
        <v/>
      </c>
      <c r="O121" s="144" t="str">
        <f>IF(NOT(ISERROR(VLOOKUP(C121,Deflatores!G$42:H$64,2,FALSE))),VLOOKUP(C121,Deflatores!G$42:H$64,2,FALSE),IF(OR(ISBLANK(D121),ISBLANK(C121)),"",VLOOKUP(D121,Deflatores!G$4:H$38,2,FALSE)*K121+VLOOKUP(D121,Deflatores!G$4:I$38,3,FALSE)))</f>
        <v/>
      </c>
      <c r="P121" s="115"/>
      <c r="Q121" s="115"/>
      <c r="R121" s="115"/>
      <c r="S121" s="115"/>
      <c r="T121" s="168"/>
      <c r="U121" s="133"/>
    </row>
    <row r="122" spans="1:21" ht="12" customHeight="1" x14ac:dyDescent="0.2">
      <c r="A122" s="115"/>
      <c r="B122" s="115"/>
      <c r="C122" s="105"/>
      <c r="D122" s="105"/>
      <c r="E122" s="105"/>
      <c r="F122" s="105"/>
      <c r="G122" s="105"/>
      <c r="H122" s="105"/>
      <c r="I122" s="142" t="str">
        <f t="shared" si="6"/>
        <v/>
      </c>
      <c r="J122" s="105" t="str">
        <f t="shared" si="7"/>
        <v/>
      </c>
      <c r="K122" s="143" t="str">
        <f t="shared" si="8"/>
        <v/>
      </c>
      <c r="L122" s="106" t="str">
        <f t="shared" si="9"/>
        <v/>
      </c>
      <c r="M122" s="105" t="str">
        <f t="shared" si="10"/>
        <v/>
      </c>
      <c r="N122" s="144" t="str">
        <f t="shared" si="11"/>
        <v/>
      </c>
      <c r="O122" s="144" t="str">
        <f>IF(NOT(ISERROR(VLOOKUP(C122,Deflatores!G$42:H$64,2,FALSE))),VLOOKUP(C122,Deflatores!G$42:H$64,2,FALSE),IF(OR(ISBLANK(D122),ISBLANK(C122)),"",VLOOKUP(D122,Deflatores!G$4:H$38,2,FALSE)*K122+VLOOKUP(D122,Deflatores!G$4:I$38,3,FALSE)))</f>
        <v/>
      </c>
      <c r="P122" s="115"/>
      <c r="Q122" s="115"/>
      <c r="R122" s="115"/>
      <c r="S122" s="115"/>
      <c r="T122" s="168"/>
      <c r="U122" s="133"/>
    </row>
    <row r="123" spans="1:21" ht="12" customHeight="1" x14ac:dyDescent="0.2">
      <c r="A123" s="115"/>
      <c r="B123" s="115"/>
      <c r="C123" s="105"/>
      <c r="D123" s="105"/>
      <c r="E123" s="105"/>
      <c r="F123" s="105"/>
      <c r="G123" s="105"/>
      <c r="H123" s="105"/>
      <c r="I123" s="142" t="str">
        <f t="shared" si="6"/>
        <v/>
      </c>
      <c r="J123" s="105" t="str">
        <f t="shared" si="7"/>
        <v/>
      </c>
      <c r="K123" s="143" t="str">
        <f t="shared" si="8"/>
        <v/>
      </c>
      <c r="L123" s="106" t="str">
        <f t="shared" si="9"/>
        <v/>
      </c>
      <c r="M123" s="105" t="str">
        <f t="shared" si="10"/>
        <v/>
      </c>
      <c r="N123" s="144" t="str">
        <f t="shared" si="11"/>
        <v/>
      </c>
      <c r="O123" s="144" t="str">
        <f>IF(NOT(ISERROR(VLOOKUP(C123,Deflatores!G$42:H$64,2,FALSE))),VLOOKUP(C123,Deflatores!G$42:H$64,2,FALSE),IF(OR(ISBLANK(D123),ISBLANK(C123)),"",VLOOKUP(D123,Deflatores!G$4:H$38,2,FALSE)*K123+VLOOKUP(D123,Deflatores!G$4:I$38,3,FALSE)))</f>
        <v/>
      </c>
      <c r="P123" s="115"/>
      <c r="Q123" s="115"/>
      <c r="R123" s="115"/>
      <c r="S123" s="115"/>
      <c r="T123" s="168"/>
      <c r="U123" s="133"/>
    </row>
    <row r="124" spans="1:21" ht="12" customHeight="1" x14ac:dyDescent="0.2">
      <c r="A124" s="115"/>
      <c r="B124" s="115"/>
      <c r="C124" s="105"/>
      <c r="D124" s="105"/>
      <c r="E124" s="105"/>
      <c r="F124" s="105"/>
      <c r="G124" s="105"/>
      <c r="H124" s="105"/>
      <c r="I124" s="142" t="str">
        <f t="shared" si="6"/>
        <v/>
      </c>
      <c r="J124" s="105" t="str">
        <f t="shared" si="7"/>
        <v/>
      </c>
      <c r="K124" s="143" t="str">
        <f t="shared" si="8"/>
        <v/>
      </c>
      <c r="L124" s="106" t="str">
        <f t="shared" si="9"/>
        <v/>
      </c>
      <c r="M124" s="105" t="str">
        <f t="shared" si="10"/>
        <v/>
      </c>
      <c r="N124" s="144" t="str">
        <f t="shared" si="11"/>
        <v/>
      </c>
      <c r="O124" s="144" t="str">
        <f>IF(NOT(ISERROR(VLOOKUP(C124,Deflatores!G$42:H$64,2,FALSE))),VLOOKUP(C124,Deflatores!G$42:H$64,2,FALSE),IF(OR(ISBLANK(D124),ISBLANK(C124)),"",VLOOKUP(D124,Deflatores!G$4:H$38,2,FALSE)*K124+VLOOKUP(D124,Deflatores!G$4:I$38,3,FALSE)))</f>
        <v/>
      </c>
      <c r="P124" s="115"/>
      <c r="Q124" s="115"/>
      <c r="R124" s="115"/>
      <c r="S124" s="115"/>
      <c r="T124" s="168"/>
      <c r="U124" s="133"/>
    </row>
    <row r="125" spans="1:21" ht="12" customHeight="1" x14ac:dyDescent="0.2">
      <c r="A125" s="115"/>
      <c r="B125" s="115"/>
      <c r="C125" s="105"/>
      <c r="D125" s="105"/>
      <c r="E125" s="105"/>
      <c r="F125" s="105"/>
      <c r="G125" s="105"/>
      <c r="H125" s="105"/>
      <c r="I125" s="142" t="str">
        <f t="shared" si="6"/>
        <v/>
      </c>
      <c r="J125" s="105" t="str">
        <f t="shared" si="7"/>
        <v/>
      </c>
      <c r="K125" s="143" t="str">
        <f t="shared" si="8"/>
        <v/>
      </c>
      <c r="L125" s="106" t="str">
        <f t="shared" si="9"/>
        <v/>
      </c>
      <c r="M125" s="105" t="str">
        <f t="shared" si="10"/>
        <v/>
      </c>
      <c r="N125" s="144" t="str">
        <f t="shared" si="11"/>
        <v/>
      </c>
      <c r="O125" s="144" t="str">
        <f>IF(NOT(ISERROR(VLOOKUP(C125,Deflatores!G$42:H$64,2,FALSE))),VLOOKUP(C125,Deflatores!G$42:H$64,2,FALSE),IF(OR(ISBLANK(D125),ISBLANK(C125)),"",VLOOKUP(D125,Deflatores!G$4:H$38,2,FALSE)*K125+VLOOKUP(D125,Deflatores!G$4:I$38,3,FALSE)))</f>
        <v/>
      </c>
      <c r="P125" s="115"/>
      <c r="Q125" s="115"/>
      <c r="R125" s="115"/>
      <c r="S125" s="115"/>
      <c r="T125" s="168"/>
      <c r="U125" s="133"/>
    </row>
    <row r="126" spans="1:21" ht="12" customHeight="1" x14ac:dyDescent="0.2">
      <c r="A126" s="115"/>
      <c r="B126" s="115"/>
      <c r="C126" s="105"/>
      <c r="D126" s="105"/>
      <c r="E126" s="105"/>
      <c r="F126" s="105"/>
      <c r="G126" s="105"/>
      <c r="H126" s="105"/>
      <c r="I126" s="142" t="str">
        <f t="shared" si="6"/>
        <v/>
      </c>
      <c r="J126" s="105" t="str">
        <f t="shared" si="7"/>
        <v/>
      </c>
      <c r="K126" s="143" t="str">
        <f t="shared" si="8"/>
        <v/>
      </c>
      <c r="L126" s="106" t="str">
        <f t="shared" si="9"/>
        <v/>
      </c>
      <c r="M126" s="105" t="str">
        <f t="shared" si="10"/>
        <v/>
      </c>
      <c r="N126" s="144" t="str">
        <f t="shared" si="11"/>
        <v/>
      </c>
      <c r="O126" s="144" t="str">
        <f>IF(NOT(ISERROR(VLOOKUP(C126,Deflatores!G$42:H$64,2,FALSE))),VLOOKUP(C126,Deflatores!G$42:H$64,2,FALSE),IF(OR(ISBLANK(D126),ISBLANK(C126)),"",VLOOKUP(D126,Deflatores!G$4:H$38,2,FALSE)*K126+VLOOKUP(D126,Deflatores!G$4:I$38,3,FALSE)))</f>
        <v/>
      </c>
      <c r="P126" s="115"/>
      <c r="Q126" s="115"/>
      <c r="R126" s="115"/>
      <c r="S126" s="115"/>
      <c r="T126" s="168"/>
      <c r="U126" s="133"/>
    </row>
    <row r="127" spans="1:21" ht="12" customHeight="1" x14ac:dyDescent="0.2">
      <c r="A127" s="115"/>
      <c r="B127" s="115"/>
      <c r="C127" s="105"/>
      <c r="D127" s="105"/>
      <c r="E127" s="105"/>
      <c r="F127" s="105"/>
      <c r="G127" s="105"/>
      <c r="H127" s="105"/>
      <c r="I127" s="142" t="str">
        <f t="shared" si="6"/>
        <v/>
      </c>
      <c r="J127" s="105" t="str">
        <f t="shared" si="7"/>
        <v/>
      </c>
      <c r="K127" s="143" t="str">
        <f t="shared" si="8"/>
        <v/>
      </c>
      <c r="L127" s="106" t="str">
        <f t="shared" si="9"/>
        <v/>
      </c>
      <c r="M127" s="105" t="str">
        <f t="shared" si="10"/>
        <v/>
      </c>
      <c r="N127" s="144" t="str">
        <f t="shared" si="11"/>
        <v/>
      </c>
      <c r="O127" s="144" t="str">
        <f>IF(NOT(ISERROR(VLOOKUP(C127,Deflatores!G$42:H$64,2,FALSE))),VLOOKUP(C127,Deflatores!G$42:H$64,2,FALSE),IF(OR(ISBLANK(D127),ISBLANK(C127)),"",VLOOKUP(D127,Deflatores!G$4:H$38,2,FALSE)*K127+VLOOKUP(D127,Deflatores!G$4:I$38,3,FALSE)))</f>
        <v/>
      </c>
      <c r="P127" s="115"/>
      <c r="Q127" s="115"/>
      <c r="R127" s="115"/>
      <c r="S127" s="115"/>
      <c r="T127" s="168"/>
      <c r="U127" s="133"/>
    </row>
    <row r="128" spans="1:21" ht="12" customHeight="1" x14ac:dyDescent="0.2">
      <c r="A128" s="115"/>
      <c r="B128" s="115"/>
      <c r="C128" s="105"/>
      <c r="D128" s="105"/>
      <c r="E128" s="105"/>
      <c r="F128" s="105"/>
      <c r="G128" s="105"/>
      <c r="H128" s="105"/>
      <c r="I128" s="142" t="str">
        <f t="shared" si="6"/>
        <v/>
      </c>
      <c r="J128" s="105" t="str">
        <f t="shared" si="7"/>
        <v/>
      </c>
      <c r="K128" s="143" t="str">
        <f t="shared" si="8"/>
        <v/>
      </c>
      <c r="L128" s="106" t="str">
        <f t="shared" si="9"/>
        <v/>
      </c>
      <c r="M128" s="105" t="str">
        <f t="shared" si="10"/>
        <v/>
      </c>
      <c r="N128" s="144" t="str">
        <f t="shared" si="11"/>
        <v/>
      </c>
      <c r="O128" s="144" t="str">
        <f>IF(NOT(ISERROR(VLOOKUP(C128,Deflatores!G$42:H$64,2,FALSE))),VLOOKUP(C128,Deflatores!G$42:H$64,2,FALSE),IF(OR(ISBLANK(D128),ISBLANK(C128)),"",VLOOKUP(D128,Deflatores!G$4:H$38,2,FALSE)*K128+VLOOKUP(D128,Deflatores!G$4:I$38,3,FALSE)))</f>
        <v/>
      </c>
      <c r="P128" s="115"/>
      <c r="Q128" s="115"/>
      <c r="R128" s="115"/>
      <c r="S128" s="115"/>
      <c r="T128" s="168"/>
      <c r="U128" s="133"/>
    </row>
    <row r="129" spans="1:21" ht="12" customHeight="1" x14ac:dyDescent="0.2">
      <c r="A129" s="115"/>
      <c r="B129" s="115"/>
      <c r="C129" s="105"/>
      <c r="D129" s="105"/>
      <c r="E129" s="105"/>
      <c r="F129" s="105"/>
      <c r="G129" s="105"/>
      <c r="H129" s="105"/>
      <c r="I129" s="142" t="str">
        <f t="shared" si="6"/>
        <v/>
      </c>
      <c r="J129" s="105" t="str">
        <f t="shared" si="7"/>
        <v/>
      </c>
      <c r="K129" s="143" t="str">
        <f t="shared" si="8"/>
        <v/>
      </c>
      <c r="L129" s="106" t="str">
        <f t="shared" si="9"/>
        <v/>
      </c>
      <c r="M129" s="105" t="str">
        <f t="shared" si="10"/>
        <v/>
      </c>
      <c r="N129" s="144" t="str">
        <f t="shared" si="11"/>
        <v/>
      </c>
      <c r="O129" s="144" t="str">
        <f>IF(NOT(ISERROR(VLOOKUP(C129,Deflatores!G$42:H$64,2,FALSE))),VLOOKUP(C129,Deflatores!G$42:H$64,2,FALSE),IF(OR(ISBLANK(D129),ISBLANK(C129)),"",VLOOKUP(D129,Deflatores!G$4:H$38,2,FALSE)*K129+VLOOKUP(D129,Deflatores!G$4:I$38,3,FALSE)))</f>
        <v/>
      </c>
      <c r="P129" s="115"/>
      <c r="Q129" s="115"/>
      <c r="R129" s="115"/>
      <c r="S129" s="115"/>
      <c r="T129" s="168"/>
      <c r="U129" s="133"/>
    </row>
    <row r="130" spans="1:21" ht="12" customHeight="1" x14ac:dyDescent="0.2">
      <c r="A130" s="115"/>
      <c r="B130" s="115"/>
      <c r="C130" s="105"/>
      <c r="D130" s="105"/>
      <c r="E130" s="105"/>
      <c r="F130" s="105"/>
      <c r="G130" s="105"/>
      <c r="H130" s="105"/>
      <c r="I130" s="142" t="str">
        <f t="shared" si="6"/>
        <v/>
      </c>
      <c r="J130" s="105" t="str">
        <f t="shared" si="7"/>
        <v/>
      </c>
      <c r="K130" s="143" t="str">
        <f t="shared" si="8"/>
        <v/>
      </c>
      <c r="L130" s="106" t="str">
        <f t="shared" si="9"/>
        <v/>
      </c>
      <c r="M130" s="105" t="str">
        <f t="shared" si="10"/>
        <v/>
      </c>
      <c r="N130" s="144" t="str">
        <f t="shared" si="11"/>
        <v/>
      </c>
      <c r="O130" s="144" t="str">
        <f>IF(NOT(ISERROR(VLOOKUP(C130,Deflatores!G$42:H$64,2,FALSE))),VLOOKUP(C130,Deflatores!G$42:H$64,2,FALSE),IF(OR(ISBLANK(D130),ISBLANK(C130)),"",VLOOKUP(D130,Deflatores!G$4:H$38,2,FALSE)*K130+VLOOKUP(D130,Deflatores!G$4:I$38,3,FALSE)))</f>
        <v/>
      </c>
      <c r="P130" s="115"/>
      <c r="Q130" s="115"/>
      <c r="R130" s="115"/>
      <c r="S130" s="115"/>
      <c r="T130" s="168"/>
      <c r="U130" s="133"/>
    </row>
    <row r="131" spans="1:21" ht="12" customHeight="1" x14ac:dyDescent="0.2">
      <c r="A131" s="115"/>
      <c r="B131" s="115"/>
      <c r="C131" s="105"/>
      <c r="D131" s="105"/>
      <c r="E131" s="105"/>
      <c r="F131" s="105"/>
      <c r="G131" s="105"/>
      <c r="H131" s="105"/>
      <c r="I131" s="142" t="str">
        <f t="shared" si="6"/>
        <v/>
      </c>
      <c r="J131" s="105" t="str">
        <f t="shared" si="7"/>
        <v/>
      </c>
      <c r="K131" s="143" t="str">
        <f t="shared" si="8"/>
        <v/>
      </c>
      <c r="L131" s="106" t="str">
        <f t="shared" si="9"/>
        <v/>
      </c>
      <c r="M131" s="105" t="str">
        <f t="shared" si="10"/>
        <v/>
      </c>
      <c r="N131" s="144" t="str">
        <f t="shared" si="11"/>
        <v/>
      </c>
      <c r="O131" s="144" t="str">
        <f>IF(NOT(ISERROR(VLOOKUP(C131,Deflatores!G$42:H$64,2,FALSE))),VLOOKUP(C131,Deflatores!G$42:H$64,2,FALSE),IF(OR(ISBLANK(D131),ISBLANK(C131)),"",VLOOKUP(D131,Deflatores!G$4:H$38,2,FALSE)*K131+VLOOKUP(D131,Deflatores!G$4:I$38,3,FALSE)))</f>
        <v/>
      </c>
      <c r="P131" s="115"/>
      <c r="Q131" s="115"/>
      <c r="R131" s="115"/>
      <c r="S131" s="115"/>
      <c r="T131" s="168"/>
      <c r="U131" s="133"/>
    </row>
    <row r="132" spans="1:21" ht="12" customHeight="1" x14ac:dyDescent="0.2">
      <c r="A132" s="115"/>
      <c r="B132" s="115"/>
      <c r="C132" s="105"/>
      <c r="D132" s="105"/>
      <c r="E132" s="105"/>
      <c r="F132" s="105"/>
      <c r="G132" s="105"/>
      <c r="H132" s="105"/>
      <c r="I132" s="142" t="str">
        <f t="shared" si="6"/>
        <v/>
      </c>
      <c r="J132" s="105" t="str">
        <f t="shared" si="7"/>
        <v/>
      </c>
      <c r="K132" s="143" t="str">
        <f t="shared" si="8"/>
        <v/>
      </c>
      <c r="L132" s="106" t="str">
        <f t="shared" si="9"/>
        <v/>
      </c>
      <c r="M132" s="105" t="str">
        <f t="shared" si="10"/>
        <v/>
      </c>
      <c r="N132" s="144" t="str">
        <f t="shared" si="11"/>
        <v/>
      </c>
      <c r="O132" s="144" t="str">
        <f>IF(NOT(ISERROR(VLOOKUP(C132,Deflatores!G$42:H$64,2,FALSE))),VLOOKUP(C132,Deflatores!G$42:H$64,2,FALSE),IF(OR(ISBLANK(D132),ISBLANK(C132)),"",VLOOKUP(D132,Deflatores!G$4:H$38,2,FALSE)*K132+VLOOKUP(D132,Deflatores!G$4:I$38,3,FALSE)))</f>
        <v/>
      </c>
      <c r="P132" s="115"/>
      <c r="Q132" s="115"/>
      <c r="R132" s="115"/>
      <c r="S132" s="115"/>
      <c r="T132" s="168"/>
      <c r="U132" s="133"/>
    </row>
    <row r="133" spans="1:21" ht="12" customHeight="1" x14ac:dyDescent="0.2">
      <c r="A133" s="115"/>
      <c r="B133" s="115"/>
      <c r="C133" s="105"/>
      <c r="D133" s="105"/>
      <c r="E133" s="105"/>
      <c r="F133" s="105"/>
      <c r="G133" s="105"/>
      <c r="H133" s="105"/>
      <c r="I133" s="142" t="str">
        <f t="shared" si="6"/>
        <v/>
      </c>
      <c r="J133" s="105" t="str">
        <f t="shared" si="7"/>
        <v/>
      </c>
      <c r="K133" s="143" t="str">
        <f t="shared" si="8"/>
        <v/>
      </c>
      <c r="L133" s="106" t="str">
        <f t="shared" si="9"/>
        <v/>
      </c>
      <c r="M133" s="105" t="str">
        <f t="shared" si="10"/>
        <v/>
      </c>
      <c r="N133" s="144" t="str">
        <f t="shared" si="11"/>
        <v/>
      </c>
      <c r="O133" s="144" t="str">
        <f>IF(NOT(ISERROR(VLOOKUP(C133,Deflatores!G$42:H$64,2,FALSE))),VLOOKUP(C133,Deflatores!G$42:H$64,2,FALSE),IF(OR(ISBLANK(D133),ISBLANK(C133)),"",VLOOKUP(D133,Deflatores!G$4:H$38,2,FALSE)*K133+VLOOKUP(D133,Deflatores!G$4:I$38,3,FALSE)))</f>
        <v/>
      </c>
      <c r="P133" s="115"/>
      <c r="Q133" s="115"/>
      <c r="R133" s="115"/>
      <c r="S133" s="115"/>
      <c r="T133" s="168"/>
      <c r="U133" s="133"/>
    </row>
    <row r="134" spans="1:21" ht="12" customHeight="1" x14ac:dyDescent="0.2">
      <c r="A134" s="115"/>
      <c r="B134" s="115"/>
      <c r="C134" s="105"/>
      <c r="D134" s="105"/>
      <c r="E134" s="105"/>
      <c r="F134" s="105"/>
      <c r="G134" s="105"/>
      <c r="H134" s="105"/>
      <c r="I134" s="142" t="str">
        <f t="shared" si="6"/>
        <v/>
      </c>
      <c r="J134" s="105" t="str">
        <f t="shared" si="7"/>
        <v/>
      </c>
      <c r="K134" s="143" t="str">
        <f t="shared" si="8"/>
        <v/>
      </c>
      <c r="L134" s="106" t="str">
        <f t="shared" si="9"/>
        <v/>
      </c>
      <c r="M134" s="105" t="str">
        <f t="shared" si="10"/>
        <v/>
      </c>
      <c r="N134" s="144" t="str">
        <f t="shared" si="11"/>
        <v/>
      </c>
      <c r="O134" s="144" t="str">
        <f>IF(NOT(ISERROR(VLOOKUP(C134,Deflatores!G$42:H$64,2,FALSE))),VLOOKUP(C134,Deflatores!G$42:H$64,2,FALSE),IF(OR(ISBLANK(D134),ISBLANK(C134)),"",VLOOKUP(D134,Deflatores!G$4:H$38,2,FALSE)*K134+VLOOKUP(D134,Deflatores!G$4:I$38,3,FALSE)))</f>
        <v/>
      </c>
      <c r="P134" s="115"/>
      <c r="Q134" s="115"/>
      <c r="R134" s="115"/>
      <c r="S134" s="115"/>
      <c r="T134" s="168"/>
      <c r="U134" s="133"/>
    </row>
    <row r="135" spans="1:21" ht="12" customHeight="1" x14ac:dyDescent="0.2">
      <c r="A135" s="115"/>
      <c r="B135" s="115"/>
      <c r="C135" s="105"/>
      <c r="D135" s="105"/>
      <c r="E135" s="105"/>
      <c r="F135" s="105"/>
      <c r="G135" s="105"/>
      <c r="H135" s="105"/>
      <c r="I135" s="142" t="str">
        <f t="shared" si="6"/>
        <v/>
      </c>
      <c r="J135" s="105" t="str">
        <f t="shared" si="7"/>
        <v/>
      </c>
      <c r="K135" s="143" t="str">
        <f t="shared" si="8"/>
        <v/>
      </c>
      <c r="L135" s="106" t="str">
        <f t="shared" si="9"/>
        <v/>
      </c>
      <c r="M135" s="105" t="str">
        <f t="shared" si="10"/>
        <v/>
      </c>
      <c r="N135" s="144" t="str">
        <f t="shared" si="11"/>
        <v/>
      </c>
      <c r="O135" s="144" t="str">
        <f>IF(NOT(ISERROR(VLOOKUP(C135,Deflatores!G$42:H$64,2,FALSE))),VLOOKUP(C135,Deflatores!G$42:H$64,2,FALSE),IF(OR(ISBLANK(D135),ISBLANK(C135)),"",VLOOKUP(D135,Deflatores!G$4:H$38,2,FALSE)*K135+VLOOKUP(D135,Deflatores!G$4:I$38,3,FALSE)))</f>
        <v/>
      </c>
      <c r="P135" s="115"/>
      <c r="Q135" s="115"/>
      <c r="R135" s="115"/>
      <c r="S135" s="115"/>
      <c r="T135" s="168"/>
      <c r="U135" s="133"/>
    </row>
    <row r="136" spans="1:21" ht="12" customHeight="1" x14ac:dyDescent="0.2">
      <c r="A136" s="115"/>
      <c r="B136" s="115"/>
      <c r="C136" s="105"/>
      <c r="D136" s="105"/>
      <c r="E136" s="105"/>
      <c r="F136" s="105"/>
      <c r="G136" s="105"/>
      <c r="H136" s="105"/>
      <c r="I136" s="142" t="str">
        <f t="shared" si="6"/>
        <v/>
      </c>
      <c r="J136" s="105" t="str">
        <f t="shared" si="7"/>
        <v/>
      </c>
      <c r="K136" s="143" t="str">
        <f t="shared" si="8"/>
        <v/>
      </c>
      <c r="L136" s="106" t="str">
        <f t="shared" si="9"/>
        <v/>
      </c>
      <c r="M136" s="105" t="str">
        <f t="shared" si="10"/>
        <v/>
      </c>
      <c r="N136" s="144" t="str">
        <f t="shared" si="11"/>
        <v/>
      </c>
      <c r="O136" s="144" t="str">
        <f>IF(NOT(ISERROR(VLOOKUP(C136,Deflatores!G$42:H$64,2,FALSE))),VLOOKUP(C136,Deflatores!G$42:H$64,2,FALSE),IF(OR(ISBLANK(D136),ISBLANK(C136)),"",VLOOKUP(D136,Deflatores!G$4:H$38,2,FALSE)*K136+VLOOKUP(D136,Deflatores!G$4:I$38,3,FALSE)))</f>
        <v/>
      </c>
      <c r="P136" s="115"/>
      <c r="Q136" s="115"/>
      <c r="R136" s="115"/>
      <c r="S136" s="115"/>
      <c r="T136" s="168"/>
      <c r="U136" s="133"/>
    </row>
    <row r="137" spans="1:21" ht="12" customHeight="1" x14ac:dyDescent="0.2">
      <c r="A137" s="115"/>
      <c r="B137" s="115"/>
      <c r="C137" s="105"/>
      <c r="D137" s="105"/>
      <c r="E137" s="105"/>
      <c r="F137" s="105"/>
      <c r="G137" s="105"/>
      <c r="H137" s="105"/>
      <c r="I137" s="142" t="str">
        <f t="shared" si="6"/>
        <v/>
      </c>
      <c r="J137" s="105" t="str">
        <f t="shared" si="7"/>
        <v/>
      </c>
      <c r="K137" s="143" t="str">
        <f t="shared" si="8"/>
        <v/>
      </c>
      <c r="L137" s="106" t="str">
        <f t="shared" si="9"/>
        <v/>
      </c>
      <c r="M137" s="105" t="str">
        <f t="shared" si="10"/>
        <v/>
      </c>
      <c r="N137" s="144" t="str">
        <f t="shared" si="11"/>
        <v/>
      </c>
      <c r="O137" s="144" t="str">
        <f>IF(NOT(ISERROR(VLOOKUP(C137,Deflatores!G$42:H$64,2,FALSE))),VLOOKUP(C137,Deflatores!G$42:H$64,2,FALSE),IF(OR(ISBLANK(D137),ISBLANK(C137)),"",VLOOKUP(D137,Deflatores!G$4:H$38,2,FALSE)*K137+VLOOKUP(D137,Deflatores!G$4:I$38,3,FALSE)))</f>
        <v/>
      </c>
      <c r="P137" s="115"/>
      <c r="Q137" s="115"/>
      <c r="R137" s="115"/>
      <c r="S137" s="115"/>
      <c r="T137" s="168"/>
      <c r="U137" s="133"/>
    </row>
    <row r="138" spans="1:21" ht="12" customHeight="1" x14ac:dyDescent="0.2">
      <c r="A138" s="115"/>
      <c r="B138" s="115"/>
      <c r="C138" s="105"/>
      <c r="D138" s="105"/>
      <c r="E138" s="105"/>
      <c r="F138" s="105"/>
      <c r="G138" s="105"/>
      <c r="H138" s="105"/>
      <c r="I138" s="142" t="str">
        <f t="shared" si="6"/>
        <v/>
      </c>
      <c r="J138" s="105" t="str">
        <f t="shared" si="7"/>
        <v/>
      </c>
      <c r="K138" s="143" t="str">
        <f t="shared" si="8"/>
        <v/>
      </c>
      <c r="L138" s="106" t="str">
        <f t="shared" si="9"/>
        <v/>
      </c>
      <c r="M138" s="105" t="str">
        <f t="shared" si="10"/>
        <v/>
      </c>
      <c r="N138" s="144" t="str">
        <f t="shared" si="11"/>
        <v/>
      </c>
      <c r="O138" s="144" t="str">
        <f>IF(NOT(ISERROR(VLOOKUP(C138,Deflatores!G$42:H$64,2,FALSE))),VLOOKUP(C138,Deflatores!G$42:H$64,2,FALSE),IF(OR(ISBLANK(D138),ISBLANK(C138)),"",VLOOKUP(D138,Deflatores!G$4:H$38,2,FALSE)*K138+VLOOKUP(D138,Deflatores!G$4:I$38,3,FALSE)))</f>
        <v/>
      </c>
      <c r="P138" s="115"/>
      <c r="Q138" s="115"/>
      <c r="R138" s="115"/>
      <c r="S138" s="115"/>
      <c r="T138" s="168"/>
      <c r="U138" s="133"/>
    </row>
    <row r="139" spans="1:21" ht="12" customHeight="1" x14ac:dyDescent="0.2">
      <c r="A139" s="115"/>
      <c r="B139" s="115"/>
      <c r="C139" s="105"/>
      <c r="D139" s="105"/>
      <c r="E139" s="105"/>
      <c r="F139" s="105"/>
      <c r="G139" s="105"/>
      <c r="H139" s="105"/>
      <c r="I139" s="142" t="str">
        <f t="shared" si="6"/>
        <v/>
      </c>
      <c r="J139" s="105" t="str">
        <f t="shared" si="7"/>
        <v/>
      </c>
      <c r="K139" s="143" t="str">
        <f t="shared" si="8"/>
        <v/>
      </c>
      <c r="L139" s="106" t="str">
        <f t="shared" si="9"/>
        <v/>
      </c>
      <c r="M139" s="105" t="str">
        <f t="shared" si="10"/>
        <v/>
      </c>
      <c r="N139" s="144" t="str">
        <f t="shared" si="11"/>
        <v/>
      </c>
      <c r="O139" s="144" t="str">
        <f>IF(NOT(ISERROR(VLOOKUP(C139,Deflatores!G$42:H$64,2,FALSE))),VLOOKUP(C139,Deflatores!G$42:H$64,2,FALSE),IF(OR(ISBLANK(D139),ISBLANK(C139)),"",VLOOKUP(D139,Deflatores!G$4:H$38,2,FALSE)*K139+VLOOKUP(D139,Deflatores!G$4:I$38,3,FALSE)))</f>
        <v/>
      </c>
      <c r="P139" s="115"/>
      <c r="Q139" s="115"/>
      <c r="R139" s="115"/>
      <c r="S139" s="115"/>
      <c r="T139" s="168"/>
      <c r="U139" s="133"/>
    </row>
    <row r="140" spans="1:21" ht="12" customHeight="1" x14ac:dyDescent="0.2">
      <c r="A140" s="115"/>
      <c r="B140" s="115"/>
      <c r="C140" s="105"/>
      <c r="D140" s="105"/>
      <c r="E140" s="105"/>
      <c r="F140" s="105"/>
      <c r="G140" s="105"/>
      <c r="H140" s="105"/>
      <c r="I140" s="142" t="str">
        <f t="shared" si="6"/>
        <v/>
      </c>
      <c r="J140" s="105" t="str">
        <f t="shared" si="7"/>
        <v/>
      </c>
      <c r="K140" s="143" t="str">
        <f t="shared" si="8"/>
        <v/>
      </c>
      <c r="L140" s="106" t="str">
        <f t="shared" si="9"/>
        <v/>
      </c>
      <c r="M140" s="105" t="str">
        <f t="shared" si="10"/>
        <v/>
      </c>
      <c r="N140" s="144" t="str">
        <f t="shared" si="11"/>
        <v/>
      </c>
      <c r="O140" s="144" t="str">
        <f>IF(NOT(ISERROR(VLOOKUP(C140,Deflatores!G$42:H$64,2,FALSE))),VLOOKUP(C140,Deflatores!G$42:H$64,2,FALSE),IF(OR(ISBLANK(D140),ISBLANK(C140)),"",VLOOKUP(D140,Deflatores!G$4:H$38,2,FALSE)*K140+VLOOKUP(D140,Deflatores!G$4:I$38,3,FALSE)))</f>
        <v/>
      </c>
      <c r="P140" s="115"/>
      <c r="Q140" s="115"/>
      <c r="R140" s="115"/>
      <c r="S140" s="115"/>
      <c r="T140" s="168"/>
      <c r="U140" s="133"/>
    </row>
    <row r="141" spans="1:21" ht="12" customHeight="1" x14ac:dyDescent="0.2">
      <c r="A141" s="115"/>
      <c r="B141" s="115"/>
      <c r="C141" s="105"/>
      <c r="D141" s="105"/>
      <c r="E141" s="105"/>
      <c r="F141" s="105"/>
      <c r="G141" s="105"/>
      <c r="H141" s="105"/>
      <c r="I141" s="142" t="str">
        <f t="shared" si="6"/>
        <v/>
      </c>
      <c r="J141" s="105" t="str">
        <f t="shared" si="7"/>
        <v/>
      </c>
      <c r="K141" s="143" t="str">
        <f t="shared" si="8"/>
        <v/>
      </c>
      <c r="L141" s="106" t="str">
        <f t="shared" si="9"/>
        <v/>
      </c>
      <c r="M141" s="105" t="str">
        <f t="shared" si="10"/>
        <v/>
      </c>
      <c r="N141" s="144" t="str">
        <f t="shared" si="11"/>
        <v/>
      </c>
      <c r="O141" s="144" t="str">
        <f>IF(NOT(ISERROR(VLOOKUP(C141,Deflatores!G$42:H$64,2,FALSE))),VLOOKUP(C141,Deflatores!G$42:H$64,2,FALSE),IF(OR(ISBLANK(D141),ISBLANK(C141)),"",VLOOKUP(D141,Deflatores!G$4:H$38,2,FALSE)*K141+VLOOKUP(D141,Deflatores!G$4:I$38,3,FALSE)))</f>
        <v/>
      </c>
      <c r="P141" s="115"/>
      <c r="Q141" s="115"/>
      <c r="R141" s="115"/>
      <c r="S141" s="115"/>
      <c r="T141" s="168"/>
      <c r="U141" s="133"/>
    </row>
    <row r="142" spans="1:21" ht="12" customHeight="1" x14ac:dyDescent="0.2">
      <c r="A142" s="115"/>
      <c r="B142" s="115"/>
      <c r="C142" s="105"/>
      <c r="D142" s="105"/>
      <c r="E142" s="105"/>
      <c r="F142" s="105"/>
      <c r="G142" s="105"/>
      <c r="H142" s="105"/>
      <c r="I142" s="142" t="str">
        <f t="shared" ref="I142:I205" si="12">IF(ISBLANK(C142),"",IF(L142="L","Baixa",IF(L142="A","Média",IF(L142="","","Alta"))))</f>
        <v/>
      </c>
      <c r="J142" s="105" t="str">
        <f t="shared" ref="J142:J205" si="13">CONCATENATE(C142,L142)</f>
        <v/>
      </c>
      <c r="K142" s="143" t="str">
        <f t="shared" ref="K142:K205" si="14">IF(ISBLANK(C142),"",IF(C142="ALI",IF(L142="L",7,IF(L142="A",10,15)),IF(C142="AIE",IF(L142="L",5,IF(L142="A",7,10)),IF(C142="SE",IF(L142="L",4,IF(L142="A",5,7)),IF(OR(C142="EE",C142="CE"),IF(L142="L",3,IF(L142="A",4,6)),0)))))</f>
        <v/>
      </c>
      <c r="L142" s="106" t="str">
        <f t="shared" ref="L142:L205" si="15">IF(OR(ISBLANK(E142),ISBLANK(G142)),IF(OR(C142="ALI",C142="AIE"),"L",IF(OR(C142="EE",C142="SE",C142="CE"),"A","")),IF(C142="EE",IF(G142&gt;=3,IF(E142&gt;=5,"H","A"),IF(G142&gt;=2,IF(E142&gt;=16,"H",IF(E142&lt;=4,"L","A")),IF(E142&lt;=15,"L","A"))),IF(OR(C142="SE",C142="CE"),IF(G142&gt;=4,IF(E142&gt;=6,"H","A"),IF(G142&gt;=2,IF(E142&gt;=20,"H",IF(E142&lt;=5,"L","A")),IF(E142&lt;=19,"L","A"))),IF(OR(C142="ALI",C142="AIE"),IF(G142&gt;=6,IF(E142&gt;=20,"H","A"),IF(G142&gt;=2,IF(E142&gt;=51,"H",IF(E142&lt;=19,"L","A")),IF(E142&lt;=50,"L","A"))),""))))</f>
        <v/>
      </c>
      <c r="M142" s="105" t="str">
        <f t="shared" ref="M142:M205" si="16">CONCATENATE(C142,D142)</f>
        <v/>
      </c>
      <c r="N142" s="144" t="str">
        <f t="shared" ref="N142:N205" si="17">IF(OR(K142="",K142=0),O142,K142)</f>
        <v/>
      </c>
      <c r="O142" s="144" t="str">
        <f>IF(NOT(ISERROR(VLOOKUP(C142,Deflatores!G$42:H$64,2,FALSE))),VLOOKUP(C142,Deflatores!G$42:H$64,2,FALSE),IF(OR(ISBLANK(D142),ISBLANK(C142)),"",VLOOKUP(D142,Deflatores!G$4:H$38,2,FALSE)*K142+VLOOKUP(D142,Deflatores!G$4:I$38,3,FALSE)))</f>
        <v/>
      </c>
      <c r="P142" s="115"/>
      <c r="Q142" s="115"/>
      <c r="R142" s="115"/>
      <c r="S142" s="115"/>
      <c r="T142" s="168"/>
      <c r="U142" s="133"/>
    </row>
    <row r="143" spans="1:21" ht="12" customHeight="1" x14ac:dyDescent="0.2">
      <c r="A143" s="115"/>
      <c r="B143" s="115"/>
      <c r="C143" s="105"/>
      <c r="D143" s="105"/>
      <c r="E143" s="105"/>
      <c r="F143" s="105"/>
      <c r="G143" s="105"/>
      <c r="H143" s="105"/>
      <c r="I143" s="142" t="str">
        <f t="shared" si="12"/>
        <v/>
      </c>
      <c r="J143" s="105" t="str">
        <f t="shared" si="13"/>
        <v/>
      </c>
      <c r="K143" s="143" t="str">
        <f t="shared" si="14"/>
        <v/>
      </c>
      <c r="L143" s="106" t="str">
        <f t="shared" si="15"/>
        <v/>
      </c>
      <c r="M143" s="105" t="str">
        <f t="shared" si="16"/>
        <v/>
      </c>
      <c r="N143" s="144" t="str">
        <f t="shared" si="17"/>
        <v/>
      </c>
      <c r="O143" s="144" t="str">
        <f>IF(NOT(ISERROR(VLOOKUP(C143,Deflatores!G$42:H$64,2,FALSE))),VLOOKUP(C143,Deflatores!G$42:H$64,2,FALSE),IF(OR(ISBLANK(D143),ISBLANK(C143)),"",VLOOKUP(D143,Deflatores!G$4:H$38,2,FALSE)*K143+VLOOKUP(D143,Deflatores!G$4:I$38,3,FALSE)))</f>
        <v/>
      </c>
      <c r="P143" s="115"/>
      <c r="Q143" s="115"/>
      <c r="R143" s="115"/>
      <c r="S143" s="115"/>
      <c r="T143" s="168"/>
      <c r="U143" s="133"/>
    </row>
    <row r="144" spans="1:21" ht="12" customHeight="1" x14ac:dyDescent="0.2">
      <c r="A144" s="115"/>
      <c r="B144" s="115"/>
      <c r="C144" s="105"/>
      <c r="D144" s="105"/>
      <c r="E144" s="105"/>
      <c r="F144" s="105"/>
      <c r="G144" s="105"/>
      <c r="H144" s="105"/>
      <c r="I144" s="142" t="str">
        <f t="shared" si="12"/>
        <v/>
      </c>
      <c r="J144" s="105" t="str">
        <f t="shared" si="13"/>
        <v/>
      </c>
      <c r="K144" s="143" t="str">
        <f t="shared" si="14"/>
        <v/>
      </c>
      <c r="L144" s="106" t="str">
        <f t="shared" si="15"/>
        <v/>
      </c>
      <c r="M144" s="105" t="str">
        <f t="shared" si="16"/>
        <v/>
      </c>
      <c r="N144" s="144" t="str">
        <f t="shared" si="17"/>
        <v/>
      </c>
      <c r="O144" s="144" t="str">
        <f>IF(NOT(ISERROR(VLOOKUP(C144,Deflatores!G$42:H$64,2,FALSE))),VLOOKUP(C144,Deflatores!G$42:H$64,2,FALSE),IF(OR(ISBLANK(D144),ISBLANK(C144)),"",VLOOKUP(D144,Deflatores!G$4:H$38,2,FALSE)*K144+VLOOKUP(D144,Deflatores!G$4:I$38,3,FALSE)))</f>
        <v/>
      </c>
      <c r="P144" s="115"/>
      <c r="Q144" s="115"/>
      <c r="R144" s="115"/>
      <c r="S144" s="115"/>
      <c r="T144" s="168"/>
      <c r="U144" s="133"/>
    </row>
    <row r="145" spans="1:21" ht="12" customHeight="1" x14ac:dyDescent="0.2">
      <c r="A145" s="115"/>
      <c r="B145" s="115"/>
      <c r="C145" s="105"/>
      <c r="D145" s="105"/>
      <c r="E145" s="105"/>
      <c r="F145" s="105"/>
      <c r="G145" s="105"/>
      <c r="H145" s="105"/>
      <c r="I145" s="142" t="str">
        <f t="shared" si="12"/>
        <v/>
      </c>
      <c r="J145" s="105" t="str">
        <f t="shared" si="13"/>
        <v/>
      </c>
      <c r="K145" s="143" t="str">
        <f t="shared" si="14"/>
        <v/>
      </c>
      <c r="L145" s="106" t="str">
        <f t="shared" si="15"/>
        <v/>
      </c>
      <c r="M145" s="105" t="str">
        <f t="shared" si="16"/>
        <v/>
      </c>
      <c r="N145" s="144" t="str">
        <f t="shared" si="17"/>
        <v/>
      </c>
      <c r="O145" s="144" t="str">
        <f>IF(NOT(ISERROR(VLOOKUP(C145,Deflatores!G$42:H$64,2,FALSE))),VLOOKUP(C145,Deflatores!G$42:H$64,2,FALSE),IF(OR(ISBLANK(D145),ISBLANK(C145)),"",VLOOKUP(D145,Deflatores!G$4:H$38,2,FALSE)*K145+VLOOKUP(D145,Deflatores!G$4:I$38,3,FALSE)))</f>
        <v/>
      </c>
      <c r="P145" s="115"/>
      <c r="Q145" s="115"/>
      <c r="R145" s="115"/>
      <c r="S145" s="115"/>
      <c r="T145" s="168"/>
      <c r="U145" s="133"/>
    </row>
    <row r="146" spans="1:21" ht="12" customHeight="1" x14ac:dyDescent="0.2">
      <c r="A146" s="115"/>
      <c r="B146" s="115"/>
      <c r="C146" s="105"/>
      <c r="D146" s="105"/>
      <c r="E146" s="105"/>
      <c r="F146" s="105"/>
      <c r="G146" s="105"/>
      <c r="H146" s="105"/>
      <c r="I146" s="142" t="str">
        <f t="shared" si="12"/>
        <v/>
      </c>
      <c r="J146" s="105" t="str">
        <f t="shared" si="13"/>
        <v/>
      </c>
      <c r="K146" s="143" t="str">
        <f t="shared" si="14"/>
        <v/>
      </c>
      <c r="L146" s="106" t="str">
        <f t="shared" si="15"/>
        <v/>
      </c>
      <c r="M146" s="105" t="str">
        <f t="shared" si="16"/>
        <v/>
      </c>
      <c r="N146" s="144" t="str">
        <f t="shared" si="17"/>
        <v/>
      </c>
      <c r="O146" s="144" t="str">
        <f>IF(NOT(ISERROR(VLOOKUP(C146,Deflatores!G$42:H$64,2,FALSE))),VLOOKUP(C146,Deflatores!G$42:H$64,2,FALSE),IF(OR(ISBLANK(D146),ISBLANK(C146)),"",VLOOKUP(D146,Deflatores!G$4:H$38,2,FALSE)*K146+VLOOKUP(D146,Deflatores!G$4:I$38,3,FALSE)))</f>
        <v/>
      </c>
      <c r="P146" s="115"/>
      <c r="Q146" s="115"/>
      <c r="R146" s="115"/>
      <c r="S146" s="115"/>
      <c r="T146" s="168"/>
      <c r="U146" s="133"/>
    </row>
    <row r="147" spans="1:21" ht="12" customHeight="1" x14ac:dyDescent="0.2">
      <c r="A147" s="115"/>
      <c r="B147" s="115"/>
      <c r="C147" s="105"/>
      <c r="D147" s="105"/>
      <c r="E147" s="105"/>
      <c r="F147" s="105"/>
      <c r="G147" s="105"/>
      <c r="H147" s="105"/>
      <c r="I147" s="142" t="str">
        <f t="shared" si="12"/>
        <v/>
      </c>
      <c r="J147" s="105" t="str">
        <f t="shared" si="13"/>
        <v/>
      </c>
      <c r="K147" s="143" t="str">
        <f t="shared" si="14"/>
        <v/>
      </c>
      <c r="L147" s="106" t="str">
        <f t="shared" si="15"/>
        <v/>
      </c>
      <c r="M147" s="105" t="str">
        <f t="shared" si="16"/>
        <v/>
      </c>
      <c r="N147" s="144" t="str">
        <f t="shared" si="17"/>
        <v/>
      </c>
      <c r="O147" s="144" t="str">
        <f>IF(NOT(ISERROR(VLOOKUP(C147,Deflatores!G$42:H$64,2,FALSE))),VLOOKUP(C147,Deflatores!G$42:H$64,2,FALSE),IF(OR(ISBLANK(D147),ISBLANK(C147)),"",VLOOKUP(D147,Deflatores!G$4:H$38,2,FALSE)*K147+VLOOKUP(D147,Deflatores!G$4:I$38,3,FALSE)))</f>
        <v/>
      </c>
      <c r="P147" s="115"/>
      <c r="Q147" s="115"/>
      <c r="R147" s="115"/>
      <c r="S147" s="115"/>
      <c r="T147" s="168"/>
      <c r="U147" s="133"/>
    </row>
    <row r="148" spans="1:21" ht="12" customHeight="1" x14ac:dyDescent="0.2">
      <c r="A148" s="115"/>
      <c r="B148" s="115"/>
      <c r="C148" s="105"/>
      <c r="D148" s="105"/>
      <c r="E148" s="105"/>
      <c r="F148" s="105"/>
      <c r="G148" s="105"/>
      <c r="H148" s="105"/>
      <c r="I148" s="142" t="str">
        <f t="shared" si="12"/>
        <v/>
      </c>
      <c r="J148" s="105" t="str">
        <f t="shared" si="13"/>
        <v/>
      </c>
      <c r="K148" s="143" t="str">
        <f t="shared" si="14"/>
        <v/>
      </c>
      <c r="L148" s="106" t="str">
        <f t="shared" si="15"/>
        <v/>
      </c>
      <c r="M148" s="105" t="str">
        <f t="shared" si="16"/>
        <v/>
      </c>
      <c r="N148" s="144" t="str">
        <f t="shared" si="17"/>
        <v/>
      </c>
      <c r="O148" s="144" t="str">
        <f>IF(NOT(ISERROR(VLOOKUP(C148,Deflatores!G$42:H$64,2,FALSE))),VLOOKUP(C148,Deflatores!G$42:H$64,2,FALSE),IF(OR(ISBLANK(D148),ISBLANK(C148)),"",VLOOKUP(D148,Deflatores!G$4:H$38,2,FALSE)*K148+VLOOKUP(D148,Deflatores!G$4:I$38,3,FALSE)))</f>
        <v/>
      </c>
      <c r="P148" s="115"/>
      <c r="Q148" s="115"/>
      <c r="R148" s="115"/>
      <c r="S148" s="115"/>
      <c r="T148" s="168"/>
      <c r="U148" s="133"/>
    </row>
    <row r="149" spans="1:21" ht="12" customHeight="1" x14ac:dyDescent="0.2">
      <c r="A149" s="115"/>
      <c r="B149" s="115"/>
      <c r="C149" s="105"/>
      <c r="D149" s="105"/>
      <c r="E149" s="105"/>
      <c r="F149" s="105"/>
      <c r="G149" s="105"/>
      <c r="H149" s="105"/>
      <c r="I149" s="142" t="str">
        <f t="shared" si="12"/>
        <v/>
      </c>
      <c r="J149" s="105" t="str">
        <f t="shared" si="13"/>
        <v/>
      </c>
      <c r="K149" s="143" t="str">
        <f t="shared" si="14"/>
        <v/>
      </c>
      <c r="L149" s="106" t="str">
        <f t="shared" si="15"/>
        <v/>
      </c>
      <c r="M149" s="105" t="str">
        <f t="shared" si="16"/>
        <v/>
      </c>
      <c r="N149" s="144" t="str">
        <f t="shared" si="17"/>
        <v/>
      </c>
      <c r="O149" s="144" t="str">
        <f>IF(NOT(ISERROR(VLOOKUP(C149,Deflatores!G$42:H$64,2,FALSE))),VLOOKUP(C149,Deflatores!G$42:H$64,2,FALSE),IF(OR(ISBLANK(D149),ISBLANK(C149)),"",VLOOKUP(D149,Deflatores!G$4:H$38,2,FALSE)*K149+VLOOKUP(D149,Deflatores!G$4:I$38,3,FALSE)))</f>
        <v/>
      </c>
      <c r="P149" s="115"/>
      <c r="Q149" s="115"/>
      <c r="R149" s="115"/>
      <c r="S149" s="115"/>
      <c r="T149" s="168"/>
      <c r="U149" s="133"/>
    </row>
    <row r="150" spans="1:21" ht="12" customHeight="1" x14ac:dyDescent="0.2">
      <c r="A150" s="115"/>
      <c r="B150" s="115"/>
      <c r="C150" s="105"/>
      <c r="D150" s="105"/>
      <c r="E150" s="105"/>
      <c r="F150" s="105"/>
      <c r="G150" s="105"/>
      <c r="H150" s="105"/>
      <c r="I150" s="142" t="str">
        <f t="shared" si="12"/>
        <v/>
      </c>
      <c r="J150" s="105" t="str">
        <f t="shared" si="13"/>
        <v/>
      </c>
      <c r="K150" s="143" t="str">
        <f t="shared" si="14"/>
        <v/>
      </c>
      <c r="L150" s="106" t="str">
        <f t="shared" si="15"/>
        <v/>
      </c>
      <c r="M150" s="105" t="str">
        <f t="shared" si="16"/>
        <v/>
      </c>
      <c r="N150" s="144" t="str">
        <f t="shared" si="17"/>
        <v/>
      </c>
      <c r="O150" s="144" t="str">
        <f>IF(NOT(ISERROR(VLOOKUP(C150,Deflatores!G$42:H$64,2,FALSE))),VLOOKUP(C150,Deflatores!G$42:H$64,2,FALSE),IF(OR(ISBLANK(D150),ISBLANK(C150)),"",VLOOKUP(D150,Deflatores!G$4:H$38,2,FALSE)*K150+VLOOKUP(D150,Deflatores!G$4:I$38,3,FALSE)))</f>
        <v/>
      </c>
      <c r="P150" s="115"/>
      <c r="Q150" s="115"/>
      <c r="R150" s="115"/>
      <c r="S150" s="115"/>
      <c r="T150" s="168"/>
      <c r="U150" s="133"/>
    </row>
    <row r="151" spans="1:21" ht="12" customHeight="1" x14ac:dyDescent="0.2">
      <c r="A151" s="115"/>
      <c r="B151" s="115"/>
      <c r="C151" s="105"/>
      <c r="D151" s="105"/>
      <c r="E151" s="105"/>
      <c r="F151" s="105"/>
      <c r="G151" s="105"/>
      <c r="H151" s="105"/>
      <c r="I151" s="142" t="str">
        <f t="shared" si="12"/>
        <v/>
      </c>
      <c r="J151" s="105" t="str">
        <f t="shared" si="13"/>
        <v/>
      </c>
      <c r="K151" s="143" t="str">
        <f t="shared" si="14"/>
        <v/>
      </c>
      <c r="L151" s="106" t="str">
        <f t="shared" si="15"/>
        <v/>
      </c>
      <c r="M151" s="105" t="str">
        <f t="shared" si="16"/>
        <v/>
      </c>
      <c r="N151" s="144" t="str">
        <f t="shared" si="17"/>
        <v/>
      </c>
      <c r="O151" s="144" t="str">
        <f>IF(NOT(ISERROR(VLOOKUP(C151,Deflatores!G$42:H$64,2,FALSE))),VLOOKUP(C151,Deflatores!G$42:H$64,2,FALSE),IF(OR(ISBLANK(D151),ISBLANK(C151)),"",VLOOKUP(D151,Deflatores!G$4:H$38,2,FALSE)*K151+VLOOKUP(D151,Deflatores!G$4:I$38,3,FALSE)))</f>
        <v/>
      </c>
      <c r="P151" s="115"/>
      <c r="Q151" s="115"/>
      <c r="R151" s="115"/>
      <c r="S151" s="115"/>
      <c r="T151" s="168"/>
      <c r="U151" s="133"/>
    </row>
    <row r="152" spans="1:21" ht="12" customHeight="1" x14ac:dyDescent="0.2">
      <c r="A152" s="115"/>
      <c r="B152" s="115"/>
      <c r="C152" s="105"/>
      <c r="D152" s="105"/>
      <c r="E152" s="105"/>
      <c r="F152" s="105"/>
      <c r="G152" s="105"/>
      <c r="H152" s="105"/>
      <c r="I152" s="142" t="str">
        <f t="shared" si="12"/>
        <v/>
      </c>
      <c r="J152" s="105" t="str">
        <f t="shared" si="13"/>
        <v/>
      </c>
      <c r="K152" s="143" t="str">
        <f t="shared" si="14"/>
        <v/>
      </c>
      <c r="L152" s="106" t="str">
        <f t="shared" si="15"/>
        <v/>
      </c>
      <c r="M152" s="105" t="str">
        <f t="shared" si="16"/>
        <v/>
      </c>
      <c r="N152" s="144" t="str">
        <f t="shared" si="17"/>
        <v/>
      </c>
      <c r="O152" s="144" t="str">
        <f>IF(NOT(ISERROR(VLOOKUP(C152,Deflatores!G$42:H$64,2,FALSE))),VLOOKUP(C152,Deflatores!G$42:H$64,2,FALSE),IF(OR(ISBLANK(D152),ISBLANK(C152)),"",VLOOKUP(D152,Deflatores!G$4:H$38,2,FALSE)*K152+VLOOKUP(D152,Deflatores!G$4:I$38,3,FALSE)))</f>
        <v/>
      </c>
      <c r="P152" s="115"/>
      <c r="Q152" s="115"/>
      <c r="R152" s="115"/>
      <c r="S152" s="115"/>
      <c r="T152" s="168"/>
      <c r="U152" s="133"/>
    </row>
    <row r="153" spans="1:21" ht="12" customHeight="1" x14ac:dyDescent="0.2">
      <c r="A153" s="115"/>
      <c r="B153" s="115"/>
      <c r="C153" s="105"/>
      <c r="D153" s="105"/>
      <c r="E153" s="105"/>
      <c r="F153" s="105"/>
      <c r="G153" s="105"/>
      <c r="H153" s="105"/>
      <c r="I153" s="142" t="str">
        <f t="shared" si="12"/>
        <v/>
      </c>
      <c r="J153" s="105" t="str">
        <f t="shared" si="13"/>
        <v/>
      </c>
      <c r="K153" s="143" t="str">
        <f t="shared" si="14"/>
        <v/>
      </c>
      <c r="L153" s="106" t="str">
        <f t="shared" si="15"/>
        <v/>
      </c>
      <c r="M153" s="105" t="str">
        <f t="shared" si="16"/>
        <v/>
      </c>
      <c r="N153" s="144" t="str">
        <f t="shared" si="17"/>
        <v/>
      </c>
      <c r="O153" s="144" t="str">
        <f>IF(NOT(ISERROR(VLOOKUP(C153,Deflatores!G$42:H$64,2,FALSE))),VLOOKUP(C153,Deflatores!G$42:H$64,2,FALSE),IF(OR(ISBLANK(D153),ISBLANK(C153)),"",VLOOKUP(D153,Deflatores!G$4:H$38,2,FALSE)*K153+VLOOKUP(D153,Deflatores!G$4:I$38,3,FALSE)))</f>
        <v/>
      </c>
      <c r="P153" s="115"/>
      <c r="Q153" s="115"/>
      <c r="R153" s="115"/>
      <c r="S153" s="115"/>
      <c r="T153" s="168"/>
      <c r="U153" s="133"/>
    </row>
    <row r="154" spans="1:21" ht="12" customHeight="1" x14ac:dyDescent="0.2">
      <c r="A154" s="115"/>
      <c r="B154" s="115"/>
      <c r="C154" s="105"/>
      <c r="D154" s="105"/>
      <c r="E154" s="105"/>
      <c r="F154" s="105"/>
      <c r="G154" s="105"/>
      <c r="H154" s="105"/>
      <c r="I154" s="142" t="str">
        <f t="shared" si="12"/>
        <v/>
      </c>
      <c r="J154" s="105" t="str">
        <f t="shared" si="13"/>
        <v/>
      </c>
      <c r="K154" s="143" t="str">
        <f t="shared" si="14"/>
        <v/>
      </c>
      <c r="L154" s="106" t="str">
        <f t="shared" si="15"/>
        <v/>
      </c>
      <c r="M154" s="105" t="str">
        <f t="shared" si="16"/>
        <v/>
      </c>
      <c r="N154" s="144" t="str">
        <f t="shared" si="17"/>
        <v/>
      </c>
      <c r="O154" s="144" t="str">
        <f>IF(NOT(ISERROR(VLOOKUP(C154,Deflatores!G$42:H$64,2,FALSE))),VLOOKUP(C154,Deflatores!G$42:H$64,2,FALSE),IF(OR(ISBLANK(D154),ISBLANK(C154)),"",VLOOKUP(D154,Deflatores!G$4:H$38,2,FALSE)*K154+VLOOKUP(D154,Deflatores!G$4:I$38,3,FALSE)))</f>
        <v/>
      </c>
      <c r="P154" s="115"/>
      <c r="Q154" s="115"/>
      <c r="R154" s="115"/>
      <c r="S154" s="115"/>
      <c r="T154" s="168"/>
      <c r="U154" s="133"/>
    </row>
    <row r="155" spans="1:21" ht="12" customHeight="1" x14ac:dyDescent="0.2">
      <c r="A155" s="115"/>
      <c r="B155" s="115"/>
      <c r="C155" s="105"/>
      <c r="D155" s="105"/>
      <c r="E155" s="105"/>
      <c r="F155" s="105"/>
      <c r="G155" s="105"/>
      <c r="H155" s="105"/>
      <c r="I155" s="142" t="str">
        <f t="shared" si="12"/>
        <v/>
      </c>
      <c r="J155" s="105" t="str">
        <f t="shared" si="13"/>
        <v/>
      </c>
      <c r="K155" s="143" t="str">
        <f t="shared" si="14"/>
        <v/>
      </c>
      <c r="L155" s="106" t="str">
        <f t="shared" si="15"/>
        <v/>
      </c>
      <c r="M155" s="105" t="str">
        <f t="shared" si="16"/>
        <v/>
      </c>
      <c r="N155" s="144" t="str">
        <f t="shared" si="17"/>
        <v/>
      </c>
      <c r="O155" s="144" t="str">
        <f>IF(NOT(ISERROR(VLOOKUP(C155,Deflatores!G$42:H$64,2,FALSE))),VLOOKUP(C155,Deflatores!G$42:H$64,2,FALSE),IF(OR(ISBLANK(D155),ISBLANK(C155)),"",VLOOKUP(D155,Deflatores!G$4:H$38,2,FALSE)*K155+VLOOKUP(D155,Deflatores!G$4:I$38,3,FALSE)))</f>
        <v/>
      </c>
      <c r="P155" s="115"/>
      <c r="Q155" s="115"/>
      <c r="R155" s="115"/>
      <c r="S155" s="115"/>
      <c r="T155" s="168"/>
      <c r="U155" s="133"/>
    </row>
    <row r="156" spans="1:21" ht="12" customHeight="1" x14ac:dyDescent="0.2">
      <c r="A156" s="115"/>
      <c r="B156" s="115"/>
      <c r="C156" s="105"/>
      <c r="D156" s="105"/>
      <c r="E156" s="105"/>
      <c r="F156" s="105"/>
      <c r="G156" s="105"/>
      <c r="H156" s="105"/>
      <c r="I156" s="142" t="str">
        <f t="shared" si="12"/>
        <v/>
      </c>
      <c r="J156" s="105" t="str">
        <f t="shared" si="13"/>
        <v/>
      </c>
      <c r="K156" s="143" t="str">
        <f t="shared" si="14"/>
        <v/>
      </c>
      <c r="L156" s="106" t="str">
        <f t="shared" si="15"/>
        <v/>
      </c>
      <c r="M156" s="105" t="str">
        <f t="shared" si="16"/>
        <v/>
      </c>
      <c r="N156" s="144" t="str">
        <f t="shared" si="17"/>
        <v/>
      </c>
      <c r="O156" s="144" t="str">
        <f>IF(NOT(ISERROR(VLOOKUP(C156,Deflatores!G$42:H$64,2,FALSE))),VLOOKUP(C156,Deflatores!G$42:H$64,2,FALSE),IF(OR(ISBLANK(D156),ISBLANK(C156)),"",VLOOKUP(D156,Deflatores!G$4:H$38,2,FALSE)*K156+VLOOKUP(D156,Deflatores!G$4:I$38,3,FALSE)))</f>
        <v/>
      </c>
      <c r="P156" s="115"/>
      <c r="Q156" s="115"/>
      <c r="R156" s="115"/>
      <c r="S156" s="115"/>
      <c r="T156" s="168"/>
      <c r="U156" s="133"/>
    </row>
    <row r="157" spans="1:21" ht="12" customHeight="1" x14ac:dyDescent="0.2">
      <c r="A157" s="115"/>
      <c r="B157" s="115"/>
      <c r="C157" s="105"/>
      <c r="D157" s="105"/>
      <c r="E157" s="105"/>
      <c r="F157" s="105"/>
      <c r="G157" s="105"/>
      <c r="H157" s="105"/>
      <c r="I157" s="142" t="str">
        <f t="shared" si="12"/>
        <v/>
      </c>
      <c r="J157" s="105" t="str">
        <f t="shared" si="13"/>
        <v/>
      </c>
      <c r="K157" s="143" t="str">
        <f t="shared" si="14"/>
        <v/>
      </c>
      <c r="L157" s="106" t="str">
        <f t="shared" si="15"/>
        <v/>
      </c>
      <c r="M157" s="105" t="str">
        <f t="shared" si="16"/>
        <v/>
      </c>
      <c r="N157" s="144" t="str">
        <f t="shared" si="17"/>
        <v/>
      </c>
      <c r="O157" s="144" t="str">
        <f>IF(NOT(ISERROR(VLOOKUP(C157,Deflatores!G$42:H$64,2,FALSE))),VLOOKUP(C157,Deflatores!G$42:H$64,2,FALSE),IF(OR(ISBLANK(D157),ISBLANK(C157)),"",VLOOKUP(D157,Deflatores!G$4:H$38,2,FALSE)*K157+VLOOKUP(D157,Deflatores!G$4:I$38,3,FALSE)))</f>
        <v/>
      </c>
      <c r="P157" s="115"/>
      <c r="Q157" s="115"/>
      <c r="R157" s="115"/>
      <c r="S157" s="115"/>
      <c r="T157" s="168"/>
      <c r="U157" s="133"/>
    </row>
    <row r="158" spans="1:21" ht="12" customHeight="1" x14ac:dyDescent="0.2">
      <c r="A158" s="115"/>
      <c r="B158" s="115"/>
      <c r="C158" s="105"/>
      <c r="D158" s="105"/>
      <c r="E158" s="105"/>
      <c r="F158" s="105"/>
      <c r="G158" s="105"/>
      <c r="H158" s="105"/>
      <c r="I158" s="142" t="str">
        <f t="shared" si="12"/>
        <v/>
      </c>
      <c r="J158" s="105" t="str">
        <f t="shared" si="13"/>
        <v/>
      </c>
      <c r="K158" s="143" t="str">
        <f t="shared" si="14"/>
        <v/>
      </c>
      <c r="L158" s="106" t="str">
        <f t="shared" si="15"/>
        <v/>
      </c>
      <c r="M158" s="105" t="str">
        <f t="shared" si="16"/>
        <v/>
      </c>
      <c r="N158" s="144" t="str">
        <f t="shared" si="17"/>
        <v/>
      </c>
      <c r="O158" s="144" t="str">
        <f>IF(NOT(ISERROR(VLOOKUP(C158,Deflatores!G$42:H$64,2,FALSE))),VLOOKUP(C158,Deflatores!G$42:H$64,2,FALSE),IF(OR(ISBLANK(D158),ISBLANK(C158)),"",VLOOKUP(D158,Deflatores!G$4:H$38,2,FALSE)*K158+VLOOKUP(D158,Deflatores!G$4:I$38,3,FALSE)))</f>
        <v/>
      </c>
      <c r="P158" s="115"/>
      <c r="Q158" s="115"/>
      <c r="R158" s="115"/>
      <c r="S158" s="115"/>
      <c r="T158" s="168"/>
      <c r="U158" s="133"/>
    </row>
    <row r="159" spans="1:21" ht="12" customHeight="1" x14ac:dyDescent="0.2">
      <c r="A159" s="115"/>
      <c r="B159" s="115"/>
      <c r="C159" s="105"/>
      <c r="D159" s="105"/>
      <c r="E159" s="105"/>
      <c r="F159" s="105"/>
      <c r="G159" s="105"/>
      <c r="H159" s="105"/>
      <c r="I159" s="142" t="str">
        <f t="shared" si="12"/>
        <v/>
      </c>
      <c r="J159" s="105" t="str">
        <f t="shared" si="13"/>
        <v/>
      </c>
      <c r="K159" s="143" t="str">
        <f t="shared" si="14"/>
        <v/>
      </c>
      <c r="L159" s="106" t="str">
        <f t="shared" si="15"/>
        <v/>
      </c>
      <c r="M159" s="105" t="str">
        <f t="shared" si="16"/>
        <v/>
      </c>
      <c r="N159" s="144" t="str">
        <f t="shared" si="17"/>
        <v/>
      </c>
      <c r="O159" s="144" t="str">
        <f>IF(NOT(ISERROR(VLOOKUP(C159,Deflatores!G$42:H$64,2,FALSE))),VLOOKUP(C159,Deflatores!G$42:H$64,2,FALSE),IF(OR(ISBLANK(D159),ISBLANK(C159)),"",VLOOKUP(D159,Deflatores!G$4:H$38,2,FALSE)*K159+VLOOKUP(D159,Deflatores!G$4:I$38,3,FALSE)))</f>
        <v/>
      </c>
      <c r="P159" s="115"/>
      <c r="Q159" s="115"/>
      <c r="R159" s="115"/>
      <c r="S159" s="115"/>
      <c r="T159" s="168"/>
      <c r="U159" s="133"/>
    </row>
    <row r="160" spans="1:21" ht="12" customHeight="1" x14ac:dyDescent="0.2">
      <c r="A160" s="115"/>
      <c r="B160" s="115"/>
      <c r="C160" s="105"/>
      <c r="D160" s="105"/>
      <c r="E160" s="105"/>
      <c r="F160" s="105"/>
      <c r="G160" s="105"/>
      <c r="H160" s="105"/>
      <c r="I160" s="142" t="str">
        <f t="shared" si="12"/>
        <v/>
      </c>
      <c r="J160" s="105" t="str">
        <f t="shared" si="13"/>
        <v/>
      </c>
      <c r="K160" s="143" t="str">
        <f t="shared" si="14"/>
        <v/>
      </c>
      <c r="L160" s="106" t="str">
        <f t="shared" si="15"/>
        <v/>
      </c>
      <c r="M160" s="105" t="str">
        <f t="shared" si="16"/>
        <v/>
      </c>
      <c r="N160" s="144" t="str">
        <f t="shared" si="17"/>
        <v/>
      </c>
      <c r="O160" s="144" t="str">
        <f>IF(NOT(ISERROR(VLOOKUP(C160,Deflatores!G$42:H$64,2,FALSE))),VLOOKUP(C160,Deflatores!G$42:H$64,2,FALSE),IF(OR(ISBLANK(D160),ISBLANK(C160)),"",VLOOKUP(D160,Deflatores!G$4:H$38,2,FALSE)*K160+VLOOKUP(D160,Deflatores!G$4:I$38,3,FALSE)))</f>
        <v/>
      </c>
      <c r="P160" s="115"/>
      <c r="Q160" s="115"/>
      <c r="R160" s="115"/>
      <c r="S160" s="115"/>
      <c r="T160" s="168"/>
      <c r="U160" s="133"/>
    </row>
    <row r="161" spans="1:21" ht="12" customHeight="1" x14ac:dyDescent="0.2">
      <c r="A161" s="115"/>
      <c r="B161" s="115"/>
      <c r="C161" s="105"/>
      <c r="D161" s="105"/>
      <c r="E161" s="105"/>
      <c r="F161" s="105"/>
      <c r="G161" s="105"/>
      <c r="H161" s="105"/>
      <c r="I161" s="142" t="str">
        <f t="shared" si="12"/>
        <v/>
      </c>
      <c r="J161" s="105" t="str">
        <f t="shared" si="13"/>
        <v/>
      </c>
      <c r="K161" s="143" t="str">
        <f t="shared" si="14"/>
        <v/>
      </c>
      <c r="L161" s="106" t="str">
        <f t="shared" si="15"/>
        <v/>
      </c>
      <c r="M161" s="105" t="str">
        <f t="shared" si="16"/>
        <v/>
      </c>
      <c r="N161" s="144" t="str">
        <f t="shared" si="17"/>
        <v/>
      </c>
      <c r="O161" s="144" t="str">
        <f>IF(NOT(ISERROR(VLOOKUP(C161,Deflatores!G$42:H$64,2,FALSE))),VLOOKUP(C161,Deflatores!G$42:H$64,2,FALSE),IF(OR(ISBLANK(D161),ISBLANK(C161)),"",VLOOKUP(D161,Deflatores!G$4:H$38,2,FALSE)*K161+VLOOKUP(D161,Deflatores!G$4:I$38,3,FALSE)))</f>
        <v/>
      </c>
      <c r="P161" s="115"/>
      <c r="Q161" s="115"/>
      <c r="R161" s="115"/>
      <c r="S161" s="115"/>
      <c r="T161" s="168"/>
      <c r="U161" s="133"/>
    </row>
    <row r="162" spans="1:21" ht="12" customHeight="1" x14ac:dyDescent="0.2">
      <c r="A162" s="115"/>
      <c r="B162" s="115"/>
      <c r="C162" s="105"/>
      <c r="D162" s="105"/>
      <c r="E162" s="105"/>
      <c r="F162" s="105"/>
      <c r="G162" s="105"/>
      <c r="H162" s="105"/>
      <c r="I162" s="142" t="str">
        <f t="shared" si="12"/>
        <v/>
      </c>
      <c r="J162" s="105" t="str">
        <f t="shared" si="13"/>
        <v/>
      </c>
      <c r="K162" s="143" t="str">
        <f t="shared" si="14"/>
        <v/>
      </c>
      <c r="L162" s="106" t="str">
        <f t="shared" si="15"/>
        <v/>
      </c>
      <c r="M162" s="105" t="str">
        <f t="shared" si="16"/>
        <v/>
      </c>
      <c r="N162" s="144" t="str">
        <f t="shared" si="17"/>
        <v/>
      </c>
      <c r="O162" s="144" t="str">
        <f>IF(NOT(ISERROR(VLOOKUP(C162,Deflatores!G$42:H$64,2,FALSE))),VLOOKUP(C162,Deflatores!G$42:H$64,2,FALSE),IF(OR(ISBLANK(D162),ISBLANK(C162)),"",VLOOKUP(D162,Deflatores!G$4:H$38,2,FALSE)*K162+VLOOKUP(D162,Deflatores!G$4:I$38,3,FALSE)))</f>
        <v/>
      </c>
      <c r="P162" s="115"/>
      <c r="Q162" s="115"/>
      <c r="R162" s="115"/>
      <c r="S162" s="115"/>
      <c r="T162" s="168"/>
      <c r="U162" s="133"/>
    </row>
    <row r="163" spans="1:21" ht="12" customHeight="1" x14ac:dyDescent="0.2">
      <c r="A163" s="115"/>
      <c r="B163" s="115"/>
      <c r="C163" s="105"/>
      <c r="D163" s="105"/>
      <c r="E163" s="105"/>
      <c r="F163" s="105"/>
      <c r="G163" s="105"/>
      <c r="H163" s="105"/>
      <c r="I163" s="142" t="str">
        <f t="shared" si="12"/>
        <v/>
      </c>
      <c r="J163" s="105" t="str">
        <f t="shared" si="13"/>
        <v/>
      </c>
      <c r="K163" s="143" t="str">
        <f t="shared" si="14"/>
        <v/>
      </c>
      <c r="L163" s="106" t="str">
        <f t="shared" si="15"/>
        <v/>
      </c>
      <c r="M163" s="105" t="str">
        <f t="shared" si="16"/>
        <v/>
      </c>
      <c r="N163" s="144" t="str">
        <f t="shared" si="17"/>
        <v/>
      </c>
      <c r="O163" s="144" t="str">
        <f>IF(NOT(ISERROR(VLOOKUP(C163,Deflatores!G$42:H$64,2,FALSE))),VLOOKUP(C163,Deflatores!G$42:H$64,2,FALSE),IF(OR(ISBLANK(D163),ISBLANK(C163)),"",VLOOKUP(D163,Deflatores!G$4:H$38,2,FALSE)*K163+VLOOKUP(D163,Deflatores!G$4:I$38,3,FALSE)))</f>
        <v/>
      </c>
      <c r="P163" s="115"/>
      <c r="Q163" s="115"/>
      <c r="R163" s="115"/>
      <c r="S163" s="115"/>
      <c r="T163" s="168"/>
      <c r="U163" s="133"/>
    </row>
    <row r="164" spans="1:21" ht="12" customHeight="1" x14ac:dyDescent="0.2">
      <c r="A164" s="115"/>
      <c r="B164" s="115"/>
      <c r="C164" s="105"/>
      <c r="D164" s="105"/>
      <c r="E164" s="105"/>
      <c r="F164" s="105"/>
      <c r="G164" s="105"/>
      <c r="H164" s="105"/>
      <c r="I164" s="142" t="str">
        <f t="shared" si="12"/>
        <v/>
      </c>
      <c r="J164" s="105" t="str">
        <f t="shared" si="13"/>
        <v/>
      </c>
      <c r="K164" s="143" t="str">
        <f t="shared" si="14"/>
        <v/>
      </c>
      <c r="L164" s="106" t="str">
        <f t="shared" si="15"/>
        <v/>
      </c>
      <c r="M164" s="105" t="str">
        <f t="shared" si="16"/>
        <v/>
      </c>
      <c r="N164" s="144" t="str">
        <f t="shared" si="17"/>
        <v/>
      </c>
      <c r="O164" s="144" t="str">
        <f>IF(NOT(ISERROR(VLOOKUP(C164,Deflatores!G$42:H$64,2,FALSE))),VLOOKUP(C164,Deflatores!G$42:H$64,2,FALSE),IF(OR(ISBLANK(D164),ISBLANK(C164)),"",VLOOKUP(D164,Deflatores!G$4:H$38,2,FALSE)*K164+VLOOKUP(D164,Deflatores!G$4:I$38,3,FALSE)))</f>
        <v/>
      </c>
      <c r="P164" s="115"/>
      <c r="Q164" s="115"/>
      <c r="R164" s="115"/>
      <c r="S164" s="115"/>
      <c r="T164" s="168"/>
      <c r="U164" s="133"/>
    </row>
    <row r="165" spans="1:21" ht="12" customHeight="1" x14ac:dyDescent="0.2">
      <c r="A165" s="115"/>
      <c r="B165" s="115"/>
      <c r="C165" s="105"/>
      <c r="D165" s="105"/>
      <c r="E165" s="105"/>
      <c r="F165" s="105"/>
      <c r="G165" s="105"/>
      <c r="H165" s="105"/>
      <c r="I165" s="142" t="str">
        <f t="shared" si="12"/>
        <v/>
      </c>
      <c r="J165" s="105" t="str">
        <f t="shared" si="13"/>
        <v/>
      </c>
      <c r="K165" s="143" t="str">
        <f t="shared" si="14"/>
        <v/>
      </c>
      <c r="L165" s="106" t="str">
        <f t="shared" si="15"/>
        <v/>
      </c>
      <c r="M165" s="105" t="str">
        <f t="shared" si="16"/>
        <v/>
      </c>
      <c r="N165" s="144" t="str">
        <f t="shared" si="17"/>
        <v/>
      </c>
      <c r="O165" s="144" t="str">
        <f>IF(NOT(ISERROR(VLOOKUP(C165,Deflatores!G$42:H$64,2,FALSE))),VLOOKUP(C165,Deflatores!G$42:H$64,2,FALSE),IF(OR(ISBLANK(D165),ISBLANK(C165)),"",VLOOKUP(D165,Deflatores!G$4:H$38,2,FALSE)*K165+VLOOKUP(D165,Deflatores!G$4:I$38,3,FALSE)))</f>
        <v/>
      </c>
      <c r="P165" s="115"/>
      <c r="Q165" s="115"/>
      <c r="R165" s="115"/>
      <c r="S165" s="115"/>
      <c r="T165" s="168"/>
      <c r="U165" s="133"/>
    </row>
    <row r="166" spans="1:21" ht="12" customHeight="1" x14ac:dyDescent="0.2">
      <c r="A166" s="115"/>
      <c r="B166" s="115"/>
      <c r="C166" s="105"/>
      <c r="D166" s="105"/>
      <c r="E166" s="105"/>
      <c r="F166" s="105"/>
      <c r="G166" s="105"/>
      <c r="H166" s="105"/>
      <c r="I166" s="142" t="str">
        <f t="shared" si="12"/>
        <v/>
      </c>
      <c r="J166" s="105" t="str">
        <f t="shared" si="13"/>
        <v/>
      </c>
      <c r="K166" s="143" t="str">
        <f t="shared" si="14"/>
        <v/>
      </c>
      <c r="L166" s="106" t="str">
        <f t="shared" si="15"/>
        <v/>
      </c>
      <c r="M166" s="105" t="str">
        <f t="shared" si="16"/>
        <v/>
      </c>
      <c r="N166" s="144" t="str">
        <f t="shared" si="17"/>
        <v/>
      </c>
      <c r="O166" s="144" t="str">
        <f>IF(NOT(ISERROR(VLOOKUP(C166,Deflatores!G$42:H$64,2,FALSE))),VLOOKUP(C166,Deflatores!G$42:H$64,2,FALSE),IF(OR(ISBLANK(D166),ISBLANK(C166)),"",VLOOKUP(D166,Deflatores!G$4:H$38,2,FALSE)*K166+VLOOKUP(D166,Deflatores!G$4:I$38,3,FALSE)))</f>
        <v/>
      </c>
      <c r="P166" s="115"/>
      <c r="Q166" s="115"/>
      <c r="R166" s="115"/>
      <c r="S166" s="115"/>
      <c r="T166" s="168"/>
      <c r="U166" s="133"/>
    </row>
    <row r="167" spans="1:21" ht="12" customHeight="1" x14ac:dyDescent="0.2">
      <c r="A167" s="115"/>
      <c r="B167" s="115"/>
      <c r="C167" s="105"/>
      <c r="D167" s="105"/>
      <c r="E167" s="105"/>
      <c r="F167" s="105"/>
      <c r="G167" s="105"/>
      <c r="H167" s="105"/>
      <c r="I167" s="142" t="str">
        <f t="shared" si="12"/>
        <v/>
      </c>
      <c r="J167" s="105" t="str">
        <f t="shared" si="13"/>
        <v/>
      </c>
      <c r="K167" s="143" t="str">
        <f t="shared" si="14"/>
        <v/>
      </c>
      <c r="L167" s="106" t="str">
        <f t="shared" si="15"/>
        <v/>
      </c>
      <c r="M167" s="105" t="str">
        <f t="shared" si="16"/>
        <v/>
      </c>
      <c r="N167" s="144" t="str">
        <f t="shared" si="17"/>
        <v/>
      </c>
      <c r="O167" s="144" t="str">
        <f>IF(NOT(ISERROR(VLOOKUP(C167,Deflatores!G$42:H$64,2,FALSE))),VLOOKUP(C167,Deflatores!G$42:H$64,2,FALSE),IF(OR(ISBLANK(D167),ISBLANK(C167)),"",VLOOKUP(D167,Deflatores!G$4:H$38,2,FALSE)*K167+VLOOKUP(D167,Deflatores!G$4:I$38,3,FALSE)))</f>
        <v/>
      </c>
      <c r="P167" s="115"/>
      <c r="Q167" s="115"/>
      <c r="R167" s="115"/>
      <c r="S167" s="115"/>
      <c r="T167" s="168"/>
      <c r="U167" s="133"/>
    </row>
    <row r="168" spans="1:21" ht="12" customHeight="1" x14ac:dyDescent="0.2">
      <c r="A168" s="115"/>
      <c r="B168" s="115"/>
      <c r="C168" s="105"/>
      <c r="D168" s="105"/>
      <c r="E168" s="105"/>
      <c r="F168" s="105"/>
      <c r="G168" s="105"/>
      <c r="H168" s="105"/>
      <c r="I168" s="142" t="str">
        <f t="shared" si="12"/>
        <v/>
      </c>
      <c r="J168" s="105" t="str">
        <f t="shared" si="13"/>
        <v/>
      </c>
      <c r="K168" s="143" t="str">
        <f t="shared" si="14"/>
        <v/>
      </c>
      <c r="L168" s="106" t="str">
        <f t="shared" si="15"/>
        <v/>
      </c>
      <c r="M168" s="105" t="str">
        <f t="shared" si="16"/>
        <v/>
      </c>
      <c r="N168" s="144" t="str">
        <f t="shared" si="17"/>
        <v/>
      </c>
      <c r="O168" s="144" t="str">
        <f>IF(NOT(ISERROR(VLOOKUP(C168,Deflatores!G$42:H$64,2,FALSE))),VLOOKUP(C168,Deflatores!G$42:H$64,2,FALSE),IF(OR(ISBLANK(D168),ISBLANK(C168)),"",VLOOKUP(D168,Deflatores!G$4:H$38,2,FALSE)*K168+VLOOKUP(D168,Deflatores!G$4:I$38,3,FALSE)))</f>
        <v/>
      </c>
      <c r="P168" s="115"/>
      <c r="Q168" s="115"/>
      <c r="R168" s="115"/>
      <c r="S168" s="115"/>
      <c r="T168" s="168"/>
      <c r="U168" s="133"/>
    </row>
    <row r="169" spans="1:21" ht="12" customHeight="1" x14ac:dyDescent="0.2">
      <c r="A169" s="115"/>
      <c r="B169" s="115"/>
      <c r="C169" s="105"/>
      <c r="D169" s="105"/>
      <c r="E169" s="105"/>
      <c r="F169" s="105"/>
      <c r="G169" s="105"/>
      <c r="H169" s="105"/>
      <c r="I169" s="142" t="str">
        <f t="shared" si="12"/>
        <v/>
      </c>
      <c r="J169" s="105" t="str">
        <f t="shared" si="13"/>
        <v/>
      </c>
      <c r="K169" s="143" t="str">
        <f t="shared" si="14"/>
        <v/>
      </c>
      <c r="L169" s="106" t="str">
        <f t="shared" si="15"/>
        <v/>
      </c>
      <c r="M169" s="105" t="str">
        <f t="shared" si="16"/>
        <v/>
      </c>
      <c r="N169" s="144" t="str">
        <f t="shared" si="17"/>
        <v/>
      </c>
      <c r="O169" s="144" t="str">
        <f>IF(NOT(ISERROR(VLOOKUP(C169,Deflatores!G$42:H$64,2,FALSE))),VLOOKUP(C169,Deflatores!G$42:H$64,2,FALSE),IF(OR(ISBLANK(D169),ISBLANK(C169)),"",VLOOKUP(D169,Deflatores!G$4:H$38,2,FALSE)*K169+VLOOKUP(D169,Deflatores!G$4:I$38,3,FALSE)))</f>
        <v/>
      </c>
      <c r="P169" s="115"/>
      <c r="Q169" s="115"/>
      <c r="R169" s="115"/>
      <c r="S169" s="115"/>
      <c r="T169" s="168"/>
      <c r="U169" s="133"/>
    </row>
    <row r="170" spans="1:21" ht="12" customHeight="1" x14ac:dyDescent="0.2">
      <c r="A170" s="115"/>
      <c r="B170" s="115"/>
      <c r="C170" s="105"/>
      <c r="D170" s="105"/>
      <c r="E170" s="105"/>
      <c r="F170" s="105"/>
      <c r="G170" s="105"/>
      <c r="H170" s="105"/>
      <c r="I170" s="142" t="str">
        <f t="shared" si="12"/>
        <v/>
      </c>
      <c r="J170" s="105" t="str">
        <f t="shared" si="13"/>
        <v/>
      </c>
      <c r="K170" s="143" t="str">
        <f t="shared" si="14"/>
        <v/>
      </c>
      <c r="L170" s="106" t="str">
        <f t="shared" si="15"/>
        <v/>
      </c>
      <c r="M170" s="105" t="str">
        <f t="shared" si="16"/>
        <v/>
      </c>
      <c r="N170" s="144" t="str">
        <f t="shared" si="17"/>
        <v/>
      </c>
      <c r="O170" s="144" t="str">
        <f>IF(NOT(ISERROR(VLOOKUP(C170,Deflatores!G$42:H$64,2,FALSE))),VLOOKUP(C170,Deflatores!G$42:H$64,2,FALSE),IF(OR(ISBLANK(D170),ISBLANK(C170)),"",VLOOKUP(D170,Deflatores!G$4:H$38,2,FALSE)*K170+VLOOKUP(D170,Deflatores!G$4:I$38,3,FALSE)))</f>
        <v/>
      </c>
      <c r="P170" s="115"/>
      <c r="Q170" s="115"/>
      <c r="R170" s="115"/>
      <c r="S170" s="115"/>
      <c r="T170" s="168"/>
      <c r="U170" s="133"/>
    </row>
    <row r="171" spans="1:21" ht="12" customHeight="1" x14ac:dyDescent="0.2">
      <c r="A171" s="115"/>
      <c r="B171" s="115"/>
      <c r="C171" s="105"/>
      <c r="D171" s="105"/>
      <c r="E171" s="105"/>
      <c r="F171" s="105"/>
      <c r="G171" s="105"/>
      <c r="H171" s="105"/>
      <c r="I171" s="142" t="str">
        <f t="shared" si="12"/>
        <v/>
      </c>
      <c r="J171" s="105" t="str">
        <f t="shared" si="13"/>
        <v/>
      </c>
      <c r="K171" s="143" t="str">
        <f t="shared" si="14"/>
        <v/>
      </c>
      <c r="L171" s="106" t="str">
        <f t="shared" si="15"/>
        <v/>
      </c>
      <c r="M171" s="105" t="str">
        <f t="shared" si="16"/>
        <v/>
      </c>
      <c r="N171" s="144" t="str">
        <f t="shared" si="17"/>
        <v/>
      </c>
      <c r="O171" s="144" t="str">
        <f>IF(NOT(ISERROR(VLOOKUP(C171,Deflatores!G$42:H$64,2,FALSE))),VLOOKUP(C171,Deflatores!G$42:H$64,2,FALSE),IF(OR(ISBLANK(D171),ISBLANK(C171)),"",VLOOKUP(D171,Deflatores!G$4:H$38,2,FALSE)*K171+VLOOKUP(D171,Deflatores!G$4:I$38,3,FALSE)))</f>
        <v/>
      </c>
      <c r="P171" s="115"/>
      <c r="Q171" s="115"/>
      <c r="R171" s="115"/>
      <c r="S171" s="115"/>
      <c r="T171" s="168"/>
      <c r="U171" s="133"/>
    </row>
    <row r="172" spans="1:21" ht="12" customHeight="1" x14ac:dyDescent="0.2">
      <c r="A172" s="115"/>
      <c r="B172" s="115"/>
      <c r="C172" s="105"/>
      <c r="D172" s="105"/>
      <c r="E172" s="105"/>
      <c r="F172" s="105"/>
      <c r="G172" s="105"/>
      <c r="H172" s="105"/>
      <c r="I172" s="142" t="str">
        <f t="shared" si="12"/>
        <v/>
      </c>
      <c r="J172" s="105" t="str">
        <f t="shared" si="13"/>
        <v/>
      </c>
      <c r="K172" s="143" t="str">
        <f t="shared" si="14"/>
        <v/>
      </c>
      <c r="L172" s="106" t="str">
        <f t="shared" si="15"/>
        <v/>
      </c>
      <c r="M172" s="105" t="str">
        <f t="shared" si="16"/>
        <v/>
      </c>
      <c r="N172" s="144" t="str">
        <f t="shared" si="17"/>
        <v/>
      </c>
      <c r="O172" s="144" t="str">
        <f>IF(NOT(ISERROR(VLOOKUP(C172,Deflatores!G$42:H$64,2,FALSE))),VLOOKUP(C172,Deflatores!G$42:H$64,2,FALSE),IF(OR(ISBLANK(D172),ISBLANK(C172)),"",VLOOKUP(D172,Deflatores!G$4:H$38,2,FALSE)*K172+VLOOKUP(D172,Deflatores!G$4:I$38,3,FALSE)))</f>
        <v/>
      </c>
      <c r="P172" s="115"/>
      <c r="Q172" s="115"/>
      <c r="R172" s="115"/>
      <c r="S172" s="115"/>
      <c r="T172" s="168"/>
      <c r="U172" s="133"/>
    </row>
    <row r="173" spans="1:21" ht="12" customHeight="1" x14ac:dyDescent="0.2">
      <c r="A173" s="115"/>
      <c r="B173" s="115"/>
      <c r="C173" s="105"/>
      <c r="D173" s="105"/>
      <c r="E173" s="105"/>
      <c r="F173" s="105"/>
      <c r="G173" s="105"/>
      <c r="H173" s="105"/>
      <c r="I173" s="142" t="str">
        <f t="shared" si="12"/>
        <v/>
      </c>
      <c r="J173" s="105" t="str">
        <f t="shared" si="13"/>
        <v/>
      </c>
      <c r="K173" s="143" t="str">
        <f t="shared" si="14"/>
        <v/>
      </c>
      <c r="L173" s="106" t="str">
        <f t="shared" si="15"/>
        <v/>
      </c>
      <c r="M173" s="105" t="str">
        <f t="shared" si="16"/>
        <v/>
      </c>
      <c r="N173" s="144" t="str">
        <f t="shared" si="17"/>
        <v/>
      </c>
      <c r="O173" s="144" t="str">
        <f>IF(NOT(ISERROR(VLOOKUP(C173,Deflatores!G$42:H$64,2,FALSE))),VLOOKUP(C173,Deflatores!G$42:H$64,2,FALSE),IF(OR(ISBLANK(D173),ISBLANK(C173)),"",VLOOKUP(D173,Deflatores!G$4:H$38,2,FALSE)*K173+VLOOKUP(D173,Deflatores!G$4:I$38,3,FALSE)))</f>
        <v/>
      </c>
      <c r="P173" s="115"/>
      <c r="Q173" s="115"/>
      <c r="R173" s="115"/>
      <c r="S173" s="115"/>
      <c r="T173" s="168"/>
      <c r="U173" s="133"/>
    </row>
    <row r="174" spans="1:21" ht="12" customHeight="1" x14ac:dyDescent="0.2">
      <c r="A174" s="115"/>
      <c r="B174" s="115"/>
      <c r="C174" s="105"/>
      <c r="D174" s="105"/>
      <c r="E174" s="105"/>
      <c r="F174" s="105"/>
      <c r="G174" s="105"/>
      <c r="H174" s="105"/>
      <c r="I174" s="142" t="str">
        <f t="shared" si="12"/>
        <v/>
      </c>
      <c r="J174" s="105" t="str">
        <f t="shared" si="13"/>
        <v/>
      </c>
      <c r="K174" s="143" t="str">
        <f t="shared" si="14"/>
        <v/>
      </c>
      <c r="L174" s="106" t="str">
        <f t="shared" si="15"/>
        <v/>
      </c>
      <c r="M174" s="105" t="str">
        <f t="shared" si="16"/>
        <v/>
      </c>
      <c r="N174" s="144" t="str">
        <f t="shared" si="17"/>
        <v/>
      </c>
      <c r="O174" s="144" t="str">
        <f>IF(NOT(ISERROR(VLOOKUP(C174,Deflatores!G$42:H$64,2,FALSE))),VLOOKUP(C174,Deflatores!G$42:H$64,2,FALSE),IF(OR(ISBLANK(D174),ISBLANK(C174)),"",VLOOKUP(D174,Deflatores!G$4:H$38,2,FALSE)*K174+VLOOKUP(D174,Deflatores!G$4:I$38,3,FALSE)))</f>
        <v/>
      </c>
      <c r="P174" s="115"/>
      <c r="Q174" s="115"/>
      <c r="R174" s="115"/>
      <c r="S174" s="115"/>
      <c r="T174" s="168"/>
      <c r="U174" s="133"/>
    </row>
    <row r="175" spans="1:21" ht="12" customHeight="1" x14ac:dyDescent="0.2">
      <c r="A175" s="115"/>
      <c r="B175" s="115"/>
      <c r="C175" s="105"/>
      <c r="D175" s="105"/>
      <c r="E175" s="105"/>
      <c r="F175" s="105"/>
      <c r="G175" s="105"/>
      <c r="H175" s="105"/>
      <c r="I175" s="142" t="str">
        <f t="shared" si="12"/>
        <v/>
      </c>
      <c r="J175" s="105" t="str">
        <f t="shared" si="13"/>
        <v/>
      </c>
      <c r="K175" s="143" t="str">
        <f t="shared" si="14"/>
        <v/>
      </c>
      <c r="L175" s="106" t="str">
        <f t="shared" si="15"/>
        <v/>
      </c>
      <c r="M175" s="105" t="str">
        <f t="shared" si="16"/>
        <v/>
      </c>
      <c r="N175" s="144" t="str">
        <f t="shared" si="17"/>
        <v/>
      </c>
      <c r="O175" s="144" t="str">
        <f>IF(NOT(ISERROR(VLOOKUP(C175,Deflatores!G$42:H$64,2,FALSE))),VLOOKUP(C175,Deflatores!G$42:H$64,2,FALSE),IF(OR(ISBLANK(D175),ISBLANK(C175)),"",VLOOKUP(D175,Deflatores!G$4:H$38,2,FALSE)*K175+VLOOKUP(D175,Deflatores!G$4:I$38,3,FALSE)))</f>
        <v/>
      </c>
      <c r="P175" s="115"/>
      <c r="Q175" s="115"/>
      <c r="R175" s="115"/>
      <c r="S175" s="115"/>
      <c r="T175" s="168"/>
      <c r="U175" s="133"/>
    </row>
    <row r="176" spans="1:21" ht="12" customHeight="1" x14ac:dyDescent="0.2">
      <c r="A176" s="115"/>
      <c r="B176" s="115"/>
      <c r="C176" s="105"/>
      <c r="D176" s="105"/>
      <c r="E176" s="105"/>
      <c r="F176" s="105"/>
      <c r="G176" s="105"/>
      <c r="H176" s="105"/>
      <c r="I176" s="142" t="str">
        <f t="shared" si="12"/>
        <v/>
      </c>
      <c r="J176" s="105" t="str">
        <f t="shared" si="13"/>
        <v/>
      </c>
      <c r="K176" s="143" t="str">
        <f t="shared" si="14"/>
        <v/>
      </c>
      <c r="L176" s="106" t="str">
        <f t="shared" si="15"/>
        <v/>
      </c>
      <c r="M176" s="105" t="str">
        <f t="shared" si="16"/>
        <v/>
      </c>
      <c r="N176" s="144" t="str">
        <f t="shared" si="17"/>
        <v/>
      </c>
      <c r="O176" s="144" t="str">
        <f>IF(NOT(ISERROR(VLOOKUP(C176,Deflatores!G$42:H$64,2,FALSE))),VLOOKUP(C176,Deflatores!G$42:H$64,2,FALSE),IF(OR(ISBLANK(D176),ISBLANK(C176)),"",VLOOKUP(D176,Deflatores!G$4:H$38,2,FALSE)*K176+VLOOKUP(D176,Deflatores!G$4:I$38,3,FALSE)))</f>
        <v/>
      </c>
      <c r="P176" s="115"/>
      <c r="Q176" s="115"/>
      <c r="R176" s="115"/>
      <c r="S176" s="115"/>
      <c r="T176" s="168"/>
      <c r="U176" s="133"/>
    </row>
    <row r="177" spans="1:21" ht="12" customHeight="1" x14ac:dyDescent="0.2">
      <c r="A177" s="115"/>
      <c r="B177" s="115"/>
      <c r="C177" s="105"/>
      <c r="D177" s="105"/>
      <c r="E177" s="105"/>
      <c r="F177" s="105"/>
      <c r="G177" s="105"/>
      <c r="H177" s="105"/>
      <c r="I177" s="142" t="str">
        <f t="shared" si="12"/>
        <v/>
      </c>
      <c r="J177" s="105" t="str">
        <f t="shared" si="13"/>
        <v/>
      </c>
      <c r="K177" s="143" t="str">
        <f t="shared" si="14"/>
        <v/>
      </c>
      <c r="L177" s="106" t="str">
        <f t="shared" si="15"/>
        <v/>
      </c>
      <c r="M177" s="105" t="str">
        <f t="shared" si="16"/>
        <v/>
      </c>
      <c r="N177" s="144" t="str">
        <f t="shared" si="17"/>
        <v/>
      </c>
      <c r="O177" s="144" t="str">
        <f>IF(NOT(ISERROR(VLOOKUP(C177,Deflatores!G$42:H$64,2,FALSE))),VLOOKUP(C177,Deflatores!G$42:H$64,2,FALSE),IF(OR(ISBLANK(D177),ISBLANK(C177)),"",VLOOKUP(D177,Deflatores!G$4:H$38,2,FALSE)*K177+VLOOKUP(D177,Deflatores!G$4:I$38,3,FALSE)))</f>
        <v/>
      </c>
      <c r="P177" s="115"/>
      <c r="Q177" s="115"/>
      <c r="R177" s="115"/>
      <c r="S177" s="115"/>
      <c r="T177" s="168"/>
      <c r="U177" s="133"/>
    </row>
    <row r="178" spans="1:21" ht="12" customHeight="1" x14ac:dyDescent="0.2">
      <c r="A178" s="115"/>
      <c r="B178" s="115"/>
      <c r="C178" s="105"/>
      <c r="D178" s="105"/>
      <c r="E178" s="105"/>
      <c r="F178" s="105"/>
      <c r="G178" s="105"/>
      <c r="H178" s="105"/>
      <c r="I178" s="142" t="str">
        <f t="shared" si="12"/>
        <v/>
      </c>
      <c r="J178" s="105" t="str">
        <f t="shared" si="13"/>
        <v/>
      </c>
      <c r="K178" s="143" t="str">
        <f t="shared" si="14"/>
        <v/>
      </c>
      <c r="L178" s="106" t="str">
        <f t="shared" si="15"/>
        <v/>
      </c>
      <c r="M178" s="105" t="str">
        <f t="shared" si="16"/>
        <v/>
      </c>
      <c r="N178" s="144" t="str">
        <f t="shared" si="17"/>
        <v/>
      </c>
      <c r="O178" s="144" t="str">
        <f>IF(NOT(ISERROR(VLOOKUP(C178,Deflatores!G$42:H$64,2,FALSE))),VLOOKUP(C178,Deflatores!G$42:H$64,2,FALSE),IF(OR(ISBLANK(D178),ISBLANK(C178)),"",VLOOKUP(D178,Deflatores!G$4:H$38,2,FALSE)*K178+VLOOKUP(D178,Deflatores!G$4:I$38,3,FALSE)))</f>
        <v/>
      </c>
      <c r="P178" s="115"/>
      <c r="Q178" s="115"/>
      <c r="R178" s="115"/>
      <c r="S178" s="115"/>
      <c r="T178" s="168"/>
      <c r="U178" s="133"/>
    </row>
    <row r="179" spans="1:21" ht="12" customHeight="1" x14ac:dyDescent="0.2">
      <c r="A179" s="115"/>
      <c r="B179" s="115"/>
      <c r="C179" s="105"/>
      <c r="D179" s="105"/>
      <c r="E179" s="105"/>
      <c r="F179" s="105"/>
      <c r="G179" s="105"/>
      <c r="H179" s="105"/>
      <c r="I179" s="142" t="str">
        <f t="shared" si="12"/>
        <v/>
      </c>
      <c r="J179" s="105" t="str">
        <f t="shared" si="13"/>
        <v/>
      </c>
      <c r="K179" s="143" t="str">
        <f t="shared" si="14"/>
        <v/>
      </c>
      <c r="L179" s="106" t="str">
        <f t="shared" si="15"/>
        <v/>
      </c>
      <c r="M179" s="105" t="str">
        <f t="shared" si="16"/>
        <v/>
      </c>
      <c r="N179" s="144" t="str">
        <f t="shared" si="17"/>
        <v/>
      </c>
      <c r="O179" s="144" t="str">
        <f>IF(NOT(ISERROR(VLOOKUP(C179,Deflatores!G$42:H$64,2,FALSE))),VLOOKUP(C179,Deflatores!G$42:H$64,2,FALSE),IF(OR(ISBLANK(D179),ISBLANK(C179)),"",VLOOKUP(D179,Deflatores!G$4:H$38,2,FALSE)*K179+VLOOKUP(D179,Deflatores!G$4:I$38,3,FALSE)))</f>
        <v/>
      </c>
      <c r="P179" s="115"/>
      <c r="Q179" s="115"/>
      <c r="R179" s="115"/>
      <c r="S179" s="115"/>
      <c r="T179" s="168"/>
      <c r="U179" s="133"/>
    </row>
    <row r="180" spans="1:21" ht="12" customHeight="1" x14ac:dyDescent="0.2">
      <c r="A180" s="115"/>
      <c r="B180" s="115"/>
      <c r="C180" s="105"/>
      <c r="D180" s="105"/>
      <c r="E180" s="105"/>
      <c r="F180" s="105"/>
      <c r="G180" s="105"/>
      <c r="H180" s="105"/>
      <c r="I180" s="142" t="str">
        <f t="shared" si="12"/>
        <v/>
      </c>
      <c r="J180" s="105" t="str">
        <f t="shared" si="13"/>
        <v/>
      </c>
      <c r="K180" s="143" t="str">
        <f t="shared" si="14"/>
        <v/>
      </c>
      <c r="L180" s="106" t="str">
        <f t="shared" si="15"/>
        <v/>
      </c>
      <c r="M180" s="105" t="str">
        <f t="shared" si="16"/>
        <v/>
      </c>
      <c r="N180" s="144" t="str">
        <f t="shared" si="17"/>
        <v/>
      </c>
      <c r="O180" s="144" t="str">
        <f>IF(NOT(ISERROR(VLOOKUP(C180,Deflatores!G$42:H$64,2,FALSE))),VLOOKUP(C180,Deflatores!G$42:H$64,2,FALSE),IF(OR(ISBLANK(D180),ISBLANK(C180)),"",VLOOKUP(D180,Deflatores!G$4:H$38,2,FALSE)*K180+VLOOKUP(D180,Deflatores!G$4:I$38,3,FALSE)))</f>
        <v/>
      </c>
      <c r="P180" s="115"/>
      <c r="Q180" s="115"/>
      <c r="R180" s="115"/>
      <c r="S180" s="115"/>
      <c r="T180" s="168"/>
      <c r="U180" s="133"/>
    </row>
    <row r="181" spans="1:21" ht="12" customHeight="1" x14ac:dyDescent="0.2">
      <c r="A181" s="115"/>
      <c r="B181" s="115"/>
      <c r="C181" s="105"/>
      <c r="D181" s="105"/>
      <c r="E181" s="105"/>
      <c r="F181" s="105"/>
      <c r="G181" s="105"/>
      <c r="H181" s="105"/>
      <c r="I181" s="142" t="str">
        <f t="shared" si="12"/>
        <v/>
      </c>
      <c r="J181" s="105" t="str">
        <f t="shared" si="13"/>
        <v/>
      </c>
      <c r="K181" s="143" t="str">
        <f t="shared" si="14"/>
        <v/>
      </c>
      <c r="L181" s="106" t="str">
        <f t="shared" si="15"/>
        <v/>
      </c>
      <c r="M181" s="105" t="str">
        <f t="shared" si="16"/>
        <v/>
      </c>
      <c r="N181" s="144" t="str">
        <f t="shared" si="17"/>
        <v/>
      </c>
      <c r="O181" s="144" t="str">
        <f>IF(NOT(ISERROR(VLOOKUP(C181,Deflatores!G$42:H$64,2,FALSE))),VLOOKUP(C181,Deflatores!G$42:H$64,2,FALSE),IF(OR(ISBLANK(D181),ISBLANK(C181)),"",VLOOKUP(D181,Deflatores!G$4:H$38,2,FALSE)*K181+VLOOKUP(D181,Deflatores!G$4:I$38,3,FALSE)))</f>
        <v/>
      </c>
      <c r="P181" s="115"/>
      <c r="Q181" s="115"/>
      <c r="R181" s="115"/>
      <c r="S181" s="115"/>
      <c r="T181" s="168"/>
      <c r="U181" s="133"/>
    </row>
    <row r="182" spans="1:21" ht="12" customHeight="1" x14ac:dyDescent="0.2">
      <c r="A182" s="115"/>
      <c r="B182" s="115"/>
      <c r="C182" s="105"/>
      <c r="D182" s="105"/>
      <c r="E182" s="105"/>
      <c r="F182" s="105"/>
      <c r="G182" s="105"/>
      <c r="H182" s="105"/>
      <c r="I182" s="142" t="str">
        <f t="shared" si="12"/>
        <v/>
      </c>
      <c r="J182" s="105" t="str">
        <f t="shared" si="13"/>
        <v/>
      </c>
      <c r="K182" s="143" t="str">
        <f t="shared" si="14"/>
        <v/>
      </c>
      <c r="L182" s="106" t="str">
        <f t="shared" si="15"/>
        <v/>
      </c>
      <c r="M182" s="105" t="str">
        <f t="shared" si="16"/>
        <v/>
      </c>
      <c r="N182" s="144" t="str">
        <f t="shared" si="17"/>
        <v/>
      </c>
      <c r="O182" s="144" t="str">
        <f>IF(NOT(ISERROR(VLOOKUP(C182,Deflatores!G$42:H$64,2,FALSE))),VLOOKUP(C182,Deflatores!G$42:H$64,2,FALSE),IF(OR(ISBLANK(D182),ISBLANK(C182)),"",VLOOKUP(D182,Deflatores!G$4:H$38,2,FALSE)*K182+VLOOKUP(D182,Deflatores!G$4:I$38,3,FALSE)))</f>
        <v/>
      </c>
      <c r="P182" s="115"/>
      <c r="Q182" s="115"/>
      <c r="R182" s="115"/>
      <c r="S182" s="115"/>
      <c r="T182" s="168"/>
      <c r="U182" s="133"/>
    </row>
    <row r="183" spans="1:21" ht="12" customHeight="1" x14ac:dyDescent="0.2">
      <c r="A183" s="115"/>
      <c r="B183" s="115"/>
      <c r="C183" s="105"/>
      <c r="D183" s="105"/>
      <c r="E183" s="105"/>
      <c r="F183" s="105"/>
      <c r="G183" s="105"/>
      <c r="H183" s="105"/>
      <c r="I183" s="142" t="str">
        <f t="shared" si="12"/>
        <v/>
      </c>
      <c r="J183" s="105" t="str">
        <f t="shared" si="13"/>
        <v/>
      </c>
      <c r="K183" s="143" t="str">
        <f t="shared" si="14"/>
        <v/>
      </c>
      <c r="L183" s="106" t="str">
        <f t="shared" si="15"/>
        <v/>
      </c>
      <c r="M183" s="105" t="str">
        <f t="shared" si="16"/>
        <v/>
      </c>
      <c r="N183" s="144" t="str">
        <f t="shared" si="17"/>
        <v/>
      </c>
      <c r="O183" s="144" t="str">
        <f>IF(NOT(ISERROR(VLOOKUP(C183,Deflatores!G$42:H$64,2,FALSE))),VLOOKUP(C183,Deflatores!G$42:H$64,2,FALSE),IF(OR(ISBLANK(D183),ISBLANK(C183)),"",VLOOKUP(D183,Deflatores!G$4:H$38,2,FALSE)*K183+VLOOKUP(D183,Deflatores!G$4:I$38,3,FALSE)))</f>
        <v/>
      </c>
      <c r="P183" s="115"/>
      <c r="Q183" s="115"/>
      <c r="R183" s="115"/>
      <c r="S183" s="115"/>
      <c r="T183" s="168"/>
      <c r="U183" s="133"/>
    </row>
    <row r="184" spans="1:21" ht="12" customHeight="1" x14ac:dyDescent="0.2">
      <c r="A184" s="115"/>
      <c r="B184" s="115"/>
      <c r="C184" s="105"/>
      <c r="D184" s="105"/>
      <c r="E184" s="105"/>
      <c r="F184" s="105"/>
      <c r="G184" s="105"/>
      <c r="H184" s="105"/>
      <c r="I184" s="142" t="str">
        <f t="shared" si="12"/>
        <v/>
      </c>
      <c r="J184" s="105" t="str">
        <f t="shared" si="13"/>
        <v/>
      </c>
      <c r="K184" s="143" t="str">
        <f t="shared" si="14"/>
        <v/>
      </c>
      <c r="L184" s="106" t="str">
        <f t="shared" si="15"/>
        <v/>
      </c>
      <c r="M184" s="105" t="str">
        <f t="shared" si="16"/>
        <v/>
      </c>
      <c r="N184" s="144" t="str">
        <f t="shared" si="17"/>
        <v/>
      </c>
      <c r="O184" s="144" t="str">
        <f>IF(NOT(ISERROR(VLOOKUP(C184,Deflatores!G$42:H$64,2,FALSE))),VLOOKUP(C184,Deflatores!G$42:H$64,2,FALSE),IF(OR(ISBLANK(D184),ISBLANK(C184)),"",VLOOKUP(D184,Deflatores!G$4:H$38,2,FALSE)*K184+VLOOKUP(D184,Deflatores!G$4:I$38,3,FALSE)))</f>
        <v/>
      </c>
      <c r="P184" s="115"/>
      <c r="Q184" s="115"/>
      <c r="R184" s="115"/>
      <c r="S184" s="115"/>
      <c r="T184" s="168"/>
      <c r="U184" s="133"/>
    </row>
    <row r="185" spans="1:21" ht="12" customHeight="1" x14ac:dyDescent="0.2">
      <c r="A185" s="115"/>
      <c r="B185" s="115"/>
      <c r="C185" s="105"/>
      <c r="D185" s="105"/>
      <c r="E185" s="105"/>
      <c r="F185" s="105"/>
      <c r="G185" s="105"/>
      <c r="H185" s="105"/>
      <c r="I185" s="142" t="str">
        <f t="shared" si="12"/>
        <v/>
      </c>
      <c r="J185" s="105" t="str">
        <f t="shared" si="13"/>
        <v/>
      </c>
      <c r="K185" s="143" t="str">
        <f t="shared" si="14"/>
        <v/>
      </c>
      <c r="L185" s="106" t="str">
        <f t="shared" si="15"/>
        <v/>
      </c>
      <c r="M185" s="105" t="str">
        <f t="shared" si="16"/>
        <v/>
      </c>
      <c r="N185" s="144" t="str">
        <f t="shared" si="17"/>
        <v/>
      </c>
      <c r="O185" s="144" t="str">
        <f>IF(NOT(ISERROR(VLOOKUP(C185,Deflatores!G$42:H$64,2,FALSE))),VLOOKUP(C185,Deflatores!G$42:H$64,2,FALSE),IF(OR(ISBLANK(D185),ISBLANK(C185)),"",VLOOKUP(D185,Deflatores!G$4:H$38,2,FALSE)*K185+VLOOKUP(D185,Deflatores!G$4:I$38,3,FALSE)))</f>
        <v/>
      </c>
      <c r="P185" s="115"/>
      <c r="Q185" s="115"/>
      <c r="R185" s="115"/>
      <c r="S185" s="115"/>
      <c r="T185" s="168"/>
      <c r="U185" s="133"/>
    </row>
    <row r="186" spans="1:21" ht="12" customHeight="1" x14ac:dyDescent="0.2">
      <c r="A186" s="115"/>
      <c r="B186" s="115"/>
      <c r="C186" s="105"/>
      <c r="D186" s="105"/>
      <c r="E186" s="105"/>
      <c r="F186" s="105"/>
      <c r="G186" s="105"/>
      <c r="H186" s="105"/>
      <c r="I186" s="142" t="str">
        <f t="shared" si="12"/>
        <v/>
      </c>
      <c r="J186" s="105" t="str">
        <f t="shared" si="13"/>
        <v/>
      </c>
      <c r="K186" s="143" t="str">
        <f t="shared" si="14"/>
        <v/>
      </c>
      <c r="L186" s="106" t="str">
        <f t="shared" si="15"/>
        <v/>
      </c>
      <c r="M186" s="105" t="str">
        <f t="shared" si="16"/>
        <v/>
      </c>
      <c r="N186" s="144" t="str">
        <f t="shared" si="17"/>
        <v/>
      </c>
      <c r="O186" s="144" t="str">
        <f>IF(NOT(ISERROR(VLOOKUP(C186,Deflatores!G$42:H$64,2,FALSE))),VLOOKUP(C186,Deflatores!G$42:H$64,2,FALSE),IF(OR(ISBLANK(D186),ISBLANK(C186)),"",VLOOKUP(D186,Deflatores!G$4:H$38,2,FALSE)*K186+VLOOKUP(D186,Deflatores!G$4:I$38,3,FALSE)))</f>
        <v/>
      </c>
      <c r="P186" s="115"/>
      <c r="Q186" s="115"/>
      <c r="R186" s="115"/>
      <c r="S186" s="115"/>
      <c r="T186" s="168"/>
      <c r="U186" s="133"/>
    </row>
    <row r="187" spans="1:21" ht="12" customHeight="1" x14ac:dyDescent="0.2">
      <c r="A187" s="115"/>
      <c r="B187" s="115"/>
      <c r="C187" s="105"/>
      <c r="D187" s="105"/>
      <c r="E187" s="105"/>
      <c r="F187" s="105"/>
      <c r="G187" s="105"/>
      <c r="H187" s="105"/>
      <c r="I187" s="142" t="str">
        <f t="shared" si="12"/>
        <v/>
      </c>
      <c r="J187" s="105" t="str">
        <f t="shared" si="13"/>
        <v/>
      </c>
      <c r="K187" s="143" t="str">
        <f t="shared" si="14"/>
        <v/>
      </c>
      <c r="L187" s="106" t="str">
        <f t="shared" si="15"/>
        <v/>
      </c>
      <c r="M187" s="105" t="str">
        <f t="shared" si="16"/>
        <v/>
      </c>
      <c r="N187" s="144" t="str">
        <f t="shared" si="17"/>
        <v/>
      </c>
      <c r="O187" s="144" t="str">
        <f>IF(NOT(ISERROR(VLOOKUP(C187,Deflatores!G$42:H$64,2,FALSE))),VLOOKUP(C187,Deflatores!G$42:H$64,2,FALSE),IF(OR(ISBLANK(D187),ISBLANK(C187)),"",VLOOKUP(D187,Deflatores!G$4:H$38,2,FALSE)*K187+VLOOKUP(D187,Deflatores!G$4:I$38,3,FALSE)))</f>
        <v/>
      </c>
      <c r="P187" s="115"/>
      <c r="Q187" s="115"/>
      <c r="R187" s="115"/>
      <c r="S187" s="115"/>
      <c r="T187" s="168"/>
      <c r="U187" s="133"/>
    </row>
    <row r="188" spans="1:21" ht="12" customHeight="1" x14ac:dyDescent="0.2">
      <c r="A188" s="115"/>
      <c r="B188" s="115"/>
      <c r="C188" s="105"/>
      <c r="D188" s="105"/>
      <c r="E188" s="105"/>
      <c r="F188" s="105"/>
      <c r="G188" s="105"/>
      <c r="H188" s="105"/>
      <c r="I188" s="142" t="str">
        <f t="shared" si="12"/>
        <v/>
      </c>
      <c r="J188" s="105" t="str">
        <f t="shared" si="13"/>
        <v/>
      </c>
      <c r="K188" s="143" t="str">
        <f t="shared" si="14"/>
        <v/>
      </c>
      <c r="L188" s="106" t="str">
        <f t="shared" si="15"/>
        <v/>
      </c>
      <c r="M188" s="105" t="str">
        <f t="shared" si="16"/>
        <v/>
      </c>
      <c r="N188" s="144" t="str">
        <f t="shared" si="17"/>
        <v/>
      </c>
      <c r="O188" s="144" t="str">
        <f>IF(NOT(ISERROR(VLOOKUP(C188,Deflatores!G$42:H$64,2,FALSE))),VLOOKUP(C188,Deflatores!G$42:H$64,2,FALSE),IF(OR(ISBLANK(D188),ISBLANK(C188)),"",VLOOKUP(D188,Deflatores!G$4:H$38,2,FALSE)*K188+VLOOKUP(D188,Deflatores!G$4:I$38,3,FALSE)))</f>
        <v/>
      </c>
      <c r="P188" s="115"/>
      <c r="Q188" s="115"/>
      <c r="R188" s="115"/>
      <c r="S188" s="115"/>
      <c r="T188" s="168"/>
      <c r="U188" s="133"/>
    </row>
    <row r="189" spans="1:21" ht="12" customHeight="1" x14ac:dyDescent="0.2">
      <c r="A189" s="115"/>
      <c r="B189" s="115"/>
      <c r="C189" s="105"/>
      <c r="D189" s="105"/>
      <c r="E189" s="105"/>
      <c r="F189" s="105"/>
      <c r="G189" s="105"/>
      <c r="H189" s="105"/>
      <c r="I189" s="142" t="str">
        <f t="shared" si="12"/>
        <v/>
      </c>
      <c r="J189" s="105" t="str">
        <f t="shared" si="13"/>
        <v/>
      </c>
      <c r="K189" s="143" t="str">
        <f t="shared" si="14"/>
        <v/>
      </c>
      <c r="L189" s="106" t="str">
        <f t="shared" si="15"/>
        <v/>
      </c>
      <c r="M189" s="105" t="str">
        <f t="shared" si="16"/>
        <v/>
      </c>
      <c r="N189" s="144" t="str">
        <f t="shared" si="17"/>
        <v/>
      </c>
      <c r="O189" s="144" t="str">
        <f>IF(NOT(ISERROR(VLOOKUP(C189,Deflatores!G$42:H$64,2,FALSE))),VLOOKUP(C189,Deflatores!G$42:H$64,2,FALSE),IF(OR(ISBLANK(D189),ISBLANK(C189)),"",VLOOKUP(D189,Deflatores!G$4:H$38,2,FALSE)*K189+VLOOKUP(D189,Deflatores!G$4:I$38,3,FALSE)))</f>
        <v/>
      </c>
      <c r="P189" s="115"/>
      <c r="Q189" s="115"/>
      <c r="R189" s="115"/>
      <c r="S189" s="115"/>
      <c r="T189" s="168"/>
      <c r="U189" s="133"/>
    </row>
    <row r="190" spans="1:21" ht="12" customHeight="1" x14ac:dyDescent="0.2">
      <c r="A190" s="115"/>
      <c r="B190" s="115"/>
      <c r="C190" s="105"/>
      <c r="D190" s="105"/>
      <c r="E190" s="105"/>
      <c r="F190" s="105"/>
      <c r="G190" s="105"/>
      <c r="H190" s="105"/>
      <c r="I190" s="142" t="str">
        <f t="shared" si="12"/>
        <v/>
      </c>
      <c r="J190" s="105" t="str">
        <f t="shared" si="13"/>
        <v/>
      </c>
      <c r="K190" s="143" t="str">
        <f t="shared" si="14"/>
        <v/>
      </c>
      <c r="L190" s="106" t="str">
        <f t="shared" si="15"/>
        <v/>
      </c>
      <c r="M190" s="105" t="str">
        <f t="shared" si="16"/>
        <v/>
      </c>
      <c r="N190" s="144" t="str">
        <f t="shared" si="17"/>
        <v/>
      </c>
      <c r="O190" s="144" t="str">
        <f>IF(NOT(ISERROR(VLOOKUP(C190,Deflatores!G$42:H$64,2,FALSE))),VLOOKUP(C190,Deflatores!G$42:H$64,2,FALSE),IF(OR(ISBLANK(D190),ISBLANK(C190)),"",VLOOKUP(D190,Deflatores!G$4:H$38,2,FALSE)*K190+VLOOKUP(D190,Deflatores!G$4:I$38,3,FALSE)))</f>
        <v/>
      </c>
      <c r="P190" s="115"/>
      <c r="Q190" s="115"/>
      <c r="R190" s="115"/>
      <c r="S190" s="115"/>
      <c r="T190" s="168"/>
      <c r="U190" s="133"/>
    </row>
    <row r="191" spans="1:21" ht="12" customHeight="1" x14ac:dyDescent="0.2">
      <c r="A191" s="115"/>
      <c r="B191" s="115"/>
      <c r="C191" s="105"/>
      <c r="D191" s="105"/>
      <c r="E191" s="105"/>
      <c r="F191" s="105"/>
      <c r="G191" s="105"/>
      <c r="H191" s="105"/>
      <c r="I191" s="142" t="str">
        <f t="shared" si="12"/>
        <v/>
      </c>
      <c r="J191" s="105" t="str">
        <f t="shared" si="13"/>
        <v/>
      </c>
      <c r="K191" s="143" t="str">
        <f t="shared" si="14"/>
        <v/>
      </c>
      <c r="L191" s="106" t="str">
        <f t="shared" si="15"/>
        <v/>
      </c>
      <c r="M191" s="105" t="str">
        <f t="shared" si="16"/>
        <v/>
      </c>
      <c r="N191" s="144" t="str">
        <f t="shared" si="17"/>
        <v/>
      </c>
      <c r="O191" s="144" t="str">
        <f>IF(NOT(ISERROR(VLOOKUP(C191,Deflatores!G$42:H$64,2,FALSE))),VLOOKUP(C191,Deflatores!G$42:H$64,2,FALSE),IF(OR(ISBLANK(D191),ISBLANK(C191)),"",VLOOKUP(D191,Deflatores!G$4:H$38,2,FALSE)*K191+VLOOKUP(D191,Deflatores!G$4:I$38,3,FALSE)))</f>
        <v/>
      </c>
      <c r="P191" s="115"/>
      <c r="Q191" s="115"/>
      <c r="R191" s="115"/>
      <c r="S191" s="115"/>
      <c r="T191" s="168"/>
      <c r="U191" s="133"/>
    </row>
    <row r="192" spans="1:21" ht="12" customHeight="1" x14ac:dyDescent="0.2">
      <c r="A192" s="115"/>
      <c r="B192" s="115"/>
      <c r="C192" s="105"/>
      <c r="D192" s="105"/>
      <c r="E192" s="105"/>
      <c r="F192" s="105"/>
      <c r="G192" s="105"/>
      <c r="H192" s="105"/>
      <c r="I192" s="142" t="str">
        <f t="shared" si="12"/>
        <v/>
      </c>
      <c r="J192" s="105" t="str">
        <f t="shared" si="13"/>
        <v/>
      </c>
      <c r="K192" s="143" t="str">
        <f t="shared" si="14"/>
        <v/>
      </c>
      <c r="L192" s="106" t="str">
        <f t="shared" si="15"/>
        <v/>
      </c>
      <c r="M192" s="105" t="str">
        <f t="shared" si="16"/>
        <v/>
      </c>
      <c r="N192" s="144" t="str">
        <f t="shared" si="17"/>
        <v/>
      </c>
      <c r="O192" s="144" t="str">
        <f>IF(NOT(ISERROR(VLOOKUP(C192,Deflatores!G$42:H$64,2,FALSE))),VLOOKUP(C192,Deflatores!G$42:H$64,2,FALSE),IF(OR(ISBLANK(D192),ISBLANK(C192)),"",VLOOKUP(D192,Deflatores!G$4:H$38,2,FALSE)*K192+VLOOKUP(D192,Deflatores!G$4:I$38,3,FALSE)))</f>
        <v/>
      </c>
      <c r="P192" s="115"/>
      <c r="Q192" s="115"/>
      <c r="R192" s="115"/>
      <c r="S192" s="115"/>
      <c r="T192" s="168"/>
      <c r="U192" s="133"/>
    </row>
    <row r="193" spans="1:21" ht="12" customHeight="1" x14ac:dyDescent="0.2">
      <c r="A193" s="115"/>
      <c r="B193" s="115"/>
      <c r="C193" s="105"/>
      <c r="D193" s="105"/>
      <c r="E193" s="105"/>
      <c r="F193" s="105"/>
      <c r="G193" s="105"/>
      <c r="H193" s="105"/>
      <c r="I193" s="142" t="str">
        <f t="shared" si="12"/>
        <v/>
      </c>
      <c r="J193" s="105" t="str">
        <f t="shared" si="13"/>
        <v/>
      </c>
      <c r="K193" s="143" t="str">
        <f t="shared" si="14"/>
        <v/>
      </c>
      <c r="L193" s="106" t="str">
        <f t="shared" si="15"/>
        <v/>
      </c>
      <c r="M193" s="105" t="str">
        <f t="shared" si="16"/>
        <v/>
      </c>
      <c r="N193" s="144" t="str">
        <f t="shared" si="17"/>
        <v/>
      </c>
      <c r="O193" s="144" t="str">
        <f>IF(NOT(ISERROR(VLOOKUP(C193,Deflatores!G$42:H$64,2,FALSE))),VLOOKUP(C193,Deflatores!G$42:H$64,2,FALSE),IF(OR(ISBLANK(D193),ISBLANK(C193)),"",VLOOKUP(D193,Deflatores!G$4:H$38,2,FALSE)*K193+VLOOKUP(D193,Deflatores!G$4:I$38,3,FALSE)))</f>
        <v/>
      </c>
      <c r="P193" s="115"/>
      <c r="Q193" s="115"/>
      <c r="R193" s="115"/>
      <c r="S193" s="115"/>
      <c r="T193" s="168"/>
      <c r="U193" s="133"/>
    </row>
    <row r="194" spans="1:21" ht="12" customHeight="1" x14ac:dyDescent="0.2">
      <c r="A194" s="115"/>
      <c r="B194" s="115"/>
      <c r="C194" s="105"/>
      <c r="D194" s="105"/>
      <c r="E194" s="105"/>
      <c r="F194" s="105"/>
      <c r="G194" s="105"/>
      <c r="H194" s="105"/>
      <c r="I194" s="142" t="str">
        <f t="shared" si="12"/>
        <v/>
      </c>
      <c r="J194" s="105" t="str">
        <f t="shared" si="13"/>
        <v/>
      </c>
      <c r="K194" s="143" t="str">
        <f t="shared" si="14"/>
        <v/>
      </c>
      <c r="L194" s="106" t="str">
        <f t="shared" si="15"/>
        <v/>
      </c>
      <c r="M194" s="105" t="str">
        <f t="shared" si="16"/>
        <v/>
      </c>
      <c r="N194" s="144" t="str">
        <f t="shared" si="17"/>
        <v/>
      </c>
      <c r="O194" s="144" t="str">
        <f>IF(NOT(ISERROR(VLOOKUP(C194,Deflatores!G$42:H$64,2,FALSE))),VLOOKUP(C194,Deflatores!G$42:H$64,2,FALSE),IF(OR(ISBLANK(D194),ISBLANK(C194)),"",VLOOKUP(D194,Deflatores!G$4:H$38,2,FALSE)*K194+VLOOKUP(D194,Deflatores!G$4:I$38,3,FALSE)))</f>
        <v/>
      </c>
      <c r="P194" s="115"/>
      <c r="Q194" s="115"/>
      <c r="R194" s="115"/>
      <c r="S194" s="115"/>
      <c r="T194" s="168"/>
      <c r="U194" s="133"/>
    </row>
    <row r="195" spans="1:21" ht="12" customHeight="1" x14ac:dyDescent="0.2">
      <c r="A195" s="115"/>
      <c r="B195" s="115"/>
      <c r="C195" s="105"/>
      <c r="D195" s="105"/>
      <c r="E195" s="105"/>
      <c r="F195" s="105"/>
      <c r="G195" s="105"/>
      <c r="H195" s="105"/>
      <c r="I195" s="142" t="str">
        <f t="shared" si="12"/>
        <v/>
      </c>
      <c r="J195" s="105" t="str">
        <f t="shared" si="13"/>
        <v/>
      </c>
      <c r="K195" s="143" t="str">
        <f t="shared" si="14"/>
        <v/>
      </c>
      <c r="L195" s="106" t="str">
        <f t="shared" si="15"/>
        <v/>
      </c>
      <c r="M195" s="105" t="str">
        <f t="shared" si="16"/>
        <v/>
      </c>
      <c r="N195" s="144" t="str">
        <f t="shared" si="17"/>
        <v/>
      </c>
      <c r="O195" s="144" t="str">
        <f>IF(NOT(ISERROR(VLOOKUP(C195,Deflatores!G$42:H$64,2,FALSE))),VLOOKUP(C195,Deflatores!G$42:H$64,2,FALSE),IF(OR(ISBLANK(D195),ISBLANK(C195)),"",VLOOKUP(D195,Deflatores!G$4:H$38,2,FALSE)*K195+VLOOKUP(D195,Deflatores!G$4:I$38,3,FALSE)))</f>
        <v/>
      </c>
      <c r="P195" s="115"/>
      <c r="Q195" s="115"/>
      <c r="R195" s="115"/>
      <c r="S195" s="115"/>
      <c r="T195" s="168"/>
      <c r="U195" s="133"/>
    </row>
    <row r="196" spans="1:21" ht="12" customHeight="1" x14ac:dyDescent="0.2">
      <c r="A196" s="115"/>
      <c r="B196" s="115"/>
      <c r="C196" s="105"/>
      <c r="D196" s="105"/>
      <c r="E196" s="105"/>
      <c r="F196" s="105"/>
      <c r="G196" s="105"/>
      <c r="H196" s="105"/>
      <c r="I196" s="142" t="str">
        <f t="shared" si="12"/>
        <v/>
      </c>
      <c r="J196" s="105" t="str">
        <f t="shared" si="13"/>
        <v/>
      </c>
      <c r="K196" s="143" t="str">
        <f t="shared" si="14"/>
        <v/>
      </c>
      <c r="L196" s="106" t="str">
        <f t="shared" si="15"/>
        <v/>
      </c>
      <c r="M196" s="105" t="str">
        <f t="shared" si="16"/>
        <v/>
      </c>
      <c r="N196" s="144" t="str">
        <f t="shared" si="17"/>
        <v/>
      </c>
      <c r="O196" s="144" t="str">
        <f>IF(NOT(ISERROR(VLOOKUP(C196,Deflatores!G$42:H$64,2,FALSE))),VLOOKUP(C196,Deflatores!G$42:H$64,2,FALSE),IF(OR(ISBLANK(D196),ISBLANK(C196)),"",VLOOKUP(D196,Deflatores!G$4:H$38,2,FALSE)*K196+VLOOKUP(D196,Deflatores!G$4:I$38,3,FALSE)))</f>
        <v/>
      </c>
      <c r="P196" s="115"/>
      <c r="Q196" s="115"/>
      <c r="R196" s="115"/>
      <c r="S196" s="115"/>
      <c r="T196" s="168"/>
      <c r="U196" s="133"/>
    </row>
    <row r="197" spans="1:21" ht="12" customHeight="1" x14ac:dyDescent="0.2">
      <c r="A197" s="115"/>
      <c r="B197" s="115"/>
      <c r="C197" s="105"/>
      <c r="D197" s="105"/>
      <c r="E197" s="105"/>
      <c r="F197" s="105"/>
      <c r="G197" s="105"/>
      <c r="H197" s="105"/>
      <c r="I197" s="142" t="str">
        <f t="shared" si="12"/>
        <v/>
      </c>
      <c r="J197" s="105" t="str">
        <f t="shared" si="13"/>
        <v/>
      </c>
      <c r="K197" s="143" t="str">
        <f t="shared" si="14"/>
        <v/>
      </c>
      <c r="L197" s="106" t="str">
        <f t="shared" si="15"/>
        <v/>
      </c>
      <c r="M197" s="105" t="str">
        <f t="shared" si="16"/>
        <v/>
      </c>
      <c r="N197" s="144" t="str">
        <f t="shared" si="17"/>
        <v/>
      </c>
      <c r="O197" s="144" t="str">
        <f>IF(NOT(ISERROR(VLOOKUP(C197,Deflatores!G$42:H$64,2,FALSE))),VLOOKUP(C197,Deflatores!G$42:H$64,2,FALSE),IF(OR(ISBLANK(D197),ISBLANK(C197)),"",VLOOKUP(D197,Deflatores!G$4:H$38,2,FALSE)*K197+VLOOKUP(D197,Deflatores!G$4:I$38,3,FALSE)))</f>
        <v/>
      </c>
      <c r="P197" s="115"/>
      <c r="Q197" s="115"/>
      <c r="R197" s="115"/>
      <c r="S197" s="115"/>
      <c r="T197" s="168"/>
      <c r="U197" s="133"/>
    </row>
    <row r="198" spans="1:21" ht="12" customHeight="1" x14ac:dyDescent="0.2">
      <c r="A198" s="115"/>
      <c r="B198" s="115"/>
      <c r="C198" s="105"/>
      <c r="D198" s="105"/>
      <c r="E198" s="105"/>
      <c r="F198" s="105"/>
      <c r="G198" s="105"/>
      <c r="H198" s="105"/>
      <c r="I198" s="142" t="str">
        <f t="shared" si="12"/>
        <v/>
      </c>
      <c r="J198" s="105" t="str">
        <f t="shared" si="13"/>
        <v/>
      </c>
      <c r="K198" s="143" t="str">
        <f t="shared" si="14"/>
        <v/>
      </c>
      <c r="L198" s="106" t="str">
        <f t="shared" si="15"/>
        <v/>
      </c>
      <c r="M198" s="105" t="str">
        <f t="shared" si="16"/>
        <v/>
      </c>
      <c r="N198" s="144" t="str">
        <f t="shared" si="17"/>
        <v/>
      </c>
      <c r="O198" s="144" t="str">
        <f>IF(NOT(ISERROR(VLOOKUP(C198,Deflatores!G$42:H$64,2,FALSE))),VLOOKUP(C198,Deflatores!G$42:H$64,2,FALSE),IF(OR(ISBLANK(D198),ISBLANK(C198)),"",VLOOKUP(D198,Deflatores!G$4:H$38,2,FALSE)*K198+VLOOKUP(D198,Deflatores!G$4:I$38,3,FALSE)))</f>
        <v/>
      </c>
      <c r="P198" s="115"/>
      <c r="Q198" s="115"/>
      <c r="R198" s="115"/>
      <c r="S198" s="115"/>
      <c r="T198" s="168"/>
      <c r="U198" s="133"/>
    </row>
    <row r="199" spans="1:21" ht="12" customHeight="1" x14ac:dyDescent="0.2">
      <c r="A199" s="115"/>
      <c r="B199" s="115"/>
      <c r="C199" s="105"/>
      <c r="D199" s="105"/>
      <c r="E199" s="105"/>
      <c r="F199" s="105"/>
      <c r="G199" s="105"/>
      <c r="H199" s="105"/>
      <c r="I199" s="142" t="str">
        <f t="shared" si="12"/>
        <v/>
      </c>
      <c r="J199" s="105" t="str">
        <f t="shared" si="13"/>
        <v/>
      </c>
      <c r="K199" s="143" t="str">
        <f t="shared" si="14"/>
        <v/>
      </c>
      <c r="L199" s="106" t="str">
        <f t="shared" si="15"/>
        <v/>
      </c>
      <c r="M199" s="105" t="str">
        <f t="shared" si="16"/>
        <v/>
      </c>
      <c r="N199" s="144" t="str">
        <f t="shared" si="17"/>
        <v/>
      </c>
      <c r="O199" s="144" t="str">
        <f>IF(NOT(ISERROR(VLOOKUP(C199,Deflatores!G$42:H$64,2,FALSE))),VLOOKUP(C199,Deflatores!G$42:H$64,2,FALSE),IF(OR(ISBLANK(D199),ISBLANK(C199)),"",VLOOKUP(D199,Deflatores!G$4:H$38,2,FALSE)*K199+VLOOKUP(D199,Deflatores!G$4:I$38,3,FALSE)))</f>
        <v/>
      </c>
      <c r="P199" s="115"/>
      <c r="Q199" s="115"/>
      <c r="R199" s="115"/>
      <c r="S199" s="115"/>
      <c r="T199" s="168"/>
      <c r="U199" s="133"/>
    </row>
    <row r="200" spans="1:21" ht="12" customHeight="1" x14ac:dyDescent="0.2">
      <c r="A200" s="115"/>
      <c r="B200" s="115"/>
      <c r="C200" s="105"/>
      <c r="D200" s="105"/>
      <c r="E200" s="105"/>
      <c r="F200" s="105"/>
      <c r="G200" s="105"/>
      <c r="H200" s="105"/>
      <c r="I200" s="142" t="str">
        <f t="shared" si="12"/>
        <v/>
      </c>
      <c r="J200" s="105" t="str">
        <f t="shared" si="13"/>
        <v/>
      </c>
      <c r="K200" s="143" t="str">
        <f t="shared" si="14"/>
        <v/>
      </c>
      <c r="L200" s="106" t="str">
        <f t="shared" si="15"/>
        <v/>
      </c>
      <c r="M200" s="105" t="str">
        <f t="shared" si="16"/>
        <v/>
      </c>
      <c r="N200" s="144" t="str">
        <f t="shared" si="17"/>
        <v/>
      </c>
      <c r="O200" s="144" t="str">
        <f>IF(NOT(ISERROR(VLOOKUP(C200,Deflatores!G$42:H$64,2,FALSE))),VLOOKUP(C200,Deflatores!G$42:H$64,2,FALSE),IF(OR(ISBLANK(D200),ISBLANK(C200)),"",VLOOKUP(D200,Deflatores!G$4:H$38,2,FALSE)*K200+VLOOKUP(D200,Deflatores!G$4:I$38,3,FALSE)))</f>
        <v/>
      </c>
      <c r="P200" s="115"/>
      <c r="Q200" s="115"/>
      <c r="R200" s="115"/>
      <c r="S200" s="115"/>
      <c r="T200" s="168"/>
      <c r="U200" s="133"/>
    </row>
    <row r="201" spans="1:21" ht="12" customHeight="1" x14ac:dyDescent="0.2">
      <c r="A201" s="115"/>
      <c r="B201" s="115"/>
      <c r="C201" s="105"/>
      <c r="D201" s="105"/>
      <c r="E201" s="105"/>
      <c r="F201" s="105"/>
      <c r="G201" s="105"/>
      <c r="H201" s="105"/>
      <c r="I201" s="142" t="str">
        <f t="shared" si="12"/>
        <v/>
      </c>
      <c r="J201" s="105" t="str">
        <f t="shared" si="13"/>
        <v/>
      </c>
      <c r="K201" s="143" t="str">
        <f t="shared" si="14"/>
        <v/>
      </c>
      <c r="L201" s="106" t="str">
        <f t="shared" si="15"/>
        <v/>
      </c>
      <c r="M201" s="105" t="str">
        <f t="shared" si="16"/>
        <v/>
      </c>
      <c r="N201" s="144" t="str">
        <f t="shared" si="17"/>
        <v/>
      </c>
      <c r="O201" s="144" t="str">
        <f>IF(NOT(ISERROR(VLOOKUP(C201,Deflatores!G$42:H$64,2,FALSE))),VLOOKUP(C201,Deflatores!G$42:H$64,2,FALSE),IF(OR(ISBLANK(D201),ISBLANK(C201)),"",VLOOKUP(D201,Deflatores!G$4:H$38,2,FALSE)*K201+VLOOKUP(D201,Deflatores!G$4:I$38,3,FALSE)))</f>
        <v/>
      </c>
      <c r="P201" s="115"/>
      <c r="Q201" s="115"/>
      <c r="R201" s="115"/>
      <c r="S201" s="115"/>
      <c r="T201" s="168"/>
      <c r="U201" s="133"/>
    </row>
    <row r="202" spans="1:21" ht="12" customHeight="1" x14ac:dyDescent="0.2">
      <c r="A202" s="115"/>
      <c r="B202" s="115"/>
      <c r="C202" s="105"/>
      <c r="D202" s="105"/>
      <c r="E202" s="105"/>
      <c r="F202" s="105"/>
      <c r="G202" s="105"/>
      <c r="H202" s="105"/>
      <c r="I202" s="142" t="str">
        <f t="shared" si="12"/>
        <v/>
      </c>
      <c r="J202" s="105" t="str">
        <f t="shared" si="13"/>
        <v/>
      </c>
      <c r="K202" s="143" t="str">
        <f t="shared" si="14"/>
        <v/>
      </c>
      <c r="L202" s="106" t="str">
        <f t="shared" si="15"/>
        <v/>
      </c>
      <c r="M202" s="105" t="str">
        <f t="shared" si="16"/>
        <v/>
      </c>
      <c r="N202" s="144" t="str">
        <f t="shared" si="17"/>
        <v/>
      </c>
      <c r="O202" s="144" t="str">
        <f>IF(NOT(ISERROR(VLOOKUP(C202,Deflatores!G$42:H$64,2,FALSE))),VLOOKUP(C202,Deflatores!G$42:H$64,2,FALSE),IF(OR(ISBLANK(D202),ISBLANK(C202)),"",VLOOKUP(D202,Deflatores!G$4:H$38,2,FALSE)*K202+VLOOKUP(D202,Deflatores!G$4:I$38,3,FALSE)))</f>
        <v/>
      </c>
      <c r="P202" s="115"/>
      <c r="Q202" s="115"/>
      <c r="R202" s="115"/>
      <c r="S202" s="115"/>
      <c r="T202" s="168"/>
      <c r="U202" s="133"/>
    </row>
    <row r="203" spans="1:21" ht="12" customHeight="1" x14ac:dyDescent="0.2">
      <c r="A203" s="115"/>
      <c r="B203" s="115"/>
      <c r="C203" s="105"/>
      <c r="D203" s="105"/>
      <c r="E203" s="105"/>
      <c r="F203" s="105"/>
      <c r="G203" s="105"/>
      <c r="H203" s="105"/>
      <c r="I203" s="142" t="str">
        <f t="shared" si="12"/>
        <v/>
      </c>
      <c r="J203" s="105" t="str">
        <f t="shared" si="13"/>
        <v/>
      </c>
      <c r="K203" s="143" t="str">
        <f t="shared" si="14"/>
        <v/>
      </c>
      <c r="L203" s="106" t="str">
        <f t="shared" si="15"/>
        <v/>
      </c>
      <c r="M203" s="105" t="str">
        <f t="shared" si="16"/>
        <v/>
      </c>
      <c r="N203" s="144" t="str">
        <f t="shared" si="17"/>
        <v/>
      </c>
      <c r="O203" s="144" t="str">
        <f>IF(NOT(ISERROR(VLOOKUP(C203,Deflatores!G$42:H$64,2,FALSE))),VLOOKUP(C203,Deflatores!G$42:H$64,2,FALSE),IF(OR(ISBLANK(D203),ISBLANK(C203)),"",VLOOKUP(D203,Deflatores!G$4:H$38,2,FALSE)*K203+VLOOKUP(D203,Deflatores!G$4:I$38,3,FALSE)))</f>
        <v/>
      </c>
      <c r="P203" s="115"/>
      <c r="Q203" s="115"/>
      <c r="R203" s="115"/>
      <c r="S203" s="115"/>
      <c r="T203" s="168"/>
      <c r="U203" s="133"/>
    </row>
    <row r="204" spans="1:21" ht="12" customHeight="1" x14ac:dyDescent="0.2">
      <c r="A204" s="115"/>
      <c r="B204" s="115"/>
      <c r="C204" s="105"/>
      <c r="D204" s="105"/>
      <c r="E204" s="105"/>
      <c r="F204" s="105"/>
      <c r="G204" s="105"/>
      <c r="H204" s="105"/>
      <c r="I204" s="142" t="str">
        <f t="shared" si="12"/>
        <v/>
      </c>
      <c r="J204" s="105" t="str">
        <f t="shared" si="13"/>
        <v/>
      </c>
      <c r="K204" s="143" t="str">
        <f t="shared" si="14"/>
        <v/>
      </c>
      <c r="L204" s="106" t="str">
        <f t="shared" si="15"/>
        <v/>
      </c>
      <c r="M204" s="105" t="str">
        <f t="shared" si="16"/>
        <v/>
      </c>
      <c r="N204" s="144" t="str">
        <f t="shared" si="17"/>
        <v/>
      </c>
      <c r="O204" s="144" t="str">
        <f>IF(NOT(ISERROR(VLOOKUP(C204,Deflatores!G$42:H$64,2,FALSE))),VLOOKUP(C204,Deflatores!G$42:H$64,2,FALSE),IF(OR(ISBLANK(D204),ISBLANK(C204)),"",VLOOKUP(D204,Deflatores!G$4:H$38,2,FALSE)*K204+VLOOKUP(D204,Deflatores!G$4:I$38,3,FALSE)))</f>
        <v/>
      </c>
      <c r="P204" s="115"/>
      <c r="Q204" s="115"/>
      <c r="R204" s="115"/>
      <c r="S204" s="115"/>
      <c r="T204" s="168"/>
      <c r="U204" s="133"/>
    </row>
    <row r="205" spans="1:21" ht="12" customHeight="1" x14ac:dyDescent="0.2">
      <c r="A205" s="115"/>
      <c r="B205" s="115"/>
      <c r="C205" s="105"/>
      <c r="D205" s="105"/>
      <c r="E205" s="105"/>
      <c r="F205" s="105"/>
      <c r="G205" s="105"/>
      <c r="H205" s="105"/>
      <c r="I205" s="142" t="str">
        <f t="shared" si="12"/>
        <v/>
      </c>
      <c r="J205" s="105" t="str">
        <f t="shared" si="13"/>
        <v/>
      </c>
      <c r="K205" s="143" t="str">
        <f t="shared" si="14"/>
        <v/>
      </c>
      <c r="L205" s="106" t="str">
        <f t="shared" si="15"/>
        <v/>
      </c>
      <c r="M205" s="105" t="str">
        <f t="shared" si="16"/>
        <v/>
      </c>
      <c r="N205" s="144" t="str">
        <f t="shared" si="17"/>
        <v/>
      </c>
      <c r="O205" s="144" t="str">
        <f>IF(NOT(ISERROR(VLOOKUP(C205,Deflatores!G$42:H$64,2,FALSE))),VLOOKUP(C205,Deflatores!G$42:H$64,2,FALSE),IF(OR(ISBLANK(D205),ISBLANK(C205)),"",VLOOKUP(D205,Deflatores!G$4:H$38,2,FALSE)*K205+VLOOKUP(D205,Deflatores!G$4:I$38,3,FALSE)))</f>
        <v/>
      </c>
      <c r="P205" s="115"/>
      <c r="Q205" s="115"/>
      <c r="R205" s="115"/>
      <c r="S205" s="115"/>
      <c r="T205" s="168"/>
      <c r="U205" s="133"/>
    </row>
    <row r="206" spans="1:21" ht="12" customHeight="1" x14ac:dyDescent="0.2">
      <c r="A206" s="115"/>
      <c r="B206" s="115"/>
      <c r="C206" s="105"/>
      <c r="D206" s="105"/>
      <c r="E206" s="105"/>
      <c r="F206" s="105"/>
      <c r="G206" s="105"/>
      <c r="H206" s="105"/>
      <c r="I206" s="142" t="str">
        <f t="shared" ref="I206:I269" si="18">IF(ISBLANK(C206),"",IF(L206="L","Baixa",IF(L206="A","Média",IF(L206="","","Alta"))))</f>
        <v/>
      </c>
      <c r="J206" s="105" t="str">
        <f t="shared" ref="J206:J269" si="19">CONCATENATE(C206,L206)</f>
        <v/>
      </c>
      <c r="K206" s="143" t="str">
        <f t="shared" ref="K206:K269" si="20">IF(ISBLANK(C206),"",IF(C206="ALI",IF(L206="L",7,IF(L206="A",10,15)),IF(C206="AIE",IF(L206="L",5,IF(L206="A",7,10)),IF(C206="SE",IF(L206="L",4,IF(L206="A",5,7)),IF(OR(C206="EE",C206="CE"),IF(L206="L",3,IF(L206="A",4,6)),0)))))</f>
        <v/>
      </c>
      <c r="L206" s="106" t="str">
        <f t="shared" ref="L206:L269" si="21">IF(OR(ISBLANK(E206),ISBLANK(G206)),IF(OR(C206="ALI",C206="AIE"),"L",IF(OR(C206="EE",C206="SE",C206="CE"),"A","")),IF(C206="EE",IF(G206&gt;=3,IF(E206&gt;=5,"H","A"),IF(G206&gt;=2,IF(E206&gt;=16,"H",IF(E206&lt;=4,"L","A")),IF(E206&lt;=15,"L","A"))),IF(OR(C206="SE",C206="CE"),IF(G206&gt;=4,IF(E206&gt;=6,"H","A"),IF(G206&gt;=2,IF(E206&gt;=20,"H",IF(E206&lt;=5,"L","A")),IF(E206&lt;=19,"L","A"))),IF(OR(C206="ALI",C206="AIE"),IF(G206&gt;=6,IF(E206&gt;=20,"H","A"),IF(G206&gt;=2,IF(E206&gt;=51,"H",IF(E206&lt;=19,"L","A")),IF(E206&lt;=50,"L","A"))),""))))</f>
        <v/>
      </c>
      <c r="M206" s="105" t="str">
        <f t="shared" ref="M206:M269" si="22">CONCATENATE(C206,D206)</f>
        <v/>
      </c>
      <c r="N206" s="144" t="str">
        <f t="shared" ref="N206:N269" si="23">IF(OR(K206="",K206=0),O206,K206)</f>
        <v/>
      </c>
      <c r="O206" s="144" t="str">
        <f>IF(NOT(ISERROR(VLOOKUP(C206,Deflatores!G$42:H$64,2,FALSE))),VLOOKUP(C206,Deflatores!G$42:H$64,2,FALSE),IF(OR(ISBLANK(D206),ISBLANK(C206)),"",VLOOKUP(D206,Deflatores!G$4:H$38,2,FALSE)*K206+VLOOKUP(D206,Deflatores!G$4:I$38,3,FALSE)))</f>
        <v/>
      </c>
      <c r="P206" s="115"/>
      <c r="Q206" s="115"/>
      <c r="R206" s="115"/>
      <c r="S206" s="115"/>
      <c r="T206" s="168"/>
      <c r="U206" s="133"/>
    </row>
    <row r="207" spans="1:21" ht="12" customHeight="1" x14ac:dyDescent="0.2">
      <c r="A207" s="115"/>
      <c r="B207" s="115"/>
      <c r="C207" s="105"/>
      <c r="D207" s="105"/>
      <c r="E207" s="105"/>
      <c r="F207" s="105"/>
      <c r="G207" s="105"/>
      <c r="H207" s="105"/>
      <c r="I207" s="142" t="str">
        <f t="shared" si="18"/>
        <v/>
      </c>
      <c r="J207" s="105" t="str">
        <f t="shared" si="19"/>
        <v/>
      </c>
      <c r="K207" s="143" t="str">
        <f t="shared" si="20"/>
        <v/>
      </c>
      <c r="L207" s="106" t="str">
        <f t="shared" si="21"/>
        <v/>
      </c>
      <c r="M207" s="105" t="str">
        <f t="shared" si="22"/>
        <v/>
      </c>
      <c r="N207" s="144" t="str">
        <f t="shared" si="23"/>
        <v/>
      </c>
      <c r="O207" s="144" t="str">
        <f>IF(NOT(ISERROR(VLOOKUP(C207,Deflatores!G$42:H$64,2,FALSE))),VLOOKUP(C207,Deflatores!G$42:H$64,2,FALSE),IF(OR(ISBLANK(D207),ISBLANK(C207)),"",VLOOKUP(D207,Deflatores!G$4:H$38,2,FALSE)*K207+VLOOKUP(D207,Deflatores!G$4:I$38,3,FALSE)))</f>
        <v/>
      </c>
      <c r="P207" s="115"/>
      <c r="Q207" s="115"/>
      <c r="R207" s="115"/>
      <c r="S207" s="115"/>
      <c r="T207" s="168"/>
      <c r="U207" s="133"/>
    </row>
    <row r="208" spans="1:21" ht="12" customHeight="1" x14ac:dyDescent="0.2">
      <c r="A208" s="115"/>
      <c r="B208" s="115"/>
      <c r="C208" s="105"/>
      <c r="D208" s="105"/>
      <c r="E208" s="105"/>
      <c r="F208" s="105"/>
      <c r="G208" s="105"/>
      <c r="H208" s="105"/>
      <c r="I208" s="142" t="str">
        <f t="shared" si="18"/>
        <v/>
      </c>
      <c r="J208" s="105" t="str">
        <f t="shared" si="19"/>
        <v/>
      </c>
      <c r="K208" s="143" t="str">
        <f t="shared" si="20"/>
        <v/>
      </c>
      <c r="L208" s="106" t="str">
        <f t="shared" si="21"/>
        <v/>
      </c>
      <c r="M208" s="105" t="str">
        <f t="shared" si="22"/>
        <v/>
      </c>
      <c r="N208" s="144" t="str">
        <f t="shared" si="23"/>
        <v/>
      </c>
      <c r="O208" s="144" t="str">
        <f>IF(NOT(ISERROR(VLOOKUP(C208,Deflatores!G$42:H$64,2,FALSE))),VLOOKUP(C208,Deflatores!G$42:H$64,2,FALSE),IF(OR(ISBLANK(D208),ISBLANK(C208)),"",VLOOKUP(D208,Deflatores!G$4:H$38,2,FALSE)*K208+VLOOKUP(D208,Deflatores!G$4:I$38,3,FALSE)))</f>
        <v/>
      </c>
      <c r="P208" s="115"/>
      <c r="Q208" s="115"/>
      <c r="R208" s="115"/>
      <c r="S208" s="115"/>
      <c r="T208" s="168"/>
      <c r="U208" s="133"/>
    </row>
    <row r="209" spans="1:21" ht="12" customHeight="1" x14ac:dyDescent="0.2">
      <c r="A209" s="115"/>
      <c r="B209" s="115"/>
      <c r="C209" s="105"/>
      <c r="D209" s="105"/>
      <c r="E209" s="105"/>
      <c r="F209" s="105"/>
      <c r="G209" s="105"/>
      <c r="H209" s="105"/>
      <c r="I209" s="142" t="str">
        <f t="shared" si="18"/>
        <v/>
      </c>
      <c r="J209" s="105" t="str">
        <f t="shared" si="19"/>
        <v/>
      </c>
      <c r="K209" s="143" t="str">
        <f t="shared" si="20"/>
        <v/>
      </c>
      <c r="L209" s="106" t="str">
        <f t="shared" si="21"/>
        <v/>
      </c>
      <c r="M209" s="105" t="str">
        <f t="shared" si="22"/>
        <v/>
      </c>
      <c r="N209" s="144" t="str">
        <f t="shared" si="23"/>
        <v/>
      </c>
      <c r="O209" s="144" t="str">
        <f>IF(NOT(ISERROR(VLOOKUP(C209,Deflatores!G$42:H$64,2,FALSE))),VLOOKUP(C209,Deflatores!G$42:H$64,2,FALSE),IF(OR(ISBLANK(D209),ISBLANK(C209)),"",VLOOKUP(D209,Deflatores!G$4:H$38,2,FALSE)*K209+VLOOKUP(D209,Deflatores!G$4:I$38,3,FALSE)))</f>
        <v/>
      </c>
      <c r="P209" s="115"/>
      <c r="Q209" s="115"/>
      <c r="R209" s="115"/>
      <c r="S209" s="115"/>
      <c r="T209" s="168"/>
      <c r="U209" s="133"/>
    </row>
    <row r="210" spans="1:21" ht="12" customHeight="1" x14ac:dyDescent="0.2">
      <c r="A210" s="115"/>
      <c r="B210" s="115"/>
      <c r="C210" s="105"/>
      <c r="D210" s="105"/>
      <c r="E210" s="105"/>
      <c r="F210" s="105"/>
      <c r="G210" s="105"/>
      <c r="H210" s="105"/>
      <c r="I210" s="142" t="str">
        <f t="shared" si="18"/>
        <v/>
      </c>
      <c r="J210" s="105" t="str">
        <f t="shared" si="19"/>
        <v/>
      </c>
      <c r="K210" s="143" t="str">
        <f t="shared" si="20"/>
        <v/>
      </c>
      <c r="L210" s="106" t="str">
        <f t="shared" si="21"/>
        <v/>
      </c>
      <c r="M210" s="105" t="str">
        <f t="shared" si="22"/>
        <v/>
      </c>
      <c r="N210" s="144" t="str">
        <f t="shared" si="23"/>
        <v/>
      </c>
      <c r="O210" s="144" t="str">
        <f>IF(NOT(ISERROR(VLOOKUP(C210,Deflatores!G$42:H$64,2,FALSE))),VLOOKUP(C210,Deflatores!G$42:H$64,2,FALSE),IF(OR(ISBLANK(D210),ISBLANK(C210)),"",VLOOKUP(D210,Deflatores!G$4:H$38,2,FALSE)*K210+VLOOKUP(D210,Deflatores!G$4:I$38,3,FALSE)))</f>
        <v/>
      </c>
      <c r="P210" s="115"/>
      <c r="Q210" s="115"/>
      <c r="R210" s="115"/>
      <c r="S210" s="115"/>
      <c r="T210" s="168"/>
      <c r="U210" s="133"/>
    </row>
    <row r="211" spans="1:21" ht="12" customHeight="1" x14ac:dyDescent="0.2">
      <c r="A211" s="115"/>
      <c r="B211" s="115"/>
      <c r="C211" s="105"/>
      <c r="D211" s="105"/>
      <c r="E211" s="105"/>
      <c r="F211" s="105"/>
      <c r="G211" s="105"/>
      <c r="H211" s="105"/>
      <c r="I211" s="142" t="str">
        <f t="shared" si="18"/>
        <v/>
      </c>
      <c r="J211" s="105" t="str">
        <f t="shared" si="19"/>
        <v/>
      </c>
      <c r="K211" s="143" t="str">
        <f t="shared" si="20"/>
        <v/>
      </c>
      <c r="L211" s="106" t="str">
        <f t="shared" si="21"/>
        <v/>
      </c>
      <c r="M211" s="105" t="str">
        <f t="shared" si="22"/>
        <v/>
      </c>
      <c r="N211" s="144" t="str">
        <f t="shared" si="23"/>
        <v/>
      </c>
      <c r="O211" s="144" t="str">
        <f>IF(NOT(ISERROR(VLOOKUP(C211,Deflatores!G$42:H$64,2,FALSE))),VLOOKUP(C211,Deflatores!G$42:H$64,2,FALSE),IF(OR(ISBLANK(D211),ISBLANK(C211)),"",VLOOKUP(D211,Deflatores!G$4:H$38,2,FALSE)*K211+VLOOKUP(D211,Deflatores!G$4:I$38,3,FALSE)))</f>
        <v/>
      </c>
      <c r="P211" s="115"/>
      <c r="Q211" s="115"/>
      <c r="R211" s="115"/>
      <c r="S211" s="115"/>
      <c r="T211" s="168"/>
      <c r="U211" s="133"/>
    </row>
    <row r="212" spans="1:21" ht="12" customHeight="1" x14ac:dyDescent="0.2">
      <c r="A212" s="115"/>
      <c r="B212" s="115"/>
      <c r="C212" s="105"/>
      <c r="D212" s="105"/>
      <c r="E212" s="105"/>
      <c r="F212" s="105"/>
      <c r="G212" s="105"/>
      <c r="H212" s="105"/>
      <c r="I212" s="142" t="str">
        <f t="shared" si="18"/>
        <v/>
      </c>
      <c r="J212" s="105" t="str">
        <f t="shared" si="19"/>
        <v/>
      </c>
      <c r="K212" s="143" t="str">
        <f t="shared" si="20"/>
        <v/>
      </c>
      <c r="L212" s="106" t="str">
        <f t="shared" si="21"/>
        <v/>
      </c>
      <c r="M212" s="105" t="str">
        <f t="shared" si="22"/>
        <v/>
      </c>
      <c r="N212" s="144" t="str">
        <f t="shared" si="23"/>
        <v/>
      </c>
      <c r="O212" s="144" t="str">
        <f>IF(NOT(ISERROR(VLOOKUP(C212,Deflatores!G$42:H$64,2,FALSE))),VLOOKUP(C212,Deflatores!G$42:H$64,2,FALSE),IF(OR(ISBLANK(D212),ISBLANK(C212)),"",VLOOKUP(D212,Deflatores!G$4:H$38,2,FALSE)*K212+VLOOKUP(D212,Deflatores!G$4:I$38,3,FALSE)))</f>
        <v/>
      </c>
      <c r="P212" s="115"/>
      <c r="Q212" s="115"/>
      <c r="R212" s="115"/>
      <c r="S212" s="115"/>
      <c r="T212" s="168"/>
      <c r="U212" s="133"/>
    </row>
    <row r="213" spans="1:21" ht="12" customHeight="1" x14ac:dyDescent="0.2">
      <c r="A213" s="115"/>
      <c r="B213" s="115"/>
      <c r="C213" s="105"/>
      <c r="D213" s="105"/>
      <c r="E213" s="105"/>
      <c r="F213" s="105"/>
      <c r="G213" s="105"/>
      <c r="H213" s="105"/>
      <c r="I213" s="142" t="str">
        <f t="shared" si="18"/>
        <v/>
      </c>
      <c r="J213" s="105" t="str">
        <f t="shared" si="19"/>
        <v/>
      </c>
      <c r="K213" s="143" t="str">
        <f t="shared" si="20"/>
        <v/>
      </c>
      <c r="L213" s="106" t="str">
        <f t="shared" si="21"/>
        <v/>
      </c>
      <c r="M213" s="105" t="str">
        <f t="shared" si="22"/>
        <v/>
      </c>
      <c r="N213" s="144" t="str">
        <f t="shared" si="23"/>
        <v/>
      </c>
      <c r="O213" s="144" t="str">
        <f>IF(NOT(ISERROR(VLOOKUP(C213,Deflatores!G$42:H$64,2,FALSE))),VLOOKUP(C213,Deflatores!G$42:H$64,2,FALSE),IF(OR(ISBLANK(D213),ISBLANK(C213)),"",VLOOKUP(D213,Deflatores!G$4:H$38,2,FALSE)*K213+VLOOKUP(D213,Deflatores!G$4:I$38,3,FALSE)))</f>
        <v/>
      </c>
      <c r="P213" s="115"/>
      <c r="Q213" s="115"/>
      <c r="R213" s="115"/>
      <c r="S213" s="115"/>
      <c r="T213" s="168"/>
      <c r="U213" s="133"/>
    </row>
    <row r="214" spans="1:21" ht="12" customHeight="1" x14ac:dyDescent="0.2">
      <c r="A214" s="115"/>
      <c r="B214" s="115"/>
      <c r="C214" s="105"/>
      <c r="D214" s="105"/>
      <c r="E214" s="105"/>
      <c r="F214" s="105"/>
      <c r="G214" s="105"/>
      <c r="H214" s="105"/>
      <c r="I214" s="142" t="str">
        <f t="shared" si="18"/>
        <v/>
      </c>
      <c r="J214" s="105" t="str">
        <f t="shared" si="19"/>
        <v/>
      </c>
      <c r="K214" s="143" t="str">
        <f t="shared" si="20"/>
        <v/>
      </c>
      <c r="L214" s="106" t="str">
        <f t="shared" si="21"/>
        <v/>
      </c>
      <c r="M214" s="105" t="str">
        <f t="shared" si="22"/>
        <v/>
      </c>
      <c r="N214" s="144" t="str">
        <f t="shared" si="23"/>
        <v/>
      </c>
      <c r="O214" s="144" t="str">
        <f>IF(NOT(ISERROR(VLOOKUP(C214,Deflatores!G$42:H$64,2,FALSE))),VLOOKUP(C214,Deflatores!G$42:H$64,2,FALSE),IF(OR(ISBLANK(D214),ISBLANK(C214)),"",VLOOKUP(D214,Deflatores!G$4:H$38,2,FALSE)*K214+VLOOKUP(D214,Deflatores!G$4:I$38,3,FALSE)))</f>
        <v/>
      </c>
      <c r="P214" s="115"/>
      <c r="Q214" s="115"/>
      <c r="R214" s="115"/>
      <c r="S214" s="115"/>
      <c r="T214" s="168"/>
      <c r="U214" s="133"/>
    </row>
    <row r="215" spans="1:21" ht="12" customHeight="1" x14ac:dyDescent="0.2">
      <c r="A215" s="115"/>
      <c r="B215" s="115"/>
      <c r="C215" s="105"/>
      <c r="D215" s="105"/>
      <c r="E215" s="105"/>
      <c r="F215" s="105"/>
      <c r="G215" s="105"/>
      <c r="H215" s="105"/>
      <c r="I215" s="142" t="str">
        <f t="shared" si="18"/>
        <v/>
      </c>
      <c r="J215" s="105" t="str">
        <f t="shared" si="19"/>
        <v/>
      </c>
      <c r="K215" s="143" t="str">
        <f t="shared" si="20"/>
        <v/>
      </c>
      <c r="L215" s="106" t="str">
        <f t="shared" si="21"/>
        <v/>
      </c>
      <c r="M215" s="105" t="str">
        <f t="shared" si="22"/>
        <v/>
      </c>
      <c r="N215" s="144" t="str">
        <f t="shared" si="23"/>
        <v/>
      </c>
      <c r="O215" s="144" t="str">
        <f>IF(NOT(ISERROR(VLOOKUP(C215,Deflatores!G$42:H$64,2,FALSE))),VLOOKUP(C215,Deflatores!G$42:H$64,2,FALSE),IF(OR(ISBLANK(D215),ISBLANK(C215)),"",VLOOKUP(D215,Deflatores!G$4:H$38,2,FALSE)*K215+VLOOKUP(D215,Deflatores!G$4:I$38,3,FALSE)))</f>
        <v/>
      </c>
      <c r="P215" s="115"/>
      <c r="Q215" s="115"/>
      <c r="R215" s="115"/>
      <c r="S215" s="115"/>
      <c r="T215" s="168"/>
      <c r="U215" s="133"/>
    </row>
    <row r="216" spans="1:21" ht="12" customHeight="1" x14ac:dyDescent="0.2">
      <c r="A216" s="115"/>
      <c r="B216" s="115"/>
      <c r="C216" s="105"/>
      <c r="D216" s="105"/>
      <c r="E216" s="105"/>
      <c r="F216" s="105"/>
      <c r="G216" s="105"/>
      <c r="H216" s="105"/>
      <c r="I216" s="142" t="str">
        <f t="shared" si="18"/>
        <v/>
      </c>
      <c r="J216" s="105" t="str">
        <f t="shared" si="19"/>
        <v/>
      </c>
      <c r="K216" s="143" t="str">
        <f t="shared" si="20"/>
        <v/>
      </c>
      <c r="L216" s="106" t="str">
        <f t="shared" si="21"/>
        <v/>
      </c>
      <c r="M216" s="105" t="str">
        <f t="shared" si="22"/>
        <v/>
      </c>
      <c r="N216" s="144" t="str">
        <f t="shared" si="23"/>
        <v/>
      </c>
      <c r="O216" s="144" t="str">
        <f>IF(NOT(ISERROR(VLOOKUP(C216,Deflatores!G$42:H$64,2,FALSE))),VLOOKUP(C216,Deflatores!G$42:H$64,2,FALSE),IF(OR(ISBLANK(D216),ISBLANK(C216)),"",VLOOKUP(D216,Deflatores!G$4:H$38,2,FALSE)*K216+VLOOKUP(D216,Deflatores!G$4:I$38,3,FALSE)))</f>
        <v/>
      </c>
      <c r="P216" s="115"/>
      <c r="Q216" s="115"/>
      <c r="R216" s="115"/>
      <c r="S216" s="115"/>
      <c r="T216" s="168"/>
      <c r="U216" s="133"/>
    </row>
    <row r="217" spans="1:21" ht="12" customHeight="1" x14ac:dyDescent="0.2">
      <c r="A217" s="115"/>
      <c r="B217" s="115"/>
      <c r="C217" s="105"/>
      <c r="D217" s="105"/>
      <c r="E217" s="105"/>
      <c r="F217" s="105"/>
      <c r="G217" s="105"/>
      <c r="H217" s="105"/>
      <c r="I217" s="142" t="str">
        <f t="shared" si="18"/>
        <v/>
      </c>
      <c r="J217" s="105" t="str">
        <f t="shared" si="19"/>
        <v/>
      </c>
      <c r="K217" s="143" t="str">
        <f t="shared" si="20"/>
        <v/>
      </c>
      <c r="L217" s="106" t="str">
        <f t="shared" si="21"/>
        <v/>
      </c>
      <c r="M217" s="105" t="str">
        <f t="shared" si="22"/>
        <v/>
      </c>
      <c r="N217" s="144" t="str">
        <f t="shared" si="23"/>
        <v/>
      </c>
      <c r="O217" s="144" t="str">
        <f>IF(NOT(ISERROR(VLOOKUP(C217,Deflatores!G$42:H$64,2,FALSE))),VLOOKUP(C217,Deflatores!G$42:H$64,2,FALSE),IF(OR(ISBLANK(D217),ISBLANK(C217)),"",VLOOKUP(D217,Deflatores!G$4:H$38,2,FALSE)*K217+VLOOKUP(D217,Deflatores!G$4:I$38,3,FALSE)))</f>
        <v/>
      </c>
      <c r="P217" s="115"/>
      <c r="Q217" s="115"/>
      <c r="R217" s="115"/>
      <c r="S217" s="115"/>
      <c r="T217" s="168"/>
      <c r="U217" s="133"/>
    </row>
    <row r="218" spans="1:21" ht="12" customHeight="1" x14ac:dyDescent="0.2">
      <c r="A218" s="115"/>
      <c r="B218" s="115"/>
      <c r="C218" s="105"/>
      <c r="D218" s="105"/>
      <c r="E218" s="105"/>
      <c r="F218" s="105"/>
      <c r="G218" s="105"/>
      <c r="H218" s="105"/>
      <c r="I218" s="142" t="str">
        <f t="shared" si="18"/>
        <v/>
      </c>
      <c r="J218" s="105" t="str">
        <f t="shared" si="19"/>
        <v/>
      </c>
      <c r="K218" s="143" t="str">
        <f t="shared" si="20"/>
        <v/>
      </c>
      <c r="L218" s="106" t="str">
        <f t="shared" si="21"/>
        <v/>
      </c>
      <c r="M218" s="105" t="str">
        <f t="shared" si="22"/>
        <v/>
      </c>
      <c r="N218" s="144" t="str">
        <f t="shared" si="23"/>
        <v/>
      </c>
      <c r="O218" s="144" t="str">
        <f>IF(NOT(ISERROR(VLOOKUP(C218,Deflatores!G$42:H$64,2,FALSE))),VLOOKUP(C218,Deflatores!G$42:H$64,2,FALSE),IF(OR(ISBLANK(D218),ISBLANK(C218)),"",VLOOKUP(D218,Deflatores!G$4:H$38,2,FALSE)*K218+VLOOKUP(D218,Deflatores!G$4:I$38,3,FALSE)))</f>
        <v/>
      </c>
      <c r="P218" s="115"/>
      <c r="Q218" s="115"/>
      <c r="R218" s="115"/>
      <c r="S218" s="115"/>
      <c r="T218" s="168"/>
      <c r="U218" s="133"/>
    </row>
    <row r="219" spans="1:21" ht="12" customHeight="1" x14ac:dyDescent="0.2">
      <c r="A219" s="115"/>
      <c r="B219" s="115"/>
      <c r="C219" s="105"/>
      <c r="D219" s="105"/>
      <c r="E219" s="105"/>
      <c r="F219" s="105"/>
      <c r="G219" s="105"/>
      <c r="H219" s="105"/>
      <c r="I219" s="142" t="str">
        <f t="shared" si="18"/>
        <v/>
      </c>
      <c r="J219" s="105" t="str">
        <f t="shared" si="19"/>
        <v/>
      </c>
      <c r="K219" s="143" t="str">
        <f t="shared" si="20"/>
        <v/>
      </c>
      <c r="L219" s="106" t="str">
        <f t="shared" si="21"/>
        <v/>
      </c>
      <c r="M219" s="105" t="str">
        <f t="shared" si="22"/>
        <v/>
      </c>
      <c r="N219" s="144" t="str">
        <f t="shared" si="23"/>
        <v/>
      </c>
      <c r="O219" s="144" t="str">
        <f>IF(NOT(ISERROR(VLOOKUP(C219,Deflatores!G$42:H$64,2,FALSE))),VLOOKUP(C219,Deflatores!G$42:H$64,2,FALSE),IF(OR(ISBLANK(D219),ISBLANK(C219)),"",VLOOKUP(D219,Deflatores!G$4:H$38,2,FALSE)*K219+VLOOKUP(D219,Deflatores!G$4:I$38,3,FALSE)))</f>
        <v/>
      </c>
      <c r="P219" s="115"/>
      <c r="Q219" s="115"/>
      <c r="R219" s="115"/>
      <c r="S219" s="115"/>
      <c r="T219" s="168"/>
      <c r="U219" s="133"/>
    </row>
    <row r="220" spans="1:21" ht="12" customHeight="1" x14ac:dyDescent="0.2">
      <c r="A220" s="115"/>
      <c r="B220" s="115"/>
      <c r="C220" s="105"/>
      <c r="D220" s="105"/>
      <c r="E220" s="105"/>
      <c r="F220" s="105"/>
      <c r="G220" s="105"/>
      <c r="H220" s="105"/>
      <c r="I220" s="142" t="str">
        <f t="shared" si="18"/>
        <v/>
      </c>
      <c r="J220" s="105" t="str">
        <f t="shared" si="19"/>
        <v/>
      </c>
      <c r="K220" s="143" t="str">
        <f t="shared" si="20"/>
        <v/>
      </c>
      <c r="L220" s="106" t="str">
        <f t="shared" si="21"/>
        <v/>
      </c>
      <c r="M220" s="105" t="str">
        <f t="shared" si="22"/>
        <v/>
      </c>
      <c r="N220" s="144" t="str">
        <f t="shared" si="23"/>
        <v/>
      </c>
      <c r="O220" s="144" t="str">
        <f>IF(NOT(ISERROR(VLOOKUP(C220,Deflatores!G$42:H$64,2,FALSE))),VLOOKUP(C220,Deflatores!G$42:H$64,2,FALSE),IF(OR(ISBLANK(D220),ISBLANK(C220)),"",VLOOKUP(D220,Deflatores!G$4:H$38,2,FALSE)*K220+VLOOKUP(D220,Deflatores!G$4:I$38,3,FALSE)))</f>
        <v/>
      </c>
      <c r="P220" s="115"/>
      <c r="Q220" s="115"/>
      <c r="R220" s="115"/>
      <c r="S220" s="115"/>
      <c r="T220" s="168"/>
      <c r="U220" s="133"/>
    </row>
    <row r="221" spans="1:21" ht="12" customHeight="1" x14ac:dyDescent="0.2">
      <c r="A221" s="115"/>
      <c r="B221" s="115"/>
      <c r="C221" s="105"/>
      <c r="D221" s="105"/>
      <c r="E221" s="105"/>
      <c r="F221" s="105"/>
      <c r="G221" s="105"/>
      <c r="H221" s="105"/>
      <c r="I221" s="142" t="str">
        <f t="shared" si="18"/>
        <v/>
      </c>
      <c r="J221" s="105" t="str">
        <f t="shared" si="19"/>
        <v/>
      </c>
      <c r="K221" s="143" t="str">
        <f t="shared" si="20"/>
        <v/>
      </c>
      <c r="L221" s="106" t="str">
        <f t="shared" si="21"/>
        <v/>
      </c>
      <c r="M221" s="105" t="str">
        <f t="shared" si="22"/>
        <v/>
      </c>
      <c r="N221" s="144" t="str">
        <f t="shared" si="23"/>
        <v/>
      </c>
      <c r="O221" s="144" t="str">
        <f>IF(NOT(ISERROR(VLOOKUP(C221,Deflatores!G$42:H$64,2,FALSE))),VLOOKUP(C221,Deflatores!G$42:H$64,2,FALSE),IF(OR(ISBLANK(D221),ISBLANK(C221)),"",VLOOKUP(D221,Deflatores!G$4:H$38,2,FALSE)*K221+VLOOKUP(D221,Deflatores!G$4:I$38,3,FALSE)))</f>
        <v/>
      </c>
      <c r="P221" s="115"/>
      <c r="Q221" s="115"/>
      <c r="R221" s="115"/>
      <c r="S221" s="115"/>
      <c r="T221" s="168"/>
      <c r="U221" s="133"/>
    </row>
    <row r="222" spans="1:21" ht="12" customHeight="1" x14ac:dyDescent="0.2">
      <c r="A222" s="115"/>
      <c r="B222" s="115"/>
      <c r="C222" s="105"/>
      <c r="D222" s="105"/>
      <c r="E222" s="105"/>
      <c r="F222" s="105"/>
      <c r="G222" s="105"/>
      <c r="H222" s="105"/>
      <c r="I222" s="142" t="str">
        <f t="shared" si="18"/>
        <v/>
      </c>
      <c r="J222" s="105" t="str">
        <f t="shared" si="19"/>
        <v/>
      </c>
      <c r="K222" s="143" t="str">
        <f t="shared" si="20"/>
        <v/>
      </c>
      <c r="L222" s="106" t="str">
        <f t="shared" si="21"/>
        <v/>
      </c>
      <c r="M222" s="105" t="str">
        <f t="shared" si="22"/>
        <v/>
      </c>
      <c r="N222" s="144" t="str">
        <f t="shared" si="23"/>
        <v/>
      </c>
      <c r="O222" s="144" t="str">
        <f>IF(NOT(ISERROR(VLOOKUP(C222,Deflatores!G$42:H$64,2,FALSE))),VLOOKUP(C222,Deflatores!G$42:H$64,2,FALSE),IF(OR(ISBLANK(D222),ISBLANK(C222)),"",VLOOKUP(D222,Deflatores!G$4:H$38,2,FALSE)*K222+VLOOKUP(D222,Deflatores!G$4:I$38,3,FALSE)))</f>
        <v/>
      </c>
      <c r="P222" s="115"/>
      <c r="Q222" s="115"/>
      <c r="R222" s="115"/>
      <c r="S222" s="115"/>
      <c r="T222" s="168"/>
      <c r="U222" s="133"/>
    </row>
    <row r="223" spans="1:21" ht="12" customHeight="1" x14ac:dyDescent="0.2">
      <c r="A223" s="115"/>
      <c r="B223" s="115"/>
      <c r="C223" s="105"/>
      <c r="D223" s="105"/>
      <c r="E223" s="105"/>
      <c r="F223" s="105"/>
      <c r="G223" s="105"/>
      <c r="H223" s="105"/>
      <c r="I223" s="142" t="str">
        <f t="shared" si="18"/>
        <v/>
      </c>
      <c r="J223" s="105" t="str">
        <f t="shared" si="19"/>
        <v/>
      </c>
      <c r="K223" s="143" t="str">
        <f t="shared" si="20"/>
        <v/>
      </c>
      <c r="L223" s="106" t="str">
        <f t="shared" si="21"/>
        <v/>
      </c>
      <c r="M223" s="105" t="str">
        <f t="shared" si="22"/>
        <v/>
      </c>
      <c r="N223" s="144" t="str">
        <f t="shared" si="23"/>
        <v/>
      </c>
      <c r="O223" s="144" t="str">
        <f>IF(NOT(ISERROR(VLOOKUP(C223,Deflatores!G$42:H$64,2,FALSE))),VLOOKUP(C223,Deflatores!G$42:H$64,2,FALSE),IF(OR(ISBLANK(D223),ISBLANK(C223)),"",VLOOKUP(D223,Deflatores!G$4:H$38,2,FALSE)*K223+VLOOKUP(D223,Deflatores!G$4:I$38,3,FALSE)))</f>
        <v/>
      </c>
      <c r="P223" s="115"/>
      <c r="Q223" s="115"/>
      <c r="R223" s="115"/>
      <c r="S223" s="115"/>
      <c r="T223" s="168"/>
      <c r="U223" s="133"/>
    </row>
    <row r="224" spans="1:21" ht="12" customHeight="1" x14ac:dyDescent="0.2">
      <c r="A224" s="115"/>
      <c r="B224" s="115"/>
      <c r="C224" s="105"/>
      <c r="D224" s="105"/>
      <c r="E224" s="105"/>
      <c r="F224" s="105"/>
      <c r="G224" s="105"/>
      <c r="H224" s="105"/>
      <c r="I224" s="142" t="str">
        <f t="shared" si="18"/>
        <v/>
      </c>
      <c r="J224" s="105" t="str">
        <f t="shared" si="19"/>
        <v/>
      </c>
      <c r="K224" s="143" t="str">
        <f t="shared" si="20"/>
        <v/>
      </c>
      <c r="L224" s="106" t="str">
        <f t="shared" si="21"/>
        <v/>
      </c>
      <c r="M224" s="105" t="str">
        <f t="shared" si="22"/>
        <v/>
      </c>
      <c r="N224" s="144" t="str">
        <f t="shared" si="23"/>
        <v/>
      </c>
      <c r="O224" s="144" t="str">
        <f>IF(NOT(ISERROR(VLOOKUP(C224,Deflatores!G$42:H$64,2,FALSE))),VLOOKUP(C224,Deflatores!G$42:H$64,2,FALSE),IF(OR(ISBLANK(D224),ISBLANK(C224)),"",VLOOKUP(D224,Deflatores!G$4:H$38,2,FALSE)*K224+VLOOKUP(D224,Deflatores!G$4:I$38,3,FALSE)))</f>
        <v/>
      </c>
      <c r="P224" s="115"/>
      <c r="Q224" s="115"/>
      <c r="R224" s="115"/>
      <c r="S224" s="115"/>
      <c r="T224" s="168"/>
      <c r="U224" s="133"/>
    </row>
    <row r="225" spans="1:21" ht="12" customHeight="1" x14ac:dyDescent="0.2">
      <c r="A225" s="115"/>
      <c r="B225" s="115"/>
      <c r="C225" s="105"/>
      <c r="D225" s="105"/>
      <c r="E225" s="105"/>
      <c r="F225" s="105"/>
      <c r="G225" s="105"/>
      <c r="H225" s="105"/>
      <c r="I225" s="142" t="str">
        <f t="shared" si="18"/>
        <v/>
      </c>
      <c r="J225" s="105" t="str">
        <f t="shared" si="19"/>
        <v/>
      </c>
      <c r="K225" s="143" t="str">
        <f t="shared" si="20"/>
        <v/>
      </c>
      <c r="L225" s="106" t="str">
        <f t="shared" si="21"/>
        <v/>
      </c>
      <c r="M225" s="105" t="str">
        <f t="shared" si="22"/>
        <v/>
      </c>
      <c r="N225" s="144" t="str">
        <f t="shared" si="23"/>
        <v/>
      </c>
      <c r="O225" s="144" t="str">
        <f>IF(NOT(ISERROR(VLOOKUP(C225,Deflatores!G$42:H$64,2,FALSE))),VLOOKUP(C225,Deflatores!G$42:H$64,2,FALSE),IF(OR(ISBLANK(D225),ISBLANK(C225)),"",VLOOKUP(D225,Deflatores!G$4:H$38,2,FALSE)*K225+VLOOKUP(D225,Deflatores!G$4:I$38,3,FALSE)))</f>
        <v/>
      </c>
      <c r="P225" s="115"/>
      <c r="Q225" s="115"/>
      <c r="R225" s="115"/>
      <c r="S225" s="115"/>
      <c r="T225" s="168"/>
      <c r="U225" s="133"/>
    </row>
    <row r="226" spans="1:21" ht="12" customHeight="1" x14ac:dyDescent="0.2">
      <c r="A226" s="115"/>
      <c r="B226" s="115"/>
      <c r="C226" s="105"/>
      <c r="D226" s="105"/>
      <c r="E226" s="105"/>
      <c r="F226" s="105"/>
      <c r="G226" s="105"/>
      <c r="H226" s="105"/>
      <c r="I226" s="142" t="str">
        <f t="shared" si="18"/>
        <v/>
      </c>
      <c r="J226" s="105" t="str">
        <f t="shared" si="19"/>
        <v/>
      </c>
      <c r="K226" s="143" t="str">
        <f t="shared" si="20"/>
        <v/>
      </c>
      <c r="L226" s="106" t="str">
        <f t="shared" si="21"/>
        <v/>
      </c>
      <c r="M226" s="105" t="str">
        <f t="shared" si="22"/>
        <v/>
      </c>
      <c r="N226" s="144" t="str">
        <f t="shared" si="23"/>
        <v/>
      </c>
      <c r="O226" s="144" t="str">
        <f>IF(NOT(ISERROR(VLOOKUP(C226,Deflatores!G$42:H$64,2,FALSE))),VLOOKUP(C226,Deflatores!G$42:H$64,2,FALSE),IF(OR(ISBLANK(D226),ISBLANK(C226)),"",VLOOKUP(D226,Deflatores!G$4:H$38,2,FALSE)*K226+VLOOKUP(D226,Deflatores!G$4:I$38,3,FALSE)))</f>
        <v/>
      </c>
      <c r="P226" s="115"/>
      <c r="Q226" s="115"/>
      <c r="R226" s="115"/>
      <c r="S226" s="115"/>
      <c r="T226" s="168"/>
      <c r="U226" s="133"/>
    </row>
    <row r="227" spans="1:21" ht="12" customHeight="1" x14ac:dyDescent="0.2">
      <c r="A227" s="115"/>
      <c r="B227" s="115"/>
      <c r="C227" s="105"/>
      <c r="D227" s="105"/>
      <c r="E227" s="105"/>
      <c r="F227" s="105"/>
      <c r="G227" s="105"/>
      <c r="H227" s="105"/>
      <c r="I227" s="142" t="str">
        <f t="shared" si="18"/>
        <v/>
      </c>
      <c r="J227" s="105" t="str">
        <f t="shared" si="19"/>
        <v/>
      </c>
      <c r="K227" s="143" t="str">
        <f t="shared" si="20"/>
        <v/>
      </c>
      <c r="L227" s="106" t="str">
        <f t="shared" si="21"/>
        <v/>
      </c>
      <c r="M227" s="105" t="str">
        <f t="shared" si="22"/>
        <v/>
      </c>
      <c r="N227" s="144" t="str">
        <f t="shared" si="23"/>
        <v/>
      </c>
      <c r="O227" s="144" t="str">
        <f>IF(NOT(ISERROR(VLOOKUP(C227,Deflatores!G$42:H$64,2,FALSE))),VLOOKUP(C227,Deflatores!G$42:H$64,2,FALSE),IF(OR(ISBLANK(D227),ISBLANK(C227)),"",VLOOKUP(D227,Deflatores!G$4:H$38,2,FALSE)*K227+VLOOKUP(D227,Deflatores!G$4:I$38,3,FALSE)))</f>
        <v/>
      </c>
      <c r="P227" s="115"/>
      <c r="Q227" s="115"/>
      <c r="R227" s="115"/>
      <c r="S227" s="115"/>
      <c r="T227" s="168"/>
      <c r="U227" s="133"/>
    </row>
    <row r="228" spans="1:21" ht="12" customHeight="1" x14ac:dyDescent="0.2">
      <c r="A228" s="115"/>
      <c r="B228" s="115"/>
      <c r="C228" s="105"/>
      <c r="D228" s="105"/>
      <c r="E228" s="105"/>
      <c r="F228" s="105"/>
      <c r="G228" s="105"/>
      <c r="H228" s="105"/>
      <c r="I228" s="142" t="str">
        <f t="shared" si="18"/>
        <v/>
      </c>
      <c r="J228" s="105" t="str">
        <f t="shared" si="19"/>
        <v/>
      </c>
      <c r="K228" s="143" t="str">
        <f t="shared" si="20"/>
        <v/>
      </c>
      <c r="L228" s="106" t="str">
        <f t="shared" si="21"/>
        <v/>
      </c>
      <c r="M228" s="105" t="str">
        <f t="shared" si="22"/>
        <v/>
      </c>
      <c r="N228" s="144" t="str">
        <f t="shared" si="23"/>
        <v/>
      </c>
      <c r="O228" s="144" t="str">
        <f>IF(NOT(ISERROR(VLOOKUP(C228,Deflatores!G$42:H$64,2,FALSE))),VLOOKUP(C228,Deflatores!G$42:H$64,2,FALSE),IF(OR(ISBLANK(D228),ISBLANK(C228)),"",VLOOKUP(D228,Deflatores!G$4:H$38,2,FALSE)*K228+VLOOKUP(D228,Deflatores!G$4:I$38,3,FALSE)))</f>
        <v/>
      </c>
      <c r="P228" s="115"/>
      <c r="Q228" s="115"/>
      <c r="R228" s="115"/>
      <c r="S228" s="115"/>
      <c r="T228" s="168"/>
      <c r="U228" s="133"/>
    </row>
    <row r="229" spans="1:21" ht="12" customHeight="1" x14ac:dyDescent="0.2">
      <c r="A229" s="115"/>
      <c r="B229" s="115"/>
      <c r="C229" s="105"/>
      <c r="D229" s="105"/>
      <c r="E229" s="105"/>
      <c r="F229" s="105"/>
      <c r="G229" s="105"/>
      <c r="H229" s="105"/>
      <c r="I229" s="142" t="str">
        <f t="shared" si="18"/>
        <v/>
      </c>
      <c r="J229" s="105" t="str">
        <f t="shared" si="19"/>
        <v/>
      </c>
      <c r="K229" s="143" t="str">
        <f t="shared" si="20"/>
        <v/>
      </c>
      <c r="L229" s="106" t="str">
        <f t="shared" si="21"/>
        <v/>
      </c>
      <c r="M229" s="105" t="str">
        <f t="shared" si="22"/>
        <v/>
      </c>
      <c r="N229" s="144" t="str">
        <f t="shared" si="23"/>
        <v/>
      </c>
      <c r="O229" s="144" t="str">
        <f>IF(NOT(ISERROR(VLOOKUP(C229,Deflatores!G$42:H$64,2,FALSE))),VLOOKUP(C229,Deflatores!G$42:H$64,2,FALSE),IF(OR(ISBLANK(D229),ISBLANK(C229)),"",VLOOKUP(D229,Deflatores!G$4:H$38,2,FALSE)*K229+VLOOKUP(D229,Deflatores!G$4:I$38,3,FALSE)))</f>
        <v/>
      </c>
      <c r="P229" s="115"/>
      <c r="Q229" s="115"/>
      <c r="R229" s="115"/>
      <c r="S229" s="115"/>
      <c r="T229" s="168"/>
      <c r="U229" s="133"/>
    </row>
    <row r="230" spans="1:21" ht="12" customHeight="1" x14ac:dyDescent="0.2">
      <c r="A230" s="115"/>
      <c r="B230" s="115"/>
      <c r="C230" s="105"/>
      <c r="D230" s="105"/>
      <c r="E230" s="105"/>
      <c r="F230" s="105"/>
      <c r="G230" s="105"/>
      <c r="H230" s="105"/>
      <c r="I230" s="142" t="str">
        <f t="shared" si="18"/>
        <v/>
      </c>
      <c r="J230" s="105" t="str">
        <f t="shared" si="19"/>
        <v/>
      </c>
      <c r="K230" s="143" t="str">
        <f t="shared" si="20"/>
        <v/>
      </c>
      <c r="L230" s="106" t="str">
        <f t="shared" si="21"/>
        <v/>
      </c>
      <c r="M230" s="105" t="str">
        <f t="shared" si="22"/>
        <v/>
      </c>
      <c r="N230" s="144" t="str">
        <f t="shared" si="23"/>
        <v/>
      </c>
      <c r="O230" s="144" t="str">
        <f>IF(NOT(ISERROR(VLOOKUP(C230,Deflatores!G$42:H$64,2,FALSE))),VLOOKUP(C230,Deflatores!G$42:H$64,2,FALSE),IF(OR(ISBLANK(D230),ISBLANK(C230)),"",VLOOKUP(D230,Deflatores!G$4:H$38,2,FALSE)*K230+VLOOKUP(D230,Deflatores!G$4:I$38,3,FALSE)))</f>
        <v/>
      </c>
      <c r="P230" s="115"/>
      <c r="Q230" s="115"/>
      <c r="R230" s="115"/>
      <c r="S230" s="115"/>
      <c r="T230" s="168"/>
      <c r="U230" s="133"/>
    </row>
    <row r="231" spans="1:21" ht="12" customHeight="1" x14ac:dyDescent="0.2">
      <c r="A231" s="115"/>
      <c r="B231" s="115"/>
      <c r="C231" s="105"/>
      <c r="D231" s="105"/>
      <c r="E231" s="105"/>
      <c r="F231" s="105"/>
      <c r="G231" s="105"/>
      <c r="H231" s="105"/>
      <c r="I231" s="142" t="str">
        <f t="shared" si="18"/>
        <v/>
      </c>
      <c r="J231" s="105" t="str">
        <f t="shared" si="19"/>
        <v/>
      </c>
      <c r="K231" s="143" t="str">
        <f t="shared" si="20"/>
        <v/>
      </c>
      <c r="L231" s="106" t="str">
        <f t="shared" si="21"/>
        <v/>
      </c>
      <c r="M231" s="105" t="str">
        <f t="shared" si="22"/>
        <v/>
      </c>
      <c r="N231" s="144" t="str">
        <f t="shared" si="23"/>
        <v/>
      </c>
      <c r="O231" s="144" t="str">
        <f>IF(NOT(ISERROR(VLOOKUP(C231,Deflatores!G$42:H$64,2,FALSE))),VLOOKUP(C231,Deflatores!G$42:H$64,2,FALSE),IF(OR(ISBLANK(D231),ISBLANK(C231)),"",VLOOKUP(D231,Deflatores!G$4:H$38,2,FALSE)*K231+VLOOKUP(D231,Deflatores!G$4:I$38,3,FALSE)))</f>
        <v/>
      </c>
      <c r="P231" s="115"/>
      <c r="Q231" s="115"/>
      <c r="R231" s="115"/>
      <c r="S231" s="115"/>
      <c r="T231" s="168"/>
      <c r="U231" s="133"/>
    </row>
    <row r="232" spans="1:21" ht="12" customHeight="1" x14ac:dyDescent="0.2">
      <c r="A232" s="115"/>
      <c r="B232" s="115"/>
      <c r="C232" s="105"/>
      <c r="D232" s="105"/>
      <c r="E232" s="105"/>
      <c r="F232" s="105"/>
      <c r="G232" s="105"/>
      <c r="H232" s="105"/>
      <c r="I232" s="142" t="str">
        <f t="shared" si="18"/>
        <v/>
      </c>
      <c r="J232" s="105" t="str">
        <f t="shared" si="19"/>
        <v/>
      </c>
      <c r="K232" s="143" t="str">
        <f t="shared" si="20"/>
        <v/>
      </c>
      <c r="L232" s="106" t="str">
        <f t="shared" si="21"/>
        <v/>
      </c>
      <c r="M232" s="105" t="str">
        <f t="shared" si="22"/>
        <v/>
      </c>
      <c r="N232" s="144" t="str">
        <f t="shared" si="23"/>
        <v/>
      </c>
      <c r="O232" s="144" t="str">
        <f>IF(NOT(ISERROR(VLOOKUP(C232,Deflatores!G$42:H$64,2,FALSE))),VLOOKUP(C232,Deflatores!G$42:H$64,2,FALSE),IF(OR(ISBLANK(D232),ISBLANK(C232)),"",VLOOKUP(D232,Deflatores!G$4:H$38,2,FALSE)*K232+VLOOKUP(D232,Deflatores!G$4:I$38,3,FALSE)))</f>
        <v/>
      </c>
      <c r="P232" s="115"/>
      <c r="Q232" s="115"/>
      <c r="R232" s="115"/>
      <c r="S232" s="115"/>
      <c r="T232" s="168"/>
      <c r="U232" s="133"/>
    </row>
    <row r="233" spans="1:21" ht="12" customHeight="1" x14ac:dyDescent="0.2">
      <c r="A233" s="115"/>
      <c r="B233" s="115"/>
      <c r="C233" s="105"/>
      <c r="D233" s="105"/>
      <c r="E233" s="105"/>
      <c r="F233" s="105"/>
      <c r="G233" s="105"/>
      <c r="H233" s="105"/>
      <c r="I233" s="142" t="str">
        <f t="shared" si="18"/>
        <v/>
      </c>
      <c r="J233" s="105" t="str">
        <f t="shared" si="19"/>
        <v/>
      </c>
      <c r="K233" s="143" t="str">
        <f t="shared" si="20"/>
        <v/>
      </c>
      <c r="L233" s="106" t="str">
        <f t="shared" si="21"/>
        <v/>
      </c>
      <c r="M233" s="105" t="str">
        <f t="shared" si="22"/>
        <v/>
      </c>
      <c r="N233" s="144" t="str">
        <f t="shared" si="23"/>
        <v/>
      </c>
      <c r="O233" s="144" t="str">
        <f>IF(NOT(ISERROR(VLOOKUP(C233,Deflatores!G$42:H$64,2,FALSE))),VLOOKUP(C233,Deflatores!G$42:H$64,2,FALSE),IF(OR(ISBLANK(D233),ISBLANK(C233)),"",VLOOKUP(D233,Deflatores!G$4:H$38,2,FALSE)*K233+VLOOKUP(D233,Deflatores!G$4:I$38,3,FALSE)))</f>
        <v/>
      </c>
      <c r="P233" s="115"/>
      <c r="Q233" s="115"/>
      <c r="R233" s="115"/>
      <c r="S233" s="115"/>
      <c r="T233" s="168"/>
      <c r="U233" s="133"/>
    </row>
    <row r="234" spans="1:21" ht="12" customHeight="1" x14ac:dyDescent="0.2">
      <c r="A234" s="115"/>
      <c r="B234" s="115"/>
      <c r="C234" s="105"/>
      <c r="D234" s="105"/>
      <c r="E234" s="105"/>
      <c r="F234" s="105"/>
      <c r="G234" s="105"/>
      <c r="H234" s="105"/>
      <c r="I234" s="142" t="str">
        <f t="shared" si="18"/>
        <v/>
      </c>
      <c r="J234" s="105" t="str">
        <f t="shared" si="19"/>
        <v/>
      </c>
      <c r="K234" s="143" t="str">
        <f t="shared" si="20"/>
        <v/>
      </c>
      <c r="L234" s="106" t="str">
        <f t="shared" si="21"/>
        <v/>
      </c>
      <c r="M234" s="105" t="str">
        <f t="shared" si="22"/>
        <v/>
      </c>
      <c r="N234" s="144" t="str">
        <f t="shared" si="23"/>
        <v/>
      </c>
      <c r="O234" s="144" t="str">
        <f>IF(NOT(ISERROR(VLOOKUP(C234,Deflatores!G$42:H$64,2,FALSE))),VLOOKUP(C234,Deflatores!G$42:H$64,2,FALSE),IF(OR(ISBLANK(D234),ISBLANK(C234)),"",VLOOKUP(D234,Deflatores!G$4:H$38,2,FALSE)*K234+VLOOKUP(D234,Deflatores!G$4:I$38,3,FALSE)))</f>
        <v/>
      </c>
      <c r="P234" s="115"/>
      <c r="Q234" s="115"/>
      <c r="R234" s="115"/>
      <c r="S234" s="115"/>
      <c r="T234" s="168"/>
      <c r="U234" s="133"/>
    </row>
    <row r="235" spans="1:21" ht="12" customHeight="1" x14ac:dyDescent="0.2">
      <c r="A235" s="115"/>
      <c r="B235" s="115"/>
      <c r="C235" s="105"/>
      <c r="D235" s="105"/>
      <c r="E235" s="105"/>
      <c r="F235" s="105"/>
      <c r="G235" s="105"/>
      <c r="H235" s="105"/>
      <c r="I235" s="142" t="str">
        <f t="shared" si="18"/>
        <v/>
      </c>
      <c r="J235" s="105" t="str">
        <f t="shared" si="19"/>
        <v/>
      </c>
      <c r="K235" s="143" t="str">
        <f t="shared" si="20"/>
        <v/>
      </c>
      <c r="L235" s="106" t="str">
        <f t="shared" si="21"/>
        <v/>
      </c>
      <c r="M235" s="105" t="str">
        <f t="shared" si="22"/>
        <v/>
      </c>
      <c r="N235" s="144" t="str">
        <f t="shared" si="23"/>
        <v/>
      </c>
      <c r="O235" s="144" t="str">
        <f>IF(NOT(ISERROR(VLOOKUP(C235,Deflatores!G$42:H$64,2,FALSE))),VLOOKUP(C235,Deflatores!G$42:H$64,2,FALSE),IF(OR(ISBLANK(D235),ISBLANK(C235)),"",VLOOKUP(D235,Deflatores!G$4:H$38,2,FALSE)*K235+VLOOKUP(D235,Deflatores!G$4:I$38,3,FALSE)))</f>
        <v/>
      </c>
      <c r="P235" s="115"/>
      <c r="Q235" s="115"/>
      <c r="R235" s="115"/>
      <c r="S235" s="115"/>
      <c r="T235" s="168"/>
      <c r="U235" s="133"/>
    </row>
    <row r="236" spans="1:21" ht="12" customHeight="1" x14ac:dyDescent="0.2">
      <c r="A236" s="115"/>
      <c r="B236" s="115"/>
      <c r="C236" s="105"/>
      <c r="D236" s="105"/>
      <c r="E236" s="105"/>
      <c r="F236" s="105"/>
      <c r="G236" s="105"/>
      <c r="H236" s="105"/>
      <c r="I236" s="142" t="str">
        <f t="shared" si="18"/>
        <v/>
      </c>
      <c r="J236" s="105" t="str">
        <f t="shared" si="19"/>
        <v/>
      </c>
      <c r="K236" s="143" t="str">
        <f t="shared" si="20"/>
        <v/>
      </c>
      <c r="L236" s="106" t="str">
        <f t="shared" si="21"/>
        <v/>
      </c>
      <c r="M236" s="105" t="str">
        <f t="shared" si="22"/>
        <v/>
      </c>
      <c r="N236" s="144" t="str">
        <f t="shared" si="23"/>
        <v/>
      </c>
      <c r="O236" s="144" t="str">
        <f>IF(NOT(ISERROR(VLOOKUP(C236,Deflatores!G$42:H$64,2,FALSE))),VLOOKUP(C236,Deflatores!G$42:H$64,2,FALSE),IF(OR(ISBLANK(D236),ISBLANK(C236)),"",VLOOKUP(D236,Deflatores!G$4:H$38,2,FALSE)*K236+VLOOKUP(D236,Deflatores!G$4:I$38,3,FALSE)))</f>
        <v/>
      </c>
      <c r="P236" s="115"/>
      <c r="Q236" s="115"/>
      <c r="R236" s="115"/>
      <c r="S236" s="115"/>
      <c r="T236" s="168"/>
      <c r="U236" s="133"/>
    </row>
    <row r="237" spans="1:21" ht="12" customHeight="1" x14ac:dyDescent="0.2">
      <c r="A237" s="115"/>
      <c r="B237" s="115"/>
      <c r="C237" s="105"/>
      <c r="D237" s="105"/>
      <c r="E237" s="105"/>
      <c r="F237" s="105"/>
      <c r="G237" s="105"/>
      <c r="H237" s="105"/>
      <c r="I237" s="142" t="str">
        <f t="shared" si="18"/>
        <v/>
      </c>
      <c r="J237" s="105" t="str">
        <f t="shared" si="19"/>
        <v/>
      </c>
      <c r="K237" s="143" t="str">
        <f t="shared" si="20"/>
        <v/>
      </c>
      <c r="L237" s="106" t="str">
        <f t="shared" si="21"/>
        <v/>
      </c>
      <c r="M237" s="105" t="str">
        <f t="shared" si="22"/>
        <v/>
      </c>
      <c r="N237" s="144" t="str">
        <f t="shared" si="23"/>
        <v/>
      </c>
      <c r="O237" s="144" t="str">
        <f>IF(NOT(ISERROR(VLOOKUP(C237,Deflatores!G$42:H$64,2,FALSE))),VLOOKUP(C237,Deflatores!G$42:H$64,2,FALSE),IF(OR(ISBLANK(D237),ISBLANK(C237)),"",VLOOKUP(D237,Deflatores!G$4:H$38,2,FALSE)*K237+VLOOKUP(D237,Deflatores!G$4:I$38,3,FALSE)))</f>
        <v/>
      </c>
      <c r="P237" s="115"/>
      <c r="Q237" s="115"/>
      <c r="R237" s="115"/>
      <c r="S237" s="115"/>
      <c r="T237" s="168"/>
      <c r="U237" s="133"/>
    </row>
    <row r="238" spans="1:21" ht="12" customHeight="1" x14ac:dyDescent="0.2">
      <c r="A238" s="115"/>
      <c r="B238" s="115"/>
      <c r="C238" s="105"/>
      <c r="D238" s="105"/>
      <c r="E238" s="105"/>
      <c r="F238" s="105"/>
      <c r="G238" s="105"/>
      <c r="H238" s="105"/>
      <c r="I238" s="142" t="str">
        <f t="shared" si="18"/>
        <v/>
      </c>
      <c r="J238" s="105" t="str">
        <f t="shared" si="19"/>
        <v/>
      </c>
      <c r="K238" s="143" t="str">
        <f t="shared" si="20"/>
        <v/>
      </c>
      <c r="L238" s="106" t="str">
        <f t="shared" si="21"/>
        <v/>
      </c>
      <c r="M238" s="105" t="str">
        <f t="shared" si="22"/>
        <v/>
      </c>
      <c r="N238" s="144" t="str">
        <f t="shared" si="23"/>
        <v/>
      </c>
      <c r="O238" s="144" t="str">
        <f>IF(NOT(ISERROR(VLOOKUP(C238,Deflatores!G$42:H$64,2,FALSE))),VLOOKUP(C238,Deflatores!G$42:H$64,2,FALSE),IF(OR(ISBLANK(D238),ISBLANK(C238)),"",VLOOKUP(D238,Deflatores!G$4:H$38,2,FALSE)*K238+VLOOKUP(D238,Deflatores!G$4:I$38,3,FALSE)))</f>
        <v/>
      </c>
      <c r="P238" s="115"/>
      <c r="Q238" s="115"/>
      <c r="R238" s="115"/>
      <c r="S238" s="115"/>
      <c r="T238" s="168"/>
      <c r="U238" s="133"/>
    </row>
    <row r="239" spans="1:21" ht="12" customHeight="1" x14ac:dyDescent="0.2">
      <c r="A239" s="115"/>
      <c r="B239" s="115"/>
      <c r="C239" s="105"/>
      <c r="D239" s="105"/>
      <c r="E239" s="105"/>
      <c r="F239" s="105"/>
      <c r="G239" s="105"/>
      <c r="H239" s="105"/>
      <c r="I239" s="142" t="str">
        <f t="shared" si="18"/>
        <v/>
      </c>
      <c r="J239" s="105" t="str">
        <f t="shared" si="19"/>
        <v/>
      </c>
      <c r="K239" s="143" t="str">
        <f t="shared" si="20"/>
        <v/>
      </c>
      <c r="L239" s="106" t="str">
        <f t="shared" si="21"/>
        <v/>
      </c>
      <c r="M239" s="105" t="str">
        <f t="shared" si="22"/>
        <v/>
      </c>
      <c r="N239" s="144" t="str">
        <f t="shared" si="23"/>
        <v/>
      </c>
      <c r="O239" s="144" t="str">
        <f>IF(NOT(ISERROR(VLOOKUP(C239,Deflatores!G$42:H$64,2,FALSE))),VLOOKUP(C239,Deflatores!G$42:H$64,2,FALSE),IF(OR(ISBLANK(D239),ISBLANK(C239)),"",VLOOKUP(D239,Deflatores!G$4:H$38,2,FALSE)*K239+VLOOKUP(D239,Deflatores!G$4:I$38,3,FALSE)))</f>
        <v/>
      </c>
      <c r="P239" s="115"/>
      <c r="Q239" s="115"/>
      <c r="R239" s="115"/>
      <c r="S239" s="115"/>
      <c r="T239" s="168"/>
      <c r="U239" s="133"/>
    </row>
    <row r="240" spans="1:21" ht="12" customHeight="1" x14ac:dyDescent="0.2">
      <c r="A240" s="115"/>
      <c r="B240" s="115"/>
      <c r="C240" s="105"/>
      <c r="D240" s="105"/>
      <c r="E240" s="105"/>
      <c r="F240" s="105"/>
      <c r="G240" s="105"/>
      <c r="H240" s="105"/>
      <c r="I240" s="142" t="str">
        <f t="shared" si="18"/>
        <v/>
      </c>
      <c r="J240" s="105" t="str">
        <f t="shared" si="19"/>
        <v/>
      </c>
      <c r="K240" s="143" t="str">
        <f t="shared" si="20"/>
        <v/>
      </c>
      <c r="L240" s="106" t="str">
        <f t="shared" si="21"/>
        <v/>
      </c>
      <c r="M240" s="105" t="str">
        <f t="shared" si="22"/>
        <v/>
      </c>
      <c r="N240" s="144" t="str">
        <f t="shared" si="23"/>
        <v/>
      </c>
      <c r="O240" s="144" t="str">
        <f>IF(NOT(ISERROR(VLOOKUP(C240,Deflatores!G$42:H$64,2,FALSE))),VLOOKUP(C240,Deflatores!G$42:H$64,2,FALSE),IF(OR(ISBLANK(D240),ISBLANK(C240)),"",VLOOKUP(D240,Deflatores!G$4:H$38,2,FALSE)*K240+VLOOKUP(D240,Deflatores!G$4:I$38,3,FALSE)))</f>
        <v/>
      </c>
      <c r="P240" s="115"/>
      <c r="Q240" s="115"/>
      <c r="R240" s="115"/>
      <c r="S240" s="115"/>
      <c r="T240" s="168"/>
      <c r="U240" s="133"/>
    </row>
    <row r="241" spans="1:21" ht="12" customHeight="1" x14ac:dyDescent="0.2">
      <c r="A241" s="115"/>
      <c r="B241" s="115"/>
      <c r="C241" s="105"/>
      <c r="D241" s="105"/>
      <c r="E241" s="105"/>
      <c r="F241" s="105"/>
      <c r="G241" s="105"/>
      <c r="H241" s="105"/>
      <c r="I241" s="142" t="str">
        <f t="shared" si="18"/>
        <v/>
      </c>
      <c r="J241" s="105" t="str">
        <f t="shared" si="19"/>
        <v/>
      </c>
      <c r="K241" s="143" t="str">
        <f t="shared" si="20"/>
        <v/>
      </c>
      <c r="L241" s="106" t="str">
        <f t="shared" si="21"/>
        <v/>
      </c>
      <c r="M241" s="105" t="str">
        <f t="shared" si="22"/>
        <v/>
      </c>
      <c r="N241" s="144" t="str">
        <f t="shared" si="23"/>
        <v/>
      </c>
      <c r="O241" s="144" t="str">
        <f>IF(NOT(ISERROR(VLOOKUP(C241,Deflatores!G$42:H$64,2,FALSE))),VLOOKUP(C241,Deflatores!G$42:H$64,2,FALSE),IF(OR(ISBLANK(D241),ISBLANK(C241)),"",VLOOKUP(D241,Deflatores!G$4:H$38,2,FALSE)*K241+VLOOKUP(D241,Deflatores!G$4:I$38,3,FALSE)))</f>
        <v/>
      </c>
      <c r="P241" s="115"/>
      <c r="Q241" s="115"/>
      <c r="R241" s="115"/>
      <c r="S241" s="115"/>
      <c r="T241" s="168"/>
      <c r="U241" s="133"/>
    </row>
    <row r="242" spans="1:21" ht="12" customHeight="1" x14ac:dyDescent="0.2">
      <c r="A242" s="115"/>
      <c r="B242" s="115"/>
      <c r="C242" s="105"/>
      <c r="D242" s="105"/>
      <c r="E242" s="105"/>
      <c r="F242" s="105"/>
      <c r="G242" s="105"/>
      <c r="H242" s="105"/>
      <c r="I242" s="142" t="str">
        <f t="shared" si="18"/>
        <v/>
      </c>
      <c r="J242" s="105" t="str">
        <f t="shared" si="19"/>
        <v/>
      </c>
      <c r="K242" s="143" t="str">
        <f t="shared" si="20"/>
        <v/>
      </c>
      <c r="L242" s="106" t="str">
        <f t="shared" si="21"/>
        <v/>
      </c>
      <c r="M242" s="105" t="str">
        <f t="shared" si="22"/>
        <v/>
      </c>
      <c r="N242" s="144" t="str">
        <f t="shared" si="23"/>
        <v/>
      </c>
      <c r="O242" s="144" t="str">
        <f>IF(NOT(ISERROR(VLOOKUP(C242,Deflatores!G$42:H$64,2,FALSE))),VLOOKUP(C242,Deflatores!G$42:H$64,2,FALSE),IF(OR(ISBLANK(D242),ISBLANK(C242)),"",VLOOKUP(D242,Deflatores!G$4:H$38,2,FALSE)*K242+VLOOKUP(D242,Deflatores!G$4:I$38,3,FALSE)))</f>
        <v/>
      </c>
      <c r="P242" s="115"/>
      <c r="Q242" s="115"/>
      <c r="R242" s="115"/>
      <c r="S242" s="115"/>
      <c r="T242" s="168"/>
      <c r="U242" s="133"/>
    </row>
    <row r="243" spans="1:21" ht="12" customHeight="1" x14ac:dyDescent="0.2">
      <c r="A243" s="115"/>
      <c r="B243" s="115"/>
      <c r="C243" s="105"/>
      <c r="D243" s="105"/>
      <c r="E243" s="105"/>
      <c r="F243" s="105"/>
      <c r="G243" s="105"/>
      <c r="H243" s="105"/>
      <c r="I243" s="142" t="str">
        <f t="shared" si="18"/>
        <v/>
      </c>
      <c r="J243" s="105" t="str">
        <f t="shared" si="19"/>
        <v/>
      </c>
      <c r="K243" s="143" t="str">
        <f t="shared" si="20"/>
        <v/>
      </c>
      <c r="L243" s="106" t="str">
        <f t="shared" si="21"/>
        <v/>
      </c>
      <c r="M243" s="105" t="str">
        <f t="shared" si="22"/>
        <v/>
      </c>
      <c r="N243" s="144" t="str">
        <f t="shared" si="23"/>
        <v/>
      </c>
      <c r="O243" s="144" t="str">
        <f>IF(NOT(ISERROR(VLOOKUP(C243,Deflatores!G$42:H$64,2,FALSE))),VLOOKUP(C243,Deflatores!G$42:H$64,2,FALSE),IF(OR(ISBLANK(D243),ISBLANK(C243)),"",VLOOKUP(D243,Deflatores!G$4:H$38,2,FALSE)*K243+VLOOKUP(D243,Deflatores!G$4:I$38,3,FALSE)))</f>
        <v/>
      </c>
      <c r="P243" s="115"/>
      <c r="Q243" s="115"/>
      <c r="R243" s="115"/>
      <c r="S243" s="115"/>
      <c r="T243" s="168"/>
      <c r="U243" s="133"/>
    </row>
    <row r="244" spans="1:21" ht="12" customHeight="1" x14ac:dyDescent="0.2">
      <c r="A244" s="115"/>
      <c r="B244" s="115"/>
      <c r="C244" s="105"/>
      <c r="D244" s="105"/>
      <c r="E244" s="105"/>
      <c r="F244" s="105"/>
      <c r="G244" s="105"/>
      <c r="H244" s="105"/>
      <c r="I244" s="142" t="str">
        <f t="shared" si="18"/>
        <v/>
      </c>
      <c r="J244" s="105" t="str">
        <f t="shared" si="19"/>
        <v/>
      </c>
      <c r="K244" s="143" t="str">
        <f t="shared" si="20"/>
        <v/>
      </c>
      <c r="L244" s="106" t="str">
        <f t="shared" si="21"/>
        <v/>
      </c>
      <c r="M244" s="105" t="str">
        <f t="shared" si="22"/>
        <v/>
      </c>
      <c r="N244" s="144" t="str">
        <f t="shared" si="23"/>
        <v/>
      </c>
      <c r="O244" s="144" t="str">
        <f>IF(NOT(ISERROR(VLOOKUP(C244,Deflatores!G$42:H$64,2,FALSE))),VLOOKUP(C244,Deflatores!G$42:H$64,2,FALSE),IF(OR(ISBLANK(D244),ISBLANK(C244)),"",VLOOKUP(D244,Deflatores!G$4:H$38,2,FALSE)*K244+VLOOKUP(D244,Deflatores!G$4:I$38,3,FALSE)))</f>
        <v/>
      </c>
      <c r="P244" s="115"/>
      <c r="Q244" s="115"/>
      <c r="R244" s="115"/>
      <c r="S244" s="115"/>
      <c r="T244" s="168"/>
      <c r="U244" s="133"/>
    </row>
    <row r="245" spans="1:21" ht="12" customHeight="1" x14ac:dyDescent="0.2">
      <c r="A245" s="115"/>
      <c r="B245" s="115"/>
      <c r="C245" s="105"/>
      <c r="D245" s="105"/>
      <c r="E245" s="105"/>
      <c r="F245" s="105"/>
      <c r="G245" s="105"/>
      <c r="H245" s="105"/>
      <c r="I245" s="142" t="str">
        <f t="shared" si="18"/>
        <v/>
      </c>
      <c r="J245" s="105" t="str">
        <f t="shared" si="19"/>
        <v/>
      </c>
      <c r="K245" s="143" t="str">
        <f t="shared" si="20"/>
        <v/>
      </c>
      <c r="L245" s="106" t="str">
        <f t="shared" si="21"/>
        <v/>
      </c>
      <c r="M245" s="105" t="str">
        <f t="shared" si="22"/>
        <v/>
      </c>
      <c r="N245" s="144" t="str">
        <f t="shared" si="23"/>
        <v/>
      </c>
      <c r="O245" s="144" t="str">
        <f>IF(NOT(ISERROR(VLOOKUP(C245,Deflatores!G$42:H$64,2,FALSE))),VLOOKUP(C245,Deflatores!G$42:H$64,2,FALSE),IF(OR(ISBLANK(D245),ISBLANK(C245)),"",VLOOKUP(D245,Deflatores!G$4:H$38,2,FALSE)*K245+VLOOKUP(D245,Deflatores!G$4:I$38,3,FALSE)))</f>
        <v/>
      </c>
      <c r="P245" s="115"/>
      <c r="Q245" s="115"/>
      <c r="R245" s="115"/>
      <c r="S245" s="115"/>
      <c r="T245" s="168"/>
      <c r="U245" s="133"/>
    </row>
    <row r="246" spans="1:21" ht="12" customHeight="1" x14ac:dyDescent="0.2">
      <c r="A246" s="115"/>
      <c r="B246" s="115"/>
      <c r="C246" s="105"/>
      <c r="D246" s="105"/>
      <c r="E246" s="105"/>
      <c r="F246" s="105"/>
      <c r="G246" s="105"/>
      <c r="H246" s="105"/>
      <c r="I246" s="142" t="str">
        <f t="shared" si="18"/>
        <v/>
      </c>
      <c r="J246" s="105" t="str">
        <f t="shared" si="19"/>
        <v/>
      </c>
      <c r="K246" s="143" t="str">
        <f t="shared" si="20"/>
        <v/>
      </c>
      <c r="L246" s="106" t="str">
        <f t="shared" si="21"/>
        <v/>
      </c>
      <c r="M246" s="105" t="str">
        <f t="shared" si="22"/>
        <v/>
      </c>
      <c r="N246" s="144" t="str">
        <f t="shared" si="23"/>
        <v/>
      </c>
      <c r="O246" s="144" t="str">
        <f>IF(NOT(ISERROR(VLOOKUP(C246,Deflatores!G$42:H$64,2,FALSE))),VLOOKUP(C246,Deflatores!G$42:H$64,2,FALSE),IF(OR(ISBLANK(D246),ISBLANK(C246)),"",VLOOKUP(D246,Deflatores!G$4:H$38,2,FALSE)*K246+VLOOKUP(D246,Deflatores!G$4:I$38,3,FALSE)))</f>
        <v/>
      </c>
      <c r="P246" s="115"/>
      <c r="Q246" s="115"/>
      <c r="R246" s="115"/>
      <c r="S246" s="115"/>
      <c r="T246" s="168"/>
      <c r="U246" s="133"/>
    </row>
    <row r="247" spans="1:21" ht="12" customHeight="1" x14ac:dyDescent="0.2">
      <c r="A247" s="115"/>
      <c r="B247" s="115"/>
      <c r="C247" s="105"/>
      <c r="D247" s="105"/>
      <c r="E247" s="105"/>
      <c r="F247" s="105"/>
      <c r="G247" s="105"/>
      <c r="H247" s="105"/>
      <c r="I247" s="142" t="str">
        <f t="shared" si="18"/>
        <v/>
      </c>
      <c r="J247" s="105" t="str">
        <f t="shared" si="19"/>
        <v/>
      </c>
      <c r="K247" s="143" t="str">
        <f t="shared" si="20"/>
        <v/>
      </c>
      <c r="L247" s="106" t="str">
        <f t="shared" si="21"/>
        <v/>
      </c>
      <c r="M247" s="105" t="str">
        <f t="shared" si="22"/>
        <v/>
      </c>
      <c r="N247" s="144" t="str">
        <f t="shared" si="23"/>
        <v/>
      </c>
      <c r="O247" s="144" t="str">
        <f>IF(NOT(ISERROR(VLOOKUP(C247,Deflatores!G$42:H$64,2,FALSE))),VLOOKUP(C247,Deflatores!G$42:H$64,2,FALSE),IF(OR(ISBLANK(D247),ISBLANK(C247)),"",VLOOKUP(D247,Deflatores!G$4:H$38,2,FALSE)*K247+VLOOKUP(D247,Deflatores!G$4:I$38,3,FALSE)))</f>
        <v/>
      </c>
      <c r="P247" s="115"/>
      <c r="Q247" s="115"/>
      <c r="R247" s="115"/>
      <c r="S247" s="115"/>
      <c r="T247" s="168"/>
      <c r="U247" s="133"/>
    </row>
    <row r="248" spans="1:21" ht="12" customHeight="1" x14ac:dyDescent="0.2">
      <c r="A248" s="115"/>
      <c r="B248" s="115"/>
      <c r="C248" s="105"/>
      <c r="D248" s="105"/>
      <c r="E248" s="105"/>
      <c r="F248" s="105"/>
      <c r="G248" s="105"/>
      <c r="H248" s="105"/>
      <c r="I248" s="142" t="str">
        <f t="shared" si="18"/>
        <v/>
      </c>
      <c r="J248" s="105" t="str">
        <f t="shared" si="19"/>
        <v/>
      </c>
      <c r="K248" s="143" t="str">
        <f t="shared" si="20"/>
        <v/>
      </c>
      <c r="L248" s="106" t="str">
        <f t="shared" si="21"/>
        <v/>
      </c>
      <c r="M248" s="105" t="str">
        <f t="shared" si="22"/>
        <v/>
      </c>
      <c r="N248" s="144" t="str">
        <f t="shared" si="23"/>
        <v/>
      </c>
      <c r="O248" s="144" t="str">
        <f>IF(NOT(ISERROR(VLOOKUP(C248,Deflatores!G$42:H$64,2,FALSE))),VLOOKUP(C248,Deflatores!G$42:H$64,2,FALSE),IF(OR(ISBLANK(D248),ISBLANK(C248)),"",VLOOKUP(D248,Deflatores!G$4:H$38,2,FALSE)*K248+VLOOKUP(D248,Deflatores!G$4:I$38,3,FALSE)))</f>
        <v/>
      </c>
      <c r="P248" s="115"/>
      <c r="Q248" s="115"/>
      <c r="R248" s="115"/>
      <c r="S248" s="115"/>
      <c r="T248" s="168"/>
      <c r="U248" s="133"/>
    </row>
    <row r="249" spans="1:21" ht="12" customHeight="1" x14ac:dyDescent="0.2">
      <c r="A249" s="115"/>
      <c r="B249" s="115"/>
      <c r="C249" s="105"/>
      <c r="D249" s="105"/>
      <c r="E249" s="105"/>
      <c r="F249" s="105"/>
      <c r="G249" s="105"/>
      <c r="H249" s="105"/>
      <c r="I249" s="142" t="str">
        <f t="shared" si="18"/>
        <v/>
      </c>
      <c r="J249" s="105" t="str">
        <f t="shared" si="19"/>
        <v/>
      </c>
      <c r="K249" s="143" t="str">
        <f t="shared" si="20"/>
        <v/>
      </c>
      <c r="L249" s="106" t="str">
        <f t="shared" si="21"/>
        <v/>
      </c>
      <c r="M249" s="105" t="str">
        <f t="shared" si="22"/>
        <v/>
      </c>
      <c r="N249" s="144" t="str">
        <f t="shared" si="23"/>
        <v/>
      </c>
      <c r="O249" s="144" t="str">
        <f>IF(NOT(ISERROR(VLOOKUP(C249,Deflatores!G$42:H$64,2,FALSE))),VLOOKUP(C249,Deflatores!G$42:H$64,2,FALSE),IF(OR(ISBLANK(D249),ISBLANK(C249)),"",VLOOKUP(D249,Deflatores!G$4:H$38,2,FALSE)*K249+VLOOKUP(D249,Deflatores!G$4:I$38,3,FALSE)))</f>
        <v/>
      </c>
      <c r="P249" s="115"/>
      <c r="Q249" s="115"/>
      <c r="R249" s="115"/>
      <c r="S249" s="115"/>
      <c r="T249" s="168"/>
      <c r="U249" s="133"/>
    </row>
    <row r="250" spans="1:21" ht="12" customHeight="1" x14ac:dyDescent="0.2">
      <c r="A250" s="115"/>
      <c r="B250" s="115"/>
      <c r="C250" s="105"/>
      <c r="D250" s="105"/>
      <c r="E250" s="105"/>
      <c r="F250" s="105"/>
      <c r="G250" s="105"/>
      <c r="H250" s="105"/>
      <c r="I250" s="142" t="str">
        <f t="shared" si="18"/>
        <v/>
      </c>
      <c r="J250" s="105" t="str">
        <f t="shared" si="19"/>
        <v/>
      </c>
      <c r="K250" s="143" t="str">
        <f t="shared" si="20"/>
        <v/>
      </c>
      <c r="L250" s="106" t="str">
        <f t="shared" si="21"/>
        <v/>
      </c>
      <c r="M250" s="105" t="str">
        <f t="shared" si="22"/>
        <v/>
      </c>
      <c r="N250" s="144" t="str">
        <f t="shared" si="23"/>
        <v/>
      </c>
      <c r="O250" s="144" t="str">
        <f>IF(NOT(ISERROR(VLOOKUP(C250,Deflatores!G$42:H$64,2,FALSE))),VLOOKUP(C250,Deflatores!G$42:H$64,2,FALSE),IF(OR(ISBLANK(D250),ISBLANK(C250)),"",VLOOKUP(D250,Deflatores!G$4:H$38,2,FALSE)*K250+VLOOKUP(D250,Deflatores!G$4:I$38,3,FALSE)))</f>
        <v/>
      </c>
      <c r="P250" s="115"/>
      <c r="Q250" s="115"/>
      <c r="R250" s="115"/>
      <c r="S250" s="115"/>
      <c r="T250" s="168"/>
      <c r="U250" s="133"/>
    </row>
    <row r="251" spans="1:21" ht="12" customHeight="1" x14ac:dyDescent="0.2">
      <c r="A251" s="115"/>
      <c r="B251" s="115"/>
      <c r="C251" s="105"/>
      <c r="D251" s="105"/>
      <c r="E251" s="105"/>
      <c r="F251" s="105"/>
      <c r="G251" s="105"/>
      <c r="H251" s="105"/>
      <c r="I251" s="142" t="str">
        <f t="shared" si="18"/>
        <v/>
      </c>
      <c r="J251" s="105" t="str">
        <f t="shared" si="19"/>
        <v/>
      </c>
      <c r="K251" s="143" t="str">
        <f t="shared" si="20"/>
        <v/>
      </c>
      <c r="L251" s="106" t="str">
        <f t="shared" si="21"/>
        <v/>
      </c>
      <c r="M251" s="105" t="str">
        <f t="shared" si="22"/>
        <v/>
      </c>
      <c r="N251" s="144" t="str">
        <f t="shared" si="23"/>
        <v/>
      </c>
      <c r="O251" s="144" t="str">
        <f>IF(NOT(ISERROR(VLOOKUP(C251,Deflatores!G$42:H$64,2,FALSE))),VLOOKUP(C251,Deflatores!G$42:H$64,2,FALSE),IF(OR(ISBLANK(D251),ISBLANK(C251)),"",VLOOKUP(D251,Deflatores!G$4:H$38,2,FALSE)*K251+VLOOKUP(D251,Deflatores!G$4:I$38,3,FALSE)))</f>
        <v/>
      </c>
      <c r="P251" s="115"/>
      <c r="Q251" s="115"/>
      <c r="R251" s="115"/>
      <c r="S251" s="115"/>
      <c r="T251" s="168"/>
      <c r="U251" s="133"/>
    </row>
    <row r="252" spans="1:21" ht="12" customHeight="1" x14ac:dyDescent="0.2">
      <c r="A252" s="115"/>
      <c r="B252" s="115"/>
      <c r="C252" s="105"/>
      <c r="D252" s="105"/>
      <c r="E252" s="105"/>
      <c r="F252" s="105"/>
      <c r="G252" s="105"/>
      <c r="H252" s="105"/>
      <c r="I252" s="142" t="str">
        <f t="shared" si="18"/>
        <v/>
      </c>
      <c r="J252" s="105" t="str">
        <f t="shared" si="19"/>
        <v/>
      </c>
      <c r="K252" s="143" t="str">
        <f t="shared" si="20"/>
        <v/>
      </c>
      <c r="L252" s="106" t="str">
        <f t="shared" si="21"/>
        <v/>
      </c>
      <c r="M252" s="105" t="str">
        <f t="shared" si="22"/>
        <v/>
      </c>
      <c r="N252" s="144" t="str">
        <f t="shared" si="23"/>
        <v/>
      </c>
      <c r="O252" s="144" t="str">
        <f>IF(NOT(ISERROR(VLOOKUP(C252,Deflatores!G$42:H$64,2,FALSE))),VLOOKUP(C252,Deflatores!G$42:H$64,2,FALSE),IF(OR(ISBLANK(D252),ISBLANK(C252)),"",VLOOKUP(D252,Deflatores!G$4:H$38,2,FALSE)*K252+VLOOKUP(D252,Deflatores!G$4:I$38,3,FALSE)))</f>
        <v/>
      </c>
      <c r="P252" s="115"/>
      <c r="Q252" s="115"/>
      <c r="R252" s="115"/>
      <c r="S252" s="115"/>
      <c r="T252" s="168"/>
      <c r="U252" s="133"/>
    </row>
    <row r="253" spans="1:21" ht="12" customHeight="1" x14ac:dyDescent="0.2">
      <c r="A253" s="115"/>
      <c r="B253" s="115"/>
      <c r="C253" s="105"/>
      <c r="D253" s="105"/>
      <c r="E253" s="105"/>
      <c r="F253" s="105"/>
      <c r="G253" s="105"/>
      <c r="H253" s="105"/>
      <c r="I253" s="142" t="str">
        <f t="shared" si="18"/>
        <v/>
      </c>
      <c r="J253" s="105" t="str">
        <f t="shared" si="19"/>
        <v/>
      </c>
      <c r="K253" s="143" t="str">
        <f t="shared" si="20"/>
        <v/>
      </c>
      <c r="L253" s="106" t="str">
        <f t="shared" si="21"/>
        <v/>
      </c>
      <c r="M253" s="105" t="str">
        <f t="shared" si="22"/>
        <v/>
      </c>
      <c r="N253" s="144" t="str">
        <f t="shared" si="23"/>
        <v/>
      </c>
      <c r="O253" s="144" t="str">
        <f>IF(NOT(ISERROR(VLOOKUP(C253,Deflatores!G$42:H$64,2,FALSE))),VLOOKUP(C253,Deflatores!G$42:H$64,2,FALSE),IF(OR(ISBLANK(D253),ISBLANK(C253)),"",VLOOKUP(D253,Deflatores!G$4:H$38,2,FALSE)*K253+VLOOKUP(D253,Deflatores!G$4:I$38,3,FALSE)))</f>
        <v/>
      </c>
      <c r="P253" s="115"/>
      <c r="Q253" s="115"/>
      <c r="R253" s="115"/>
      <c r="S253" s="115"/>
      <c r="T253" s="168"/>
      <c r="U253" s="133"/>
    </row>
    <row r="254" spans="1:21" ht="12" customHeight="1" x14ac:dyDescent="0.2">
      <c r="A254" s="115"/>
      <c r="B254" s="115"/>
      <c r="C254" s="105"/>
      <c r="D254" s="105"/>
      <c r="E254" s="105"/>
      <c r="F254" s="105"/>
      <c r="G254" s="105"/>
      <c r="H254" s="105"/>
      <c r="I254" s="142" t="str">
        <f t="shared" si="18"/>
        <v/>
      </c>
      <c r="J254" s="105" t="str">
        <f t="shared" si="19"/>
        <v/>
      </c>
      <c r="K254" s="143" t="str">
        <f t="shared" si="20"/>
        <v/>
      </c>
      <c r="L254" s="106" t="str">
        <f t="shared" si="21"/>
        <v/>
      </c>
      <c r="M254" s="105" t="str">
        <f t="shared" si="22"/>
        <v/>
      </c>
      <c r="N254" s="144" t="str">
        <f t="shared" si="23"/>
        <v/>
      </c>
      <c r="O254" s="144" t="str">
        <f>IF(NOT(ISERROR(VLOOKUP(C254,Deflatores!G$42:H$64,2,FALSE))),VLOOKUP(C254,Deflatores!G$42:H$64,2,FALSE),IF(OR(ISBLANK(D254),ISBLANK(C254)),"",VLOOKUP(D254,Deflatores!G$4:H$38,2,FALSE)*K254+VLOOKUP(D254,Deflatores!G$4:I$38,3,FALSE)))</f>
        <v/>
      </c>
      <c r="P254" s="115"/>
      <c r="Q254" s="115"/>
      <c r="R254" s="115"/>
      <c r="S254" s="115"/>
      <c r="T254" s="168"/>
      <c r="U254" s="133"/>
    </row>
    <row r="255" spans="1:21" ht="12" customHeight="1" x14ac:dyDescent="0.2">
      <c r="A255" s="115"/>
      <c r="B255" s="115"/>
      <c r="C255" s="105"/>
      <c r="D255" s="105"/>
      <c r="E255" s="105"/>
      <c r="F255" s="105"/>
      <c r="G255" s="105"/>
      <c r="H255" s="105"/>
      <c r="I255" s="142" t="str">
        <f t="shared" si="18"/>
        <v/>
      </c>
      <c r="J255" s="105" t="str">
        <f t="shared" si="19"/>
        <v/>
      </c>
      <c r="K255" s="143" t="str">
        <f t="shared" si="20"/>
        <v/>
      </c>
      <c r="L255" s="106" t="str">
        <f t="shared" si="21"/>
        <v/>
      </c>
      <c r="M255" s="105" t="str">
        <f t="shared" si="22"/>
        <v/>
      </c>
      <c r="N255" s="144" t="str">
        <f t="shared" si="23"/>
        <v/>
      </c>
      <c r="O255" s="144" t="str">
        <f>IF(NOT(ISERROR(VLOOKUP(C255,Deflatores!G$42:H$64,2,FALSE))),VLOOKUP(C255,Deflatores!G$42:H$64,2,FALSE),IF(OR(ISBLANK(D255),ISBLANK(C255)),"",VLOOKUP(D255,Deflatores!G$4:H$38,2,FALSE)*K255+VLOOKUP(D255,Deflatores!G$4:I$38,3,FALSE)))</f>
        <v/>
      </c>
      <c r="P255" s="115"/>
      <c r="Q255" s="115"/>
      <c r="R255" s="115"/>
      <c r="S255" s="115"/>
      <c r="T255" s="168"/>
      <c r="U255" s="133"/>
    </row>
    <row r="256" spans="1:21" ht="12" customHeight="1" x14ac:dyDescent="0.2">
      <c r="A256" s="115"/>
      <c r="B256" s="115"/>
      <c r="C256" s="105"/>
      <c r="D256" s="105"/>
      <c r="E256" s="105"/>
      <c r="F256" s="105"/>
      <c r="G256" s="105"/>
      <c r="H256" s="105"/>
      <c r="I256" s="142" t="str">
        <f t="shared" si="18"/>
        <v/>
      </c>
      <c r="J256" s="105" t="str">
        <f t="shared" si="19"/>
        <v/>
      </c>
      <c r="K256" s="143" t="str">
        <f t="shared" si="20"/>
        <v/>
      </c>
      <c r="L256" s="106" t="str">
        <f t="shared" si="21"/>
        <v/>
      </c>
      <c r="M256" s="105" t="str">
        <f t="shared" si="22"/>
        <v/>
      </c>
      <c r="N256" s="144" t="str">
        <f t="shared" si="23"/>
        <v/>
      </c>
      <c r="O256" s="144" t="str">
        <f>IF(NOT(ISERROR(VLOOKUP(C256,Deflatores!G$42:H$64,2,FALSE))),VLOOKUP(C256,Deflatores!G$42:H$64,2,FALSE),IF(OR(ISBLANK(D256),ISBLANK(C256)),"",VLOOKUP(D256,Deflatores!G$4:H$38,2,FALSE)*K256+VLOOKUP(D256,Deflatores!G$4:I$38,3,FALSE)))</f>
        <v/>
      </c>
      <c r="P256" s="115"/>
      <c r="Q256" s="115"/>
      <c r="R256" s="115"/>
      <c r="S256" s="115"/>
      <c r="T256" s="168"/>
      <c r="U256" s="133"/>
    </row>
    <row r="257" spans="1:21" ht="12" customHeight="1" x14ac:dyDescent="0.2">
      <c r="A257" s="115"/>
      <c r="B257" s="115"/>
      <c r="C257" s="105"/>
      <c r="D257" s="105"/>
      <c r="E257" s="105"/>
      <c r="F257" s="105"/>
      <c r="G257" s="105"/>
      <c r="H257" s="105"/>
      <c r="I257" s="142" t="str">
        <f t="shared" si="18"/>
        <v/>
      </c>
      <c r="J257" s="105" t="str">
        <f t="shared" si="19"/>
        <v/>
      </c>
      <c r="K257" s="143" t="str">
        <f t="shared" si="20"/>
        <v/>
      </c>
      <c r="L257" s="106" t="str">
        <f t="shared" si="21"/>
        <v/>
      </c>
      <c r="M257" s="105" t="str">
        <f t="shared" si="22"/>
        <v/>
      </c>
      <c r="N257" s="144" t="str">
        <f t="shared" si="23"/>
        <v/>
      </c>
      <c r="O257" s="144" t="str">
        <f>IF(NOT(ISERROR(VLOOKUP(C257,Deflatores!G$42:H$64,2,FALSE))),VLOOKUP(C257,Deflatores!G$42:H$64,2,FALSE),IF(OR(ISBLANK(D257),ISBLANK(C257)),"",VLOOKUP(D257,Deflatores!G$4:H$38,2,FALSE)*K257+VLOOKUP(D257,Deflatores!G$4:I$38,3,FALSE)))</f>
        <v/>
      </c>
      <c r="P257" s="115"/>
      <c r="Q257" s="115"/>
      <c r="R257" s="115"/>
      <c r="S257" s="115"/>
      <c r="T257" s="168"/>
      <c r="U257" s="133"/>
    </row>
    <row r="258" spans="1:21" ht="12" customHeight="1" x14ac:dyDescent="0.2">
      <c r="A258" s="115"/>
      <c r="B258" s="115"/>
      <c r="C258" s="105"/>
      <c r="D258" s="105"/>
      <c r="E258" s="105"/>
      <c r="F258" s="105"/>
      <c r="G258" s="105"/>
      <c r="H258" s="105"/>
      <c r="I258" s="142" t="str">
        <f t="shared" si="18"/>
        <v/>
      </c>
      <c r="J258" s="105" t="str">
        <f t="shared" si="19"/>
        <v/>
      </c>
      <c r="K258" s="143" t="str">
        <f t="shared" si="20"/>
        <v/>
      </c>
      <c r="L258" s="106" t="str">
        <f t="shared" si="21"/>
        <v/>
      </c>
      <c r="M258" s="105" t="str">
        <f t="shared" si="22"/>
        <v/>
      </c>
      <c r="N258" s="144" t="str">
        <f t="shared" si="23"/>
        <v/>
      </c>
      <c r="O258" s="144" t="str">
        <f>IF(NOT(ISERROR(VLOOKUP(C258,Deflatores!G$42:H$64,2,FALSE))),VLOOKUP(C258,Deflatores!G$42:H$64,2,FALSE),IF(OR(ISBLANK(D258),ISBLANK(C258)),"",VLOOKUP(D258,Deflatores!G$4:H$38,2,FALSE)*K258+VLOOKUP(D258,Deflatores!G$4:I$38,3,FALSE)))</f>
        <v/>
      </c>
      <c r="P258" s="115"/>
      <c r="Q258" s="115"/>
      <c r="R258" s="115"/>
      <c r="S258" s="115"/>
      <c r="T258" s="168"/>
      <c r="U258" s="133"/>
    </row>
    <row r="259" spans="1:21" ht="12" customHeight="1" x14ac:dyDescent="0.2">
      <c r="A259" s="115"/>
      <c r="B259" s="115"/>
      <c r="C259" s="105"/>
      <c r="D259" s="105"/>
      <c r="E259" s="105"/>
      <c r="F259" s="105"/>
      <c r="G259" s="105"/>
      <c r="H259" s="105"/>
      <c r="I259" s="142" t="str">
        <f t="shared" si="18"/>
        <v/>
      </c>
      <c r="J259" s="105" t="str">
        <f t="shared" si="19"/>
        <v/>
      </c>
      <c r="K259" s="143" t="str">
        <f t="shared" si="20"/>
        <v/>
      </c>
      <c r="L259" s="106" t="str">
        <f t="shared" si="21"/>
        <v/>
      </c>
      <c r="M259" s="105" t="str">
        <f t="shared" si="22"/>
        <v/>
      </c>
      <c r="N259" s="144" t="str">
        <f t="shared" si="23"/>
        <v/>
      </c>
      <c r="O259" s="144" t="str">
        <f>IF(NOT(ISERROR(VLOOKUP(C259,Deflatores!G$42:H$64,2,FALSE))),VLOOKUP(C259,Deflatores!G$42:H$64,2,FALSE),IF(OR(ISBLANK(D259),ISBLANK(C259)),"",VLOOKUP(D259,Deflatores!G$4:H$38,2,FALSE)*K259+VLOOKUP(D259,Deflatores!G$4:I$38,3,FALSE)))</f>
        <v/>
      </c>
      <c r="P259" s="115"/>
      <c r="Q259" s="115"/>
      <c r="R259" s="115"/>
      <c r="S259" s="115"/>
      <c r="T259" s="168"/>
      <c r="U259" s="133"/>
    </row>
    <row r="260" spans="1:21" ht="12" customHeight="1" x14ac:dyDescent="0.2">
      <c r="A260" s="115"/>
      <c r="B260" s="115"/>
      <c r="C260" s="105"/>
      <c r="D260" s="105"/>
      <c r="E260" s="105"/>
      <c r="F260" s="105"/>
      <c r="G260" s="105"/>
      <c r="H260" s="105"/>
      <c r="I260" s="142" t="str">
        <f t="shared" si="18"/>
        <v/>
      </c>
      <c r="J260" s="105" t="str">
        <f t="shared" si="19"/>
        <v/>
      </c>
      <c r="K260" s="143" t="str">
        <f t="shared" si="20"/>
        <v/>
      </c>
      <c r="L260" s="106" t="str">
        <f t="shared" si="21"/>
        <v/>
      </c>
      <c r="M260" s="105" t="str">
        <f t="shared" si="22"/>
        <v/>
      </c>
      <c r="N260" s="144" t="str">
        <f t="shared" si="23"/>
        <v/>
      </c>
      <c r="O260" s="144" t="str">
        <f>IF(NOT(ISERROR(VLOOKUP(C260,Deflatores!G$42:H$64,2,FALSE))),VLOOKUP(C260,Deflatores!G$42:H$64,2,FALSE),IF(OR(ISBLANK(D260),ISBLANK(C260)),"",VLOOKUP(D260,Deflatores!G$4:H$38,2,FALSE)*K260+VLOOKUP(D260,Deflatores!G$4:I$38,3,FALSE)))</f>
        <v/>
      </c>
      <c r="P260" s="115"/>
      <c r="Q260" s="115"/>
      <c r="R260" s="115"/>
      <c r="S260" s="115"/>
      <c r="T260" s="168"/>
      <c r="U260" s="133"/>
    </row>
    <row r="261" spans="1:21" ht="12" customHeight="1" x14ac:dyDescent="0.2">
      <c r="A261" s="115"/>
      <c r="B261" s="115"/>
      <c r="C261" s="105"/>
      <c r="D261" s="105"/>
      <c r="E261" s="105"/>
      <c r="F261" s="105"/>
      <c r="G261" s="105"/>
      <c r="H261" s="105"/>
      <c r="I261" s="142" t="str">
        <f t="shared" si="18"/>
        <v/>
      </c>
      <c r="J261" s="105" t="str">
        <f t="shared" si="19"/>
        <v/>
      </c>
      <c r="K261" s="143" t="str">
        <f t="shared" si="20"/>
        <v/>
      </c>
      <c r="L261" s="106" t="str">
        <f t="shared" si="21"/>
        <v/>
      </c>
      <c r="M261" s="105" t="str">
        <f t="shared" si="22"/>
        <v/>
      </c>
      <c r="N261" s="144" t="str">
        <f t="shared" si="23"/>
        <v/>
      </c>
      <c r="O261" s="144" t="str">
        <f>IF(NOT(ISERROR(VLOOKUP(C261,Deflatores!G$42:H$64,2,FALSE))),VLOOKUP(C261,Deflatores!G$42:H$64,2,FALSE),IF(OR(ISBLANK(D261),ISBLANK(C261)),"",VLOOKUP(D261,Deflatores!G$4:H$38,2,FALSE)*K261+VLOOKUP(D261,Deflatores!G$4:I$38,3,FALSE)))</f>
        <v/>
      </c>
      <c r="P261" s="115"/>
      <c r="Q261" s="115"/>
      <c r="R261" s="115"/>
      <c r="S261" s="115"/>
      <c r="T261" s="168"/>
      <c r="U261" s="133"/>
    </row>
    <row r="262" spans="1:21" ht="12" customHeight="1" x14ac:dyDescent="0.2">
      <c r="A262" s="115"/>
      <c r="B262" s="115"/>
      <c r="C262" s="105"/>
      <c r="D262" s="105"/>
      <c r="E262" s="105"/>
      <c r="F262" s="105"/>
      <c r="G262" s="105"/>
      <c r="H262" s="105"/>
      <c r="I262" s="142" t="str">
        <f t="shared" si="18"/>
        <v/>
      </c>
      <c r="J262" s="105" t="str">
        <f t="shared" si="19"/>
        <v/>
      </c>
      <c r="K262" s="143" t="str">
        <f t="shared" si="20"/>
        <v/>
      </c>
      <c r="L262" s="106" t="str">
        <f t="shared" si="21"/>
        <v/>
      </c>
      <c r="M262" s="105" t="str">
        <f t="shared" si="22"/>
        <v/>
      </c>
      <c r="N262" s="144" t="str">
        <f t="shared" si="23"/>
        <v/>
      </c>
      <c r="O262" s="144" t="str">
        <f>IF(NOT(ISERROR(VLOOKUP(C262,Deflatores!G$42:H$64,2,FALSE))),VLOOKUP(C262,Deflatores!G$42:H$64,2,FALSE),IF(OR(ISBLANK(D262),ISBLANK(C262)),"",VLOOKUP(D262,Deflatores!G$4:H$38,2,FALSE)*K262+VLOOKUP(D262,Deflatores!G$4:I$38,3,FALSE)))</f>
        <v/>
      </c>
      <c r="P262" s="115"/>
      <c r="Q262" s="115"/>
      <c r="R262" s="115"/>
      <c r="S262" s="115"/>
      <c r="T262" s="168"/>
      <c r="U262" s="133"/>
    </row>
    <row r="263" spans="1:21" ht="12" customHeight="1" x14ac:dyDescent="0.2">
      <c r="A263" s="115"/>
      <c r="B263" s="115"/>
      <c r="C263" s="105"/>
      <c r="D263" s="105"/>
      <c r="E263" s="105"/>
      <c r="F263" s="105"/>
      <c r="G263" s="105"/>
      <c r="H263" s="105"/>
      <c r="I263" s="142" t="str">
        <f t="shared" si="18"/>
        <v/>
      </c>
      <c r="J263" s="105" t="str">
        <f t="shared" si="19"/>
        <v/>
      </c>
      <c r="K263" s="143" t="str">
        <f t="shared" si="20"/>
        <v/>
      </c>
      <c r="L263" s="106" t="str">
        <f t="shared" si="21"/>
        <v/>
      </c>
      <c r="M263" s="105" t="str">
        <f t="shared" si="22"/>
        <v/>
      </c>
      <c r="N263" s="144" t="str">
        <f t="shared" si="23"/>
        <v/>
      </c>
      <c r="O263" s="144" t="str">
        <f>IF(NOT(ISERROR(VLOOKUP(C263,Deflatores!G$42:H$64,2,FALSE))),VLOOKUP(C263,Deflatores!G$42:H$64,2,FALSE),IF(OR(ISBLANK(D263),ISBLANK(C263)),"",VLOOKUP(D263,Deflatores!G$4:H$38,2,FALSE)*K263+VLOOKUP(D263,Deflatores!G$4:I$38,3,FALSE)))</f>
        <v/>
      </c>
      <c r="P263" s="115"/>
      <c r="Q263" s="115"/>
      <c r="R263" s="115"/>
      <c r="S263" s="115"/>
      <c r="T263" s="168"/>
      <c r="U263" s="133"/>
    </row>
    <row r="264" spans="1:21" ht="12" customHeight="1" x14ac:dyDescent="0.2">
      <c r="A264" s="115"/>
      <c r="B264" s="115"/>
      <c r="C264" s="105"/>
      <c r="D264" s="105"/>
      <c r="E264" s="105"/>
      <c r="F264" s="105"/>
      <c r="G264" s="105"/>
      <c r="H264" s="105"/>
      <c r="I264" s="142" t="str">
        <f t="shared" si="18"/>
        <v/>
      </c>
      <c r="J264" s="105" t="str">
        <f t="shared" si="19"/>
        <v/>
      </c>
      <c r="K264" s="143" t="str">
        <f t="shared" si="20"/>
        <v/>
      </c>
      <c r="L264" s="106" t="str">
        <f t="shared" si="21"/>
        <v/>
      </c>
      <c r="M264" s="105" t="str">
        <f t="shared" si="22"/>
        <v/>
      </c>
      <c r="N264" s="144" t="str">
        <f t="shared" si="23"/>
        <v/>
      </c>
      <c r="O264" s="144" t="str">
        <f>IF(NOT(ISERROR(VLOOKUP(C264,Deflatores!G$42:H$64,2,FALSE))),VLOOKUP(C264,Deflatores!G$42:H$64,2,FALSE),IF(OR(ISBLANK(D264),ISBLANK(C264)),"",VLOOKUP(D264,Deflatores!G$4:H$38,2,FALSE)*K264+VLOOKUP(D264,Deflatores!G$4:I$38,3,FALSE)))</f>
        <v/>
      </c>
      <c r="P264" s="115"/>
      <c r="Q264" s="115"/>
      <c r="R264" s="115"/>
      <c r="S264" s="115"/>
      <c r="T264" s="168"/>
      <c r="U264" s="133"/>
    </row>
    <row r="265" spans="1:21" ht="12" customHeight="1" x14ac:dyDescent="0.2">
      <c r="A265" s="115"/>
      <c r="B265" s="115"/>
      <c r="C265" s="105"/>
      <c r="D265" s="105"/>
      <c r="E265" s="105"/>
      <c r="F265" s="105"/>
      <c r="G265" s="105"/>
      <c r="H265" s="105"/>
      <c r="I265" s="142" t="str">
        <f t="shared" si="18"/>
        <v/>
      </c>
      <c r="J265" s="105" t="str">
        <f t="shared" si="19"/>
        <v/>
      </c>
      <c r="K265" s="143" t="str">
        <f t="shared" si="20"/>
        <v/>
      </c>
      <c r="L265" s="106" t="str">
        <f t="shared" si="21"/>
        <v/>
      </c>
      <c r="M265" s="105" t="str">
        <f t="shared" si="22"/>
        <v/>
      </c>
      <c r="N265" s="144" t="str">
        <f t="shared" si="23"/>
        <v/>
      </c>
      <c r="O265" s="144" t="str">
        <f>IF(NOT(ISERROR(VLOOKUP(C265,Deflatores!G$42:H$64,2,FALSE))),VLOOKUP(C265,Deflatores!G$42:H$64,2,FALSE),IF(OR(ISBLANK(D265),ISBLANK(C265)),"",VLOOKUP(D265,Deflatores!G$4:H$38,2,FALSE)*K265+VLOOKUP(D265,Deflatores!G$4:I$38,3,FALSE)))</f>
        <v/>
      </c>
      <c r="P265" s="115"/>
      <c r="Q265" s="115"/>
      <c r="R265" s="115"/>
      <c r="S265" s="115"/>
      <c r="T265" s="168"/>
      <c r="U265" s="133"/>
    </row>
    <row r="266" spans="1:21" ht="12" customHeight="1" x14ac:dyDescent="0.2">
      <c r="A266" s="115"/>
      <c r="B266" s="115"/>
      <c r="C266" s="105"/>
      <c r="D266" s="105"/>
      <c r="E266" s="105"/>
      <c r="F266" s="105"/>
      <c r="G266" s="105"/>
      <c r="H266" s="105"/>
      <c r="I266" s="142" t="str">
        <f t="shared" si="18"/>
        <v/>
      </c>
      <c r="J266" s="105" t="str">
        <f t="shared" si="19"/>
        <v/>
      </c>
      <c r="K266" s="143" t="str">
        <f t="shared" si="20"/>
        <v/>
      </c>
      <c r="L266" s="106" t="str">
        <f t="shared" si="21"/>
        <v/>
      </c>
      <c r="M266" s="105" t="str">
        <f t="shared" si="22"/>
        <v/>
      </c>
      <c r="N266" s="144" t="str">
        <f t="shared" si="23"/>
        <v/>
      </c>
      <c r="O266" s="144" t="str">
        <f>IF(NOT(ISERROR(VLOOKUP(C266,Deflatores!G$42:H$64,2,FALSE))),VLOOKUP(C266,Deflatores!G$42:H$64,2,FALSE),IF(OR(ISBLANK(D266),ISBLANK(C266)),"",VLOOKUP(D266,Deflatores!G$4:H$38,2,FALSE)*K266+VLOOKUP(D266,Deflatores!G$4:I$38,3,FALSE)))</f>
        <v/>
      </c>
      <c r="P266" s="115"/>
      <c r="Q266" s="115"/>
      <c r="R266" s="115"/>
      <c r="S266" s="115"/>
      <c r="T266" s="168"/>
      <c r="U266" s="133"/>
    </row>
    <row r="267" spans="1:21" ht="12" customHeight="1" x14ac:dyDescent="0.2">
      <c r="A267" s="115"/>
      <c r="B267" s="115"/>
      <c r="C267" s="105"/>
      <c r="D267" s="105"/>
      <c r="E267" s="105"/>
      <c r="F267" s="105"/>
      <c r="G267" s="105"/>
      <c r="H267" s="105"/>
      <c r="I267" s="142" t="str">
        <f t="shared" si="18"/>
        <v/>
      </c>
      <c r="J267" s="105" t="str">
        <f t="shared" si="19"/>
        <v/>
      </c>
      <c r="K267" s="143" t="str">
        <f t="shared" si="20"/>
        <v/>
      </c>
      <c r="L267" s="106" t="str">
        <f t="shared" si="21"/>
        <v/>
      </c>
      <c r="M267" s="105" t="str">
        <f t="shared" si="22"/>
        <v/>
      </c>
      <c r="N267" s="144" t="str">
        <f t="shared" si="23"/>
        <v/>
      </c>
      <c r="O267" s="144" t="str">
        <f>IF(NOT(ISERROR(VLOOKUP(C267,Deflatores!G$42:H$64,2,FALSE))),VLOOKUP(C267,Deflatores!G$42:H$64,2,FALSE),IF(OR(ISBLANK(D267),ISBLANK(C267)),"",VLOOKUP(D267,Deflatores!G$4:H$38,2,FALSE)*K267+VLOOKUP(D267,Deflatores!G$4:I$38,3,FALSE)))</f>
        <v/>
      </c>
      <c r="P267" s="115"/>
      <c r="Q267" s="115"/>
      <c r="R267" s="115"/>
      <c r="S267" s="115"/>
      <c r="T267" s="168"/>
      <c r="U267" s="133"/>
    </row>
    <row r="268" spans="1:21" ht="12" customHeight="1" x14ac:dyDescent="0.2">
      <c r="A268" s="115"/>
      <c r="B268" s="115"/>
      <c r="C268" s="105"/>
      <c r="D268" s="105"/>
      <c r="E268" s="105"/>
      <c r="F268" s="105"/>
      <c r="G268" s="105"/>
      <c r="H268" s="105"/>
      <c r="I268" s="142" t="str">
        <f t="shared" si="18"/>
        <v/>
      </c>
      <c r="J268" s="105" t="str">
        <f t="shared" si="19"/>
        <v/>
      </c>
      <c r="K268" s="143" t="str">
        <f t="shared" si="20"/>
        <v/>
      </c>
      <c r="L268" s="106" t="str">
        <f t="shared" si="21"/>
        <v/>
      </c>
      <c r="M268" s="105" t="str">
        <f t="shared" si="22"/>
        <v/>
      </c>
      <c r="N268" s="144" t="str">
        <f t="shared" si="23"/>
        <v/>
      </c>
      <c r="O268" s="144" t="str">
        <f>IF(NOT(ISERROR(VLOOKUP(C268,Deflatores!G$42:H$64,2,FALSE))),VLOOKUP(C268,Deflatores!G$42:H$64,2,FALSE),IF(OR(ISBLANK(D268),ISBLANK(C268)),"",VLOOKUP(D268,Deflatores!G$4:H$38,2,FALSE)*K268+VLOOKUP(D268,Deflatores!G$4:I$38,3,FALSE)))</f>
        <v/>
      </c>
      <c r="P268" s="115"/>
      <c r="Q268" s="115"/>
      <c r="R268" s="115"/>
      <c r="S268" s="115"/>
      <c r="T268" s="168"/>
      <c r="U268" s="133"/>
    </row>
    <row r="269" spans="1:21" ht="12" customHeight="1" x14ac:dyDescent="0.2">
      <c r="A269" s="115"/>
      <c r="B269" s="115"/>
      <c r="C269" s="105"/>
      <c r="D269" s="105"/>
      <c r="E269" s="105"/>
      <c r="F269" s="105"/>
      <c r="G269" s="105"/>
      <c r="H269" s="105"/>
      <c r="I269" s="142" t="str">
        <f t="shared" si="18"/>
        <v/>
      </c>
      <c r="J269" s="105" t="str">
        <f t="shared" si="19"/>
        <v/>
      </c>
      <c r="K269" s="143" t="str">
        <f t="shared" si="20"/>
        <v/>
      </c>
      <c r="L269" s="106" t="str">
        <f t="shared" si="21"/>
        <v/>
      </c>
      <c r="M269" s="105" t="str">
        <f t="shared" si="22"/>
        <v/>
      </c>
      <c r="N269" s="144" t="str">
        <f t="shared" si="23"/>
        <v/>
      </c>
      <c r="O269" s="144" t="str">
        <f>IF(NOT(ISERROR(VLOOKUP(C269,Deflatores!G$42:H$64,2,FALSE))),VLOOKUP(C269,Deflatores!G$42:H$64,2,FALSE),IF(OR(ISBLANK(D269),ISBLANK(C269)),"",VLOOKUP(D269,Deflatores!G$4:H$38,2,FALSE)*K269+VLOOKUP(D269,Deflatores!G$4:I$38,3,FALSE)))</f>
        <v/>
      </c>
      <c r="P269" s="115"/>
      <c r="Q269" s="115"/>
      <c r="R269" s="115"/>
      <c r="S269" s="115"/>
      <c r="T269" s="168"/>
      <c r="U269" s="133"/>
    </row>
    <row r="270" spans="1:21" ht="12" customHeight="1" x14ac:dyDescent="0.2">
      <c r="A270" s="115"/>
      <c r="B270" s="115"/>
      <c r="C270" s="105"/>
      <c r="D270" s="105"/>
      <c r="E270" s="105"/>
      <c r="F270" s="105"/>
      <c r="G270" s="105"/>
      <c r="H270" s="105"/>
      <c r="I270" s="142" t="str">
        <f t="shared" ref="I270:I333" si="24">IF(ISBLANK(C270),"",IF(L270="L","Baixa",IF(L270="A","Média",IF(L270="","","Alta"))))</f>
        <v/>
      </c>
      <c r="J270" s="105" t="str">
        <f t="shared" ref="J270:J333" si="25">CONCATENATE(C270,L270)</f>
        <v/>
      </c>
      <c r="K270" s="143" t="str">
        <f t="shared" ref="K270:K333" si="26">IF(ISBLANK(C270),"",IF(C270="ALI",IF(L270="L",7,IF(L270="A",10,15)),IF(C270="AIE",IF(L270="L",5,IF(L270="A",7,10)),IF(C270="SE",IF(L270="L",4,IF(L270="A",5,7)),IF(OR(C270="EE",C270="CE"),IF(L270="L",3,IF(L270="A",4,6)),0)))))</f>
        <v/>
      </c>
      <c r="L270" s="106" t="str">
        <f t="shared" ref="L270:L333" si="27">IF(OR(ISBLANK(E270),ISBLANK(G270)),IF(OR(C270="ALI",C270="AIE"),"L",IF(OR(C270="EE",C270="SE",C270="CE"),"A","")),IF(C270="EE",IF(G270&gt;=3,IF(E270&gt;=5,"H","A"),IF(G270&gt;=2,IF(E270&gt;=16,"H",IF(E270&lt;=4,"L","A")),IF(E270&lt;=15,"L","A"))),IF(OR(C270="SE",C270="CE"),IF(G270&gt;=4,IF(E270&gt;=6,"H","A"),IF(G270&gt;=2,IF(E270&gt;=20,"H",IF(E270&lt;=5,"L","A")),IF(E270&lt;=19,"L","A"))),IF(OR(C270="ALI",C270="AIE"),IF(G270&gt;=6,IF(E270&gt;=20,"H","A"),IF(G270&gt;=2,IF(E270&gt;=51,"H",IF(E270&lt;=19,"L","A")),IF(E270&lt;=50,"L","A"))),""))))</f>
        <v/>
      </c>
      <c r="M270" s="105" t="str">
        <f t="shared" ref="M270:M333" si="28">CONCATENATE(C270,D270)</f>
        <v/>
      </c>
      <c r="N270" s="144" t="str">
        <f t="shared" ref="N270:N333" si="29">IF(OR(K270="",K270=0),O270,K270)</f>
        <v/>
      </c>
      <c r="O270" s="144" t="str">
        <f>IF(NOT(ISERROR(VLOOKUP(C270,Deflatores!G$42:H$64,2,FALSE))),VLOOKUP(C270,Deflatores!G$42:H$64,2,FALSE),IF(OR(ISBLANK(D270),ISBLANK(C270)),"",VLOOKUP(D270,Deflatores!G$4:H$38,2,FALSE)*K270+VLOOKUP(D270,Deflatores!G$4:I$38,3,FALSE)))</f>
        <v/>
      </c>
      <c r="P270" s="115"/>
      <c r="Q270" s="115"/>
      <c r="R270" s="115"/>
      <c r="S270" s="115"/>
      <c r="T270" s="168"/>
      <c r="U270" s="133"/>
    </row>
    <row r="271" spans="1:21" ht="12" customHeight="1" x14ac:dyDescent="0.2">
      <c r="A271" s="115"/>
      <c r="B271" s="115"/>
      <c r="C271" s="105"/>
      <c r="D271" s="105"/>
      <c r="E271" s="105"/>
      <c r="F271" s="105"/>
      <c r="G271" s="105"/>
      <c r="H271" s="105"/>
      <c r="I271" s="142" t="str">
        <f t="shared" si="24"/>
        <v/>
      </c>
      <c r="J271" s="105" t="str">
        <f t="shared" si="25"/>
        <v/>
      </c>
      <c r="K271" s="143" t="str">
        <f t="shared" si="26"/>
        <v/>
      </c>
      <c r="L271" s="106" t="str">
        <f t="shared" si="27"/>
        <v/>
      </c>
      <c r="M271" s="105" t="str">
        <f t="shared" si="28"/>
        <v/>
      </c>
      <c r="N271" s="144" t="str">
        <f t="shared" si="29"/>
        <v/>
      </c>
      <c r="O271" s="144" t="str">
        <f>IF(NOT(ISERROR(VLOOKUP(C271,Deflatores!G$42:H$64,2,FALSE))),VLOOKUP(C271,Deflatores!G$42:H$64,2,FALSE),IF(OR(ISBLANK(D271),ISBLANK(C271)),"",VLOOKUP(D271,Deflatores!G$4:H$38,2,FALSE)*K271+VLOOKUP(D271,Deflatores!G$4:I$38,3,FALSE)))</f>
        <v/>
      </c>
      <c r="P271" s="115"/>
      <c r="Q271" s="115"/>
      <c r="R271" s="115"/>
      <c r="S271" s="115"/>
      <c r="T271" s="168"/>
      <c r="U271" s="133"/>
    </row>
    <row r="272" spans="1:21" ht="12" customHeight="1" x14ac:dyDescent="0.2">
      <c r="A272" s="115"/>
      <c r="B272" s="115"/>
      <c r="C272" s="105"/>
      <c r="D272" s="105"/>
      <c r="E272" s="105"/>
      <c r="F272" s="105"/>
      <c r="G272" s="105"/>
      <c r="H272" s="105"/>
      <c r="I272" s="142" t="str">
        <f t="shared" si="24"/>
        <v/>
      </c>
      <c r="J272" s="105" t="str">
        <f t="shared" si="25"/>
        <v/>
      </c>
      <c r="K272" s="143" t="str">
        <f t="shared" si="26"/>
        <v/>
      </c>
      <c r="L272" s="106" t="str">
        <f t="shared" si="27"/>
        <v/>
      </c>
      <c r="M272" s="105" t="str">
        <f t="shared" si="28"/>
        <v/>
      </c>
      <c r="N272" s="144" t="str">
        <f t="shared" si="29"/>
        <v/>
      </c>
      <c r="O272" s="144" t="str">
        <f>IF(NOT(ISERROR(VLOOKUP(C272,Deflatores!G$42:H$64,2,FALSE))),VLOOKUP(C272,Deflatores!G$42:H$64,2,FALSE),IF(OR(ISBLANK(D272),ISBLANK(C272)),"",VLOOKUP(D272,Deflatores!G$4:H$38,2,FALSE)*K272+VLOOKUP(D272,Deflatores!G$4:I$38,3,FALSE)))</f>
        <v/>
      </c>
      <c r="P272" s="115"/>
      <c r="Q272" s="115"/>
      <c r="R272" s="115"/>
      <c r="S272" s="115"/>
      <c r="T272" s="168"/>
      <c r="U272" s="133"/>
    </row>
    <row r="273" spans="1:21" ht="12" customHeight="1" x14ac:dyDescent="0.2">
      <c r="A273" s="115"/>
      <c r="B273" s="115"/>
      <c r="C273" s="105"/>
      <c r="D273" s="105"/>
      <c r="E273" s="105"/>
      <c r="F273" s="105"/>
      <c r="G273" s="105"/>
      <c r="H273" s="105"/>
      <c r="I273" s="142" t="str">
        <f t="shared" si="24"/>
        <v/>
      </c>
      <c r="J273" s="105" t="str">
        <f t="shared" si="25"/>
        <v/>
      </c>
      <c r="K273" s="143" t="str">
        <f t="shared" si="26"/>
        <v/>
      </c>
      <c r="L273" s="106" t="str">
        <f t="shared" si="27"/>
        <v/>
      </c>
      <c r="M273" s="105" t="str">
        <f t="shared" si="28"/>
        <v/>
      </c>
      <c r="N273" s="144" t="str">
        <f t="shared" si="29"/>
        <v/>
      </c>
      <c r="O273" s="144" t="str">
        <f>IF(NOT(ISERROR(VLOOKUP(C273,Deflatores!G$42:H$64,2,FALSE))),VLOOKUP(C273,Deflatores!G$42:H$64,2,FALSE),IF(OR(ISBLANK(D273),ISBLANK(C273)),"",VLOOKUP(D273,Deflatores!G$4:H$38,2,FALSE)*K273+VLOOKUP(D273,Deflatores!G$4:I$38,3,FALSE)))</f>
        <v/>
      </c>
      <c r="P273" s="115"/>
      <c r="Q273" s="115"/>
      <c r="R273" s="115"/>
      <c r="S273" s="115"/>
      <c r="T273" s="168"/>
      <c r="U273" s="133"/>
    </row>
    <row r="274" spans="1:21" ht="12" customHeight="1" x14ac:dyDescent="0.2">
      <c r="A274" s="115"/>
      <c r="B274" s="115"/>
      <c r="C274" s="105"/>
      <c r="D274" s="105"/>
      <c r="E274" s="105"/>
      <c r="F274" s="105"/>
      <c r="G274" s="105"/>
      <c r="H274" s="105"/>
      <c r="I274" s="142" t="str">
        <f t="shared" si="24"/>
        <v/>
      </c>
      <c r="J274" s="105" t="str">
        <f t="shared" si="25"/>
        <v/>
      </c>
      <c r="K274" s="143" t="str">
        <f t="shared" si="26"/>
        <v/>
      </c>
      <c r="L274" s="106" t="str">
        <f t="shared" si="27"/>
        <v/>
      </c>
      <c r="M274" s="105" t="str">
        <f t="shared" si="28"/>
        <v/>
      </c>
      <c r="N274" s="144" t="str">
        <f t="shared" si="29"/>
        <v/>
      </c>
      <c r="O274" s="144" t="str">
        <f>IF(NOT(ISERROR(VLOOKUP(C274,Deflatores!G$42:H$64,2,FALSE))),VLOOKUP(C274,Deflatores!G$42:H$64,2,FALSE),IF(OR(ISBLANK(D274),ISBLANK(C274)),"",VLOOKUP(D274,Deflatores!G$4:H$38,2,FALSE)*K274+VLOOKUP(D274,Deflatores!G$4:I$38,3,FALSE)))</f>
        <v/>
      </c>
      <c r="P274" s="115"/>
      <c r="Q274" s="115"/>
      <c r="R274" s="115"/>
      <c r="S274" s="115"/>
      <c r="T274" s="168"/>
      <c r="U274" s="133"/>
    </row>
    <row r="275" spans="1:21" ht="12" customHeight="1" x14ac:dyDescent="0.2">
      <c r="A275" s="115"/>
      <c r="B275" s="115"/>
      <c r="C275" s="105"/>
      <c r="D275" s="105"/>
      <c r="E275" s="105"/>
      <c r="F275" s="105"/>
      <c r="G275" s="105"/>
      <c r="H275" s="105"/>
      <c r="I275" s="142" t="str">
        <f t="shared" si="24"/>
        <v/>
      </c>
      <c r="J275" s="105" t="str">
        <f t="shared" si="25"/>
        <v/>
      </c>
      <c r="K275" s="143" t="str">
        <f t="shared" si="26"/>
        <v/>
      </c>
      <c r="L275" s="106" t="str">
        <f t="shared" si="27"/>
        <v/>
      </c>
      <c r="M275" s="105" t="str">
        <f t="shared" si="28"/>
        <v/>
      </c>
      <c r="N275" s="144" t="str">
        <f t="shared" si="29"/>
        <v/>
      </c>
      <c r="O275" s="144" t="str">
        <f>IF(NOT(ISERROR(VLOOKUP(C275,Deflatores!G$42:H$64,2,FALSE))),VLOOKUP(C275,Deflatores!G$42:H$64,2,FALSE),IF(OR(ISBLANK(D275),ISBLANK(C275)),"",VLOOKUP(D275,Deflatores!G$4:H$38,2,FALSE)*K275+VLOOKUP(D275,Deflatores!G$4:I$38,3,FALSE)))</f>
        <v/>
      </c>
      <c r="P275" s="115"/>
      <c r="Q275" s="115"/>
      <c r="R275" s="115"/>
      <c r="S275" s="115"/>
      <c r="T275" s="168"/>
      <c r="U275" s="133"/>
    </row>
    <row r="276" spans="1:21" ht="12" customHeight="1" x14ac:dyDescent="0.2">
      <c r="A276" s="115"/>
      <c r="B276" s="115"/>
      <c r="C276" s="105"/>
      <c r="D276" s="105"/>
      <c r="E276" s="105"/>
      <c r="F276" s="105"/>
      <c r="G276" s="105"/>
      <c r="H276" s="105"/>
      <c r="I276" s="142" t="str">
        <f t="shared" si="24"/>
        <v/>
      </c>
      <c r="J276" s="105" t="str">
        <f t="shared" si="25"/>
        <v/>
      </c>
      <c r="K276" s="143" t="str">
        <f t="shared" si="26"/>
        <v/>
      </c>
      <c r="L276" s="106" t="str">
        <f t="shared" si="27"/>
        <v/>
      </c>
      <c r="M276" s="105" t="str">
        <f t="shared" si="28"/>
        <v/>
      </c>
      <c r="N276" s="144" t="str">
        <f t="shared" si="29"/>
        <v/>
      </c>
      <c r="O276" s="144" t="str">
        <f>IF(NOT(ISERROR(VLOOKUP(C276,Deflatores!G$42:H$64,2,FALSE))),VLOOKUP(C276,Deflatores!G$42:H$64,2,FALSE),IF(OR(ISBLANK(D276),ISBLANK(C276)),"",VLOOKUP(D276,Deflatores!G$4:H$38,2,FALSE)*K276+VLOOKUP(D276,Deflatores!G$4:I$38,3,FALSE)))</f>
        <v/>
      </c>
      <c r="P276" s="115"/>
      <c r="Q276" s="115"/>
      <c r="R276" s="115"/>
      <c r="S276" s="115"/>
      <c r="T276" s="168"/>
      <c r="U276" s="133"/>
    </row>
    <row r="277" spans="1:21" ht="12" customHeight="1" x14ac:dyDescent="0.2">
      <c r="A277" s="115"/>
      <c r="B277" s="115"/>
      <c r="C277" s="105"/>
      <c r="D277" s="105"/>
      <c r="E277" s="105"/>
      <c r="F277" s="105"/>
      <c r="G277" s="105"/>
      <c r="H277" s="105"/>
      <c r="I277" s="142" t="str">
        <f t="shared" si="24"/>
        <v/>
      </c>
      <c r="J277" s="105" t="str">
        <f t="shared" si="25"/>
        <v/>
      </c>
      <c r="K277" s="143" t="str">
        <f t="shared" si="26"/>
        <v/>
      </c>
      <c r="L277" s="106" t="str">
        <f t="shared" si="27"/>
        <v/>
      </c>
      <c r="M277" s="105" t="str">
        <f t="shared" si="28"/>
        <v/>
      </c>
      <c r="N277" s="144" t="str">
        <f t="shared" si="29"/>
        <v/>
      </c>
      <c r="O277" s="144" t="str">
        <f>IF(NOT(ISERROR(VLOOKUP(C277,Deflatores!G$42:H$64,2,FALSE))),VLOOKUP(C277,Deflatores!G$42:H$64,2,FALSE),IF(OR(ISBLANK(D277),ISBLANK(C277)),"",VLOOKUP(D277,Deflatores!G$4:H$38,2,FALSE)*K277+VLOOKUP(D277,Deflatores!G$4:I$38,3,FALSE)))</f>
        <v/>
      </c>
      <c r="P277" s="115"/>
      <c r="Q277" s="115"/>
      <c r="R277" s="115"/>
      <c r="S277" s="115"/>
      <c r="T277" s="168"/>
      <c r="U277" s="133"/>
    </row>
    <row r="278" spans="1:21" ht="12" customHeight="1" x14ac:dyDescent="0.2">
      <c r="A278" s="115"/>
      <c r="B278" s="115"/>
      <c r="C278" s="105"/>
      <c r="D278" s="105"/>
      <c r="E278" s="105"/>
      <c r="F278" s="105"/>
      <c r="G278" s="105"/>
      <c r="H278" s="105"/>
      <c r="I278" s="142" t="str">
        <f t="shared" si="24"/>
        <v/>
      </c>
      <c r="J278" s="105" t="str">
        <f t="shared" si="25"/>
        <v/>
      </c>
      <c r="K278" s="143" t="str">
        <f t="shared" si="26"/>
        <v/>
      </c>
      <c r="L278" s="106" t="str">
        <f t="shared" si="27"/>
        <v/>
      </c>
      <c r="M278" s="105" t="str">
        <f t="shared" si="28"/>
        <v/>
      </c>
      <c r="N278" s="144" t="str">
        <f t="shared" si="29"/>
        <v/>
      </c>
      <c r="O278" s="144" t="str">
        <f>IF(NOT(ISERROR(VLOOKUP(C278,Deflatores!G$42:H$64,2,FALSE))),VLOOKUP(C278,Deflatores!G$42:H$64,2,FALSE),IF(OR(ISBLANK(D278),ISBLANK(C278)),"",VLOOKUP(D278,Deflatores!G$4:H$38,2,FALSE)*K278+VLOOKUP(D278,Deflatores!G$4:I$38,3,FALSE)))</f>
        <v/>
      </c>
      <c r="P278" s="115"/>
      <c r="Q278" s="115"/>
      <c r="R278" s="115"/>
      <c r="S278" s="115"/>
      <c r="T278" s="168"/>
      <c r="U278" s="133"/>
    </row>
    <row r="279" spans="1:21" ht="12" customHeight="1" x14ac:dyDescent="0.2">
      <c r="A279" s="115"/>
      <c r="B279" s="115"/>
      <c r="C279" s="105"/>
      <c r="D279" s="105"/>
      <c r="E279" s="105"/>
      <c r="F279" s="105"/>
      <c r="G279" s="105"/>
      <c r="H279" s="105"/>
      <c r="I279" s="142" t="str">
        <f t="shared" si="24"/>
        <v/>
      </c>
      <c r="J279" s="105" t="str">
        <f t="shared" si="25"/>
        <v/>
      </c>
      <c r="K279" s="143" t="str">
        <f t="shared" si="26"/>
        <v/>
      </c>
      <c r="L279" s="106" t="str">
        <f t="shared" si="27"/>
        <v/>
      </c>
      <c r="M279" s="105" t="str">
        <f t="shared" si="28"/>
        <v/>
      </c>
      <c r="N279" s="144" t="str">
        <f t="shared" si="29"/>
        <v/>
      </c>
      <c r="O279" s="144" t="str">
        <f>IF(NOT(ISERROR(VLOOKUP(C279,Deflatores!G$42:H$64,2,FALSE))),VLOOKUP(C279,Deflatores!G$42:H$64,2,FALSE),IF(OR(ISBLANK(D279),ISBLANK(C279)),"",VLOOKUP(D279,Deflatores!G$4:H$38,2,FALSE)*K279+VLOOKUP(D279,Deflatores!G$4:I$38,3,FALSE)))</f>
        <v/>
      </c>
      <c r="P279" s="115"/>
      <c r="Q279" s="115"/>
      <c r="R279" s="115"/>
      <c r="S279" s="115"/>
      <c r="T279" s="168"/>
      <c r="U279" s="133"/>
    </row>
    <row r="280" spans="1:21" ht="12" customHeight="1" x14ac:dyDescent="0.2">
      <c r="A280" s="115"/>
      <c r="B280" s="115"/>
      <c r="C280" s="105"/>
      <c r="D280" s="105"/>
      <c r="E280" s="105"/>
      <c r="F280" s="105"/>
      <c r="G280" s="105"/>
      <c r="H280" s="105"/>
      <c r="I280" s="142" t="str">
        <f t="shared" si="24"/>
        <v/>
      </c>
      <c r="J280" s="105" t="str">
        <f t="shared" si="25"/>
        <v/>
      </c>
      <c r="K280" s="143" t="str">
        <f t="shared" si="26"/>
        <v/>
      </c>
      <c r="L280" s="106" t="str">
        <f t="shared" si="27"/>
        <v/>
      </c>
      <c r="M280" s="105" t="str">
        <f t="shared" si="28"/>
        <v/>
      </c>
      <c r="N280" s="144" t="str">
        <f t="shared" si="29"/>
        <v/>
      </c>
      <c r="O280" s="144" t="str">
        <f>IF(NOT(ISERROR(VLOOKUP(C280,Deflatores!G$42:H$64,2,FALSE))),VLOOKUP(C280,Deflatores!G$42:H$64,2,FALSE),IF(OR(ISBLANK(D280),ISBLANK(C280)),"",VLOOKUP(D280,Deflatores!G$4:H$38,2,FALSE)*K280+VLOOKUP(D280,Deflatores!G$4:I$38,3,FALSE)))</f>
        <v/>
      </c>
      <c r="P280" s="115"/>
      <c r="Q280" s="115"/>
      <c r="R280" s="115"/>
      <c r="S280" s="115"/>
      <c r="T280" s="168"/>
      <c r="U280" s="133"/>
    </row>
    <row r="281" spans="1:21" ht="12" customHeight="1" x14ac:dyDescent="0.2">
      <c r="A281" s="115"/>
      <c r="B281" s="115"/>
      <c r="C281" s="105"/>
      <c r="D281" s="105"/>
      <c r="E281" s="105"/>
      <c r="F281" s="105"/>
      <c r="G281" s="105"/>
      <c r="H281" s="105"/>
      <c r="I281" s="142" t="str">
        <f t="shared" si="24"/>
        <v/>
      </c>
      <c r="J281" s="105" t="str">
        <f t="shared" si="25"/>
        <v/>
      </c>
      <c r="K281" s="143" t="str">
        <f t="shared" si="26"/>
        <v/>
      </c>
      <c r="L281" s="106" t="str">
        <f t="shared" si="27"/>
        <v/>
      </c>
      <c r="M281" s="105" t="str">
        <f t="shared" si="28"/>
        <v/>
      </c>
      <c r="N281" s="144" t="str">
        <f t="shared" si="29"/>
        <v/>
      </c>
      <c r="O281" s="144" t="str">
        <f>IF(NOT(ISERROR(VLOOKUP(C281,Deflatores!G$42:H$64,2,FALSE))),VLOOKUP(C281,Deflatores!G$42:H$64,2,FALSE),IF(OR(ISBLANK(D281),ISBLANK(C281)),"",VLOOKUP(D281,Deflatores!G$4:H$38,2,FALSE)*K281+VLOOKUP(D281,Deflatores!G$4:I$38,3,FALSE)))</f>
        <v/>
      </c>
      <c r="P281" s="115"/>
      <c r="Q281" s="115"/>
      <c r="R281" s="115"/>
      <c r="S281" s="115"/>
      <c r="T281" s="168"/>
      <c r="U281" s="133"/>
    </row>
    <row r="282" spans="1:21" ht="12" customHeight="1" x14ac:dyDescent="0.2">
      <c r="A282" s="115"/>
      <c r="B282" s="115"/>
      <c r="C282" s="105"/>
      <c r="D282" s="105"/>
      <c r="E282" s="105"/>
      <c r="F282" s="105"/>
      <c r="G282" s="105"/>
      <c r="H282" s="105"/>
      <c r="I282" s="142" t="str">
        <f t="shared" si="24"/>
        <v/>
      </c>
      <c r="J282" s="105" t="str">
        <f t="shared" si="25"/>
        <v/>
      </c>
      <c r="K282" s="143" t="str">
        <f t="shared" si="26"/>
        <v/>
      </c>
      <c r="L282" s="106" t="str">
        <f t="shared" si="27"/>
        <v/>
      </c>
      <c r="M282" s="105" t="str">
        <f t="shared" si="28"/>
        <v/>
      </c>
      <c r="N282" s="144" t="str">
        <f t="shared" si="29"/>
        <v/>
      </c>
      <c r="O282" s="144" t="str">
        <f>IF(NOT(ISERROR(VLOOKUP(C282,Deflatores!G$42:H$64,2,FALSE))),VLOOKUP(C282,Deflatores!G$42:H$64,2,FALSE),IF(OR(ISBLANK(D282),ISBLANK(C282)),"",VLOOKUP(D282,Deflatores!G$4:H$38,2,FALSE)*K282+VLOOKUP(D282,Deflatores!G$4:I$38,3,FALSE)))</f>
        <v/>
      </c>
      <c r="P282" s="115"/>
      <c r="Q282" s="115"/>
      <c r="R282" s="115"/>
      <c r="S282" s="115"/>
      <c r="T282" s="168"/>
      <c r="U282" s="133"/>
    </row>
    <row r="283" spans="1:21" ht="12" customHeight="1" x14ac:dyDescent="0.2">
      <c r="A283" s="115"/>
      <c r="B283" s="115"/>
      <c r="C283" s="105"/>
      <c r="D283" s="105"/>
      <c r="E283" s="105"/>
      <c r="F283" s="105"/>
      <c r="G283" s="105"/>
      <c r="H283" s="105"/>
      <c r="I283" s="142" t="str">
        <f t="shared" si="24"/>
        <v/>
      </c>
      <c r="J283" s="105" t="str">
        <f t="shared" si="25"/>
        <v/>
      </c>
      <c r="K283" s="143" t="str">
        <f t="shared" si="26"/>
        <v/>
      </c>
      <c r="L283" s="106" t="str">
        <f t="shared" si="27"/>
        <v/>
      </c>
      <c r="M283" s="105" t="str">
        <f t="shared" si="28"/>
        <v/>
      </c>
      <c r="N283" s="144" t="str">
        <f t="shared" si="29"/>
        <v/>
      </c>
      <c r="O283" s="144" t="str">
        <f>IF(NOT(ISERROR(VLOOKUP(C283,Deflatores!G$42:H$64,2,FALSE))),VLOOKUP(C283,Deflatores!G$42:H$64,2,FALSE),IF(OR(ISBLANK(D283),ISBLANK(C283)),"",VLOOKUP(D283,Deflatores!G$4:H$38,2,FALSE)*K283+VLOOKUP(D283,Deflatores!G$4:I$38,3,FALSE)))</f>
        <v/>
      </c>
      <c r="P283" s="115"/>
      <c r="Q283" s="115"/>
      <c r="R283" s="115"/>
      <c r="S283" s="115"/>
      <c r="T283" s="168"/>
      <c r="U283" s="133"/>
    </row>
    <row r="284" spans="1:21" ht="12" customHeight="1" x14ac:dyDescent="0.2">
      <c r="A284" s="115"/>
      <c r="B284" s="115"/>
      <c r="C284" s="105"/>
      <c r="D284" s="105"/>
      <c r="E284" s="105"/>
      <c r="F284" s="105"/>
      <c r="G284" s="105"/>
      <c r="H284" s="105"/>
      <c r="I284" s="142" t="str">
        <f t="shared" si="24"/>
        <v/>
      </c>
      <c r="J284" s="105" t="str">
        <f t="shared" si="25"/>
        <v/>
      </c>
      <c r="K284" s="143" t="str">
        <f t="shared" si="26"/>
        <v/>
      </c>
      <c r="L284" s="106" t="str">
        <f t="shared" si="27"/>
        <v/>
      </c>
      <c r="M284" s="105" t="str">
        <f t="shared" si="28"/>
        <v/>
      </c>
      <c r="N284" s="144" t="str">
        <f t="shared" si="29"/>
        <v/>
      </c>
      <c r="O284" s="144" t="str">
        <f>IF(NOT(ISERROR(VLOOKUP(C284,Deflatores!G$42:H$64,2,FALSE))),VLOOKUP(C284,Deflatores!G$42:H$64,2,FALSE),IF(OR(ISBLANK(D284),ISBLANK(C284)),"",VLOOKUP(D284,Deflatores!G$4:H$38,2,FALSE)*K284+VLOOKUP(D284,Deflatores!G$4:I$38,3,FALSE)))</f>
        <v/>
      </c>
      <c r="P284" s="115"/>
      <c r="Q284" s="115"/>
      <c r="R284" s="115"/>
      <c r="S284" s="115"/>
      <c r="T284" s="168"/>
      <c r="U284" s="133"/>
    </row>
    <row r="285" spans="1:21" ht="12" customHeight="1" x14ac:dyDescent="0.2">
      <c r="A285" s="115"/>
      <c r="B285" s="115"/>
      <c r="C285" s="105"/>
      <c r="D285" s="105"/>
      <c r="E285" s="105"/>
      <c r="F285" s="105"/>
      <c r="G285" s="105"/>
      <c r="H285" s="105"/>
      <c r="I285" s="142" t="str">
        <f t="shared" si="24"/>
        <v/>
      </c>
      <c r="J285" s="105" t="str">
        <f t="shared" si="25"/>
        <v/>
      </c>
      <c r="K285" s="143" t="str">
        <f t="shared" si="26"/>
        <v/>
      </c>
      <c r="L285" s="106" t="str">
        <f t="shared" si="27"/>
        <v/>
      </c>
      <c r="M285" s="105" t="str">
        <f t="shared" si="28"/>
        <v/>
      </c>
      <c r="N285" s="144" t="str">
        <f t="shared" si="29"/>
        <v/>
      </c>
      <c r="O285" s="144" t="str">
        <f>IF(NOT(ISERROR(VLOOKUP(C285,Deflatores!G$42:H$64,2,FALSE))),VLOOKUP(C285,Deflatores!G$42:H$64,2,FALSE),IF(OR(ISBLANK(D285),ISBLANK(C285)),"",VLOOKUP(D285,Deflatores!G$4:H$38,2,FALSE)*K285+VLOOKUP(D285,Deflatores!G$4:I$38,3,FALSE)))</f>
        <v/>
      </c>
      <c r="P285" s="115"/>
      <c r="Q285" s="115"/>
      <c r="R285" s="115"/>
      <c r="S285" s="115"/>
      <c r="T285" s="168"/>
      <c r="U285" s="133"/>
    </row>
    <row r="286" spans="1:21" ht="12" customHeight="1" x14ac:dyDescent="0.2">
      <c r="A286" s="115"/>
      <c r="B286" s="115"/>
      <c r="C286" s="105"/>
      <c r="D286" s="105"/>
      <c r="E286" s="105"/>
      <c r="F286" s="105"/>
      <c r="G286" s="105"/>
      <c r="H286" s="105"/>
      <c r="I286" s="142" t="str">
        <f t="shared" si="24"/>
        <v/>
      </c>
      <c r="J286" s="105" t="str">
        <f t="shared" si="25"/>
        <v/>
      </c>
      <c r="K286" s="143" t="str">
        <f t="shared" si="26"/>
        <v/>
      </c>
      <c r="L286" s="106" t="str">
        <f t="shared" si="27"/>
        <v/>
      </c>
      <c r="M286" s="105" t="str">
        <f t="shared" si="28"/>
        <v/>
      </c>
      <c r="N286" s="144" t="str">
        <f t="shared" si="29"/>
        <v/>
      </c>
      <c r="O286" s="144" t="str">
        <f>IF(NOT(ISERROR(VLOOKUP(C286,Deflatores!G$42:H$64,2,FALSE))),VLOOKUP(C286,Deflatores!G$42:H$64,2,FALSE),IF(OR(ISBLANK(D286),ISBLANK(C286)),"",VLOOKUP(D286,Deflatores!G$4:H$38,2,FALSE)*K286+VLOOKUP(D286,Deflatores!G$4:I$38,3,FALSE)))</f>
        <v/>
      </c>
      <c r="P286" s="115"/>
      <c r="Q286" s="115"/>
      <c r="R286" s="115"/>
      <c r="S286" s="115"/>
      <c r="T286" s="168"/>
      <c r="U286" s="133"/>
    </row>
    <row r="287" spans="1:21" ht="12" customHeight="1" x14ac:dyDescent="0.2">
      <c r="A287" s="115"/>
      <c r="B287" s="115"/>
      <c r="C287" s="105"/>
      <c r="D287" s="105"/>
      <c r="E287" s="105"/>
      <c r="F287" s="105"/>
      <c r="G287" s="105"/>
      <c r="H287" s="105"/>
      <c r="I287" s="142" t="str">
        <f t="shared" si="24"/>
        <v/>
      </c>
      <c r="J287" s="105" t="str">
        <f t="shared" si="25"/>
        <v/>
      </c>
      <c r="K287" s="143" t="str">
        <f t="shared" si="26"/>
        <v/>
      </c>
      <c r="L287" s="106" t="str">
        <f t="shared" si="27"/>
        <v/>
      </c>
      <c r="M287" s="105" t="str">
        <f t="shared" si="28"/>
        <v/>
      </c>
      <c r="N287" s="144" t="str">
        <f t="shared" si="29"/>
        <v/>
      </c>
      <c r="O287" s="144" t="str">
        <f>IF(NOT(ISERROR(VLOOKUP(C287,Deflatores!G$42:H$64,2,FALSE))),VLOOKUP(C287,Deflatores!G$42:H$64,2,FALSE),IF(OR(ISBLANK(D287),ISBLANK(C287)),"",VLOOKUP(D287,Deflatores!G$4:H$38,2,FALSE)*K287+VLOOKUP(D287,Deflatores!G$4:I$38,3,FALSE)))</f>
        <v/>
      </c>
      <c r="P287" s="115"/>
      <c r="Q287" s="115"/>
      <c r="R287" s="115"/>
      <c r="S287" s="115"/>
      <c r="T287" s="168"/>
      <c r="U287" s="133"/>
    </row>
    <row r="288" spans="1:21" ht="12" customHeight="1" x14ac:dyDescent="0.2">
      <c r="A288" s="115"/>
      <c r="B288" s="115"/>
      <c r="C288" s="105"/>
      <c r="D288" s="105"/>
      <c r="E288" s="105"/>
      <c r="F288" s="105"/>
      <c r="G288" s="105"/>
      <c r="H288" s="105"/>
      <c r="I288" s="142" t="str">
        <f t="shared" si="24"/>
        <v/>
      </c>
      <c r="J288" s="105" t="str">
        <f t="shared" si="25"/>
        <v/>
      </c>
      <c r="K288" s="143" t="str">
        <f t="shared" si="26"/>
        <v/>
      </c>
      <c r="L288" s="106" t="str">
        <f t="shared" si="27"/>
        <v/>
      </c>
      <c r="M288" s="105" t="str">
        <f t="shared" si="28"/>
        <v/>
      </c>
      <c r="N288" s="144" t="str">
        <f t="shared" si="29"/>
        <v/>
      </c>
      <c r="O288" s="144" t="str">
        <f>IF(NOT(ISERROR(VLOOKUP(C288,Deflatores!G$42:H$64,2,FALSE))),VLOOKUP(C288,Deflatores!G$42:H$64,2,FALSE),IF(OR(ISBLANK(D288),ISBLANK(C288)),"",VLOOKUP(D288,Deflatores!G$4:H$38,2,FALSE)*K288+VLOOKUP(D288,Deflatores!G$4:I$38,3,FALSE)))</f>
        <v/>
      </c>
      <c r="P288" s="115"/>
      <c r="Q288" s="115"/>
      <c r="R288" s="115"/>
      <c r="S288" s="115"/>
      <c r="T288" s="168"/>
      <c r="U288" s="133"/>
    </row>
    <row r="289" spans="1:21" ht="12" customHeight="1" x14ac:dyDescent="0.2">
      <c r="A289" s="115"/>
      <c r="B289" s="115"/>
      <c r="C289" s="105"/>
      <c r="D289" s="105"/>
      <c r="E289" s="105"/>
      <c r="F289" s="105"/>
      <c r="G289" s="105"/>
      <c r="H289" s="105"/>
      <c r="I289" s="142" t="str">
        <f t="shared" si="24"/>
        <v/>
      </c>
      <c r="J289" s="105" t="str">
        <f t="shared" si="25"/>
        <v/>
      </c>
      <c r="K289" s="143" t="str">
        <f t="shared" si="26"/>
        <v/>
      </c>
      <c r="L289" s="106" t="str">
        <f t="shared" si="27"/>
        <v/>
      </c>
      <c r="M289" s="105" t="str">
        <f t="shared" si="28"/>
        <v/>
      </c>
      <c r="N289" s="144" t="str">
        <f t="shared" si="29"/>
        <v/>
      </c>
      <c r="O289" s="144" t="str">
        <f>IF(NOT(ISERROR(VLOOKUP(C289,Deflatores!G$42:H$64,2,FALSE))),VLOOKUP(C289,Deflatores!G$42:H$64,2,FALSE),IF(OR(ISBLANK(D289),ISBLANK(C289)),"",VLOOKUP(D289,Deflatores!G$4:H$38,2,FALSE)*K289+VLOOKUP(D289,Deflatores!G$4:I$38,3,FALSE)))</f>
        <v/>
      </c>
      <c r="P289" s="115"/>
      <c r="Q289" s="115"/>
      <c r="R289" s="115"/>
      <c r="S289" s="115"/>
      <c r="T289" s="168"/>
      <c r="U289" s="133"/>
    </row>
    <row r="290" spans="1:21" ht="12" customHeight="1" x14ac:dyDescent="0.2">
      <c r="A290" s="115"/>
      <c r="B290" s="115"/>
      <c r="C290" s="105"/>
      <c r="D290" s="105"/>
      <c r="E290" s="105"/>
      <c r="F290" s="105"/>
      <c r="G290" s="105"/>
      <c r="H290" s="105"/>
      <c r="I290" s="142" t="str">
        <f t="shared" si="24"/>
        <v/>
      </c>
      <c r="J290" s="105" t="str">
        <f t="shared" si="25"/>
        <v/>
      </c>
      <c r="K290" s="143" t="str">
        <f t="shared" si="26"/>
        <v/>
      </c>
      <c r="L290" s="106" t="str">
        <f t="shared" si="27"/>
        <v/>
      </c>
      <c r="M290" s="105" t="str">
        <f t="shared" si="28"/>
        <v/>
      </c>
      <c r="N290" s="144" t="str">
        <f t="shared" si="29"/>
        <v/>
      </c>
      <c r="O290" s="144" t="str">
        <f>IF(NOT(ISERROR(VLOOKUP(C290,Deflatores!G$42:H$64,2,FALSE))),VLOOKUP(C290,Deflatores!G$42:H$64,2,FALSE),IF(OR(ISBLANK(D290),ISBLANK(C290)),"",VLOOKUP(D290,Deflatores!G$4:H$38,2,FALSE)*K290+VLOOKUP(D290,Deflatores!G$4:I$38,3,FALSE)))</f>
        <v/>
      </c>
      <c r="P290" s="115"/>
      <c r="Q290" s="115"/>
      <c r="R290" s="115"/>
      <c r="S290" s="115"/>
      <c r="T290" s="168"/>
      <c r="U290" s="133"/>
    </row>
    <row r="291" spans="1:21" ht="12" customHeight="1" x14ac:dyDescent="0.2">
      <c r="A291" s="115"/>
      <c r="B291" s="115"/>
      <c r="C291" s="105"/>
      <c r="D291" s="105"/>
      <c r="E291" s="105"/>
      <c r="F291" s="105"/>
      <c r="G291" s="105"/>
      <c r="H291" s="105"/>
      <c r="I291" s="142" t="str">
        <f t="shared" si="24"/>
        <v/>
      </c>
      <c r="J291" s="105" t="str">
        <f t="shared" si="25"/>
        <v/>
      </c>
      <c r="K291" s="143" t="str">
        <f t="shared" si="26"/>
        <v/>
      </c>
      <c r="L291" s="106" t="str">
        <f t="shared" si="27"/>
        <v/>
      </c>
      <c r="M291" s="105" t="str">
        <f t="shared" si="28"/>
        <v/>
      </c>
      <c r="N291" s="144" t="str">
        <f t="shared" si="29"/>
        <v/>
      </c>
      <c r="O291" s="144" t="str">
        <f>IF(NOT(ISERROR(VLOOKUP(C291,Deflatores!G$42:H$64,2,FALSE))),VLOOKUP(C291,Deflatores!G$42:H$64,2,FALSE),IF(OR(ISBLANK(D291),ISBLANK(C291)),"",VLOOKUP(D291,Deflatores!G$4:H$38,2,FALSE)*K291+VLOOKUP(D291,Deflatores!G$4:I$38,3,FALSE)))</f>
        <v/>
      </c>
      <c r="P291" s="115"/>
      <c r="Q291" s="115"/>
      <c r="R291" s="115"/>
      <c r="S291" s="115"/>
      <c r="T291" s="168"/>
      <c r="U291" s="133"/>
    </row>
    <row r="292" spans="1:21" ht="12" customHeight="1" x14ac:dyDescent="0.2">
      <c r="A292" s="115"/>
      <c r="B292" s="115"/>
      <c r="C292" s="105"/>
      <c r="D292" s="105"/>
      <c r="E292" s="105"/>
      <c r="F292" s="105"/>
      <c r="G292" s="105"/>
      <c r="H292" s="105"/>
      <c r="I292" s="142" t="str">
        <f t="shared" si="24"/>
        <v/>
      </c>
      <c r="J292" s="105" t="str">
        <f t="shared" si="25"/>
        <v/>
      </c>
      <c r="K292" s="143" t="str">
        <f t="shared" si="26"/>
        <v/>
      </c>
      <c r="L292" s="106" t="str">
        <f t="shared" si="27"/>
        <v/>
      </c>
      <c r="M292" s="105" t="str">
        <f t="shared" si="28"/>
        <v/>
      </c>
      <c r="N292" s="144" t="str">
        <f t="shared" si="29"/>
        <v/>
      </c>
      <c r="O292" s="144" t="str">
        <f>IF(NOT(ISERROR(VLOOKUP(C292,Deflatores!G$42:H$64,2,FALSE))),VLOOKUP(C292,Deflatores!G$42:H$64,2,FALSE),IF(OR(ISBLANK(D292),ISBLANK(C292)),"",VLOOKUP(D292,Deflatores!G$4:H$38,2,FALSE)*K292+VLOOKUP(D292,Deflatores!G$4:I$38,3,FALSE)))</f>
        <v/>
      </c>
      <c r="P292" s="115"/>
      <c r="Q292" s="115"/>
      <c r="R292" s="115"/>
      <c r="S292" s="115"/>
      <c r="T292" s="168"/>
      <c r="U292" s="133"/>
    </row>
    <row r="293" spans="1:21" ht="12" customHeight="1" x14ac:dyDescent="0.2">
      <c r="A293" s="115"/>
      <c r="B293" s="115"/>
      <c r="C293" s="105"/>
      <c r="D293" s="105"/>
      <c r="E293" s="105"/>
      <c r="F293" s="105"/>
      <c r="G293" s="105"/>
      <c r="H293" s="105"/>
      <c r="I293" s="142" t="str">
        <f t="shared" si="24"/>
        <v/>
      </c>
      <c r="J293" s="105" t="str">
        <f t="shared" si="25"/>
        <v/>
      </c>
      <c r="K293" s="143" t="str">
        <f t="shared" si="26"/>
        <v/>
      </c>
      <c r="L293" s="106" t="str">
        <f t="shared" si="27"/>
        <v/>
      </c>
      <c r="M293" s="105" t="str">
        <f t="shared" si="28"/>
        <v/>
      </c>
      <c r="N293" s="144" t="str">
        <f t="shared" si="29"/>
        <v/>
      </c>
      <c r="O293" s="144" t="str">
        <f>IF(NOT(ISERROR(VLOOKUP(C293,Deflatores!G$42:H$64,2,FALSE))),VLOOKUP(C293,Deflatores!G$42:H$64,2,FALSE),IF(OR(ISBLANK(D293),ISBLANK(C293)),"",VLOOKUP(D293,Deflatores!G$4:H$38,2,FALSE)*K293+VLOOKUP(D293,Deflatores!G$4:I$38,3,FALSE)))</f>
        <v/>
      </c>
      <c r="P293" s="115"/>
      <c r="Q293" s="115"/>
      <c r="R293" s="115"/>
      <c r="S293" s="115"/>
      <c r="T293" s="168"/>
      <c r="U293" s="133"/>
    </row>
    <row r="294" spans="1:21" ht="12" customHeight="1" x14ac:dyDescent="0.2">
      <c r="A294" s="115"/>
      <c r="B294" s="115"/>
      <c r="C294" s="105"/>
      <c r="D294" s="105"/>
      <c r="E294" s="105"/>
      <c r="F294" s="105"/>
      <c r="G294" s="105"/>
      <c r="H294" s="105"/>
      <c r="I294" s="142" t="str">
        <f t="shared" si="24"/>
        <v/>
      </c>
      <c r="J294" s="105" t="str">
        <f t="shared" si="25"/>
        <v/>
      </c>
      <c r="K294" s="143" t="str">
        <f t="shared" si="26"/>
        <v/>
      </c>
      <c r="L294" s="106" t="str">
        <f t="shared" si="27"/>
        <v/>
      </c>
      <c r="M294" s="105" t="str">
        <f t="shared" si="28"/>
        <v/>
      </c>
      <c r="N294" s="144" t="str">
        <f t="shared" si="29"/>
        <v/>
      </c>
      <c r="O294" s="144" t="str">
        <f>IF(NOT(ISERROR(VLOOKUP(C294,Deflatores!G$42:H$64,2,FALSE))),VLOOKUP(C294,Deflatores!G$42:H$64,2,FALSE),IF(OR(ISBLANK(D294),ISBLANK(C294)),"",VLOOKUP(D294,Deflatores!G$4:H$38,2,FALSE)*K294+VLOOKUP(D294,Deflatores!G$4:I$38,3,FALSE)))</f>
        <v/>
      </c>
      <c r="P294" s="115"/>
      <c r="Q294" s="115"/>
      <c r="R294" s="115"/>
      <c r="S294" s="115"/>
      <c r="T294" s="168"/>
      <c r="U294" s="133"/>
    </row>
    <row r="295" spans="1:21" ht="12" customHeight="1" x14ac:dyDescent="0.2">
      <c r="A295" s="115"/>
      <c r="B295" s="115"/>
      <c r="C295" s="105"/>
      <c r="D295" s="105"/>
      <c r="E295" s="105"/>
      <c r="F295" s="105"/>
      <c r="G295" s="105"/>
      <c r="H295" s="105"/>
      <c r="I295" s="142" t="str">
        <f t="shared" si="24"/>
        <v/>
      </c>
      <c r="J295" s="105" t="str">
        <f t="shared" si="25"/>
        <v/>
      </c>
      <c r="K295" s="143" t="str">
        <f t="shared" si="26"/>
        <v/>
      </c>
      <c r="L295" s="106" t="str">
        <f t="shared" si="27"/>
        <v/>
      </c>
      <c r="M295" s="105" t="str">
        <f t="shared" si="28"/>
        <v/>
      </c>
      <c r="N295" s="144" t="str">
        <f t="shared" si="29"/>
        <v/>
      </c>
      <c r="O295" s="144" t="str">
        <f>IF(NOT(ISERROR(VLOOKUP(C295,Deflatores!G$42:H$64,2,FALSE))),VLOOKUP(C295,Deflatores!G$42:H$64,2,FALSE),IF(OR(ISBLANK(D295),ISBLANK(C295)),"",VLOOKUP(D295,Deflatores!G$4:H$38,2,FALSE)*K295+VLOOKUP(D295,Deflatores!G$4:I$38,3,FALSE)))</f>
        <v/>
      </c>
      <c r="P295" s="115"/>
      <c r="Q295" s="115"/>
      <c r="R295" s="115"/>
      <c r="S295" s="115"/>
      <c r="T295" s="168"/>
      <c r="U295" s="133"/>
    </row>
    <row r="296" spans="1:21" ht="12" customHeight="1" x14ac:dyDescent="0.2">
      <c r="A296" s="115"/>
      <c r="B296" s="115"/>
      <c r="C296" s="105"/>
      <c r="D296" s="105"/>
      <c r="E296" s="105"/>
      <c r="F296" s="105"/>
      <c r="G296" s="105"/>
      <c r="H296" s="105"/>
      <c r="I296" s="142" t="str">
        <f t="shared" si="24"/>
        <v/>
      </c>
      <c r="J296" s="105" t="str">
        <f t="shared" si="25"/>
        <v/>
      </c>
      <c r="K296" s="143" t="str">
        <f t="shared" si="26"/>
        <v/>
      </c>
      <c r="L296" s="106" t="str">
        <f t="shared" si="27"/>
        <v/>
      </c>
      <c r="M296" s="105" t="str">
        <f t="shared" si="28"/>
        <v/>
      </c>
      <c r="N296" s="144" t="str">
        <f t="shared" si="29"/>
        <v/>
      </c>
      <c r="O296" s="144" t="str">
        <f>IF(NOT(ISERROR(VLOOKUP(C296,Deflatores!G$42:H$64,2,FALSE))),VLOOKUP(C296,Deflatores!G$42:H$64,2,FALSE),IF(OR(ISBLANK(D296),ISBLANK(C296)),"",VLOOKUP(D296,Deflatores!G$4:H$38,2,FALSE)*K296+VLOOKUP(D296,Deflatores!G$4:I$38,3,FALSE)))</f>
        <v/>
      </c>
      <c r="P296" s="115"/>
      <c r="Q296" s="115"/>
      <c r="R296" s="115"/>
      <c r="S296" s="115"/>
      <c r="T296" s="168"/>
      <c r="U296" s="133"/>
    </row>
    <row r="297" spans="1:21" ht="12" customHeight="1" x14ac:dyDescent="0.2">
      <c r="A297" s="115"/>
      <c r="B297" s="115"/>
      <c r="C297" s="105"/>
      <c r="D297" s="105"/>
      <c r="E297" s="105"/>
      <c r="F297" s="105"/>
      <c r="G297" s="105"/>
      <c r="H297" s="105"/>
      <c r="I297" s="142" t="str">
        <f t="shared" si="24"/>
        <v/>
      </c>
      <c r="J297" s="105" t="str">
        <f t="shared" si="25"/>
        <v/>
      </c>
      <c r="K297" s="143" t="str">
        <f t="shared" si="26"/>
        <v/>
      </c>
      <c r="L297" s="106" t="str">
        <f t="shared" si="27"/>
        <v/>
      </c>
      <c r="M297" s="105" t="str">
        <f t="shared" si="28"/>
        <v/>
      </c>
      <c r="N297" s="144" t="str">
        <f t="shared" si="29"/>
        <v/>
      </c>
      <c r="O297" s="144" t="str">
        <f>IF(NOT(ISERROR(VLOOKUP(C297,Deflatores!G$42:H$64,2,FALSE))),VLOOKUP(C297,Deflatores!G$42:H$64,2,FALSE),IF(OR(ISBLANK(D297),ISBLANK(C297)),"",VLOOKUP(D297,Deflatores!G$4:H$38,2,FALSE)*K297+VLOOKUP(D297,Deflatores!G$4:I$38,3,FALSE)))</f>
        <v/>
      </c>
      <c r="P297" s="115"/>
      <c r="Q297" s="115"/>
      <c r="R297" s="115"/>
      <c r="S297" s="115"/>
      <c r="T297" s="168"/>
      <c r="U297" s="133"/>
    </row>
    <row r="298" spans="1:21" ht="12" customHeight="1" x14ac:dyDescent="0.2">
      <c r="A298" s="115"/>
      <c r="B298" s="115"/>
      <c r="C298" s="105"/>
      <c r="D298" s="105"/>
      <c r="E298" s="105"/>
      <c r="F298" s="105"/>
      <c r="G298" s="105"/>
      <c r="H298" s="105"/>
      <c r="I298" s="142" t="str">
        <f t="shared" si="24"/>
        <v/>
      </c>
      <c r="J298" s="105" t="str">
        <f t="shared" si="25"/>
        <v/>
      </c>
      <c r="K298" s="143" t="str">
        <f t="shared" si="26"/>
        <v/>
      </c>
      <c r="L298" s="106" t="str">
        <f t="shared" si="27"/>
        <v/>
      </c>
      <c r="M298" s="105" t="str">
        <f t="shared" si="28"/>
        <v/>
      </c>
      <c r="N298" s="144" t="str">
        <f t="shared" si="29"/>
        <v/>
      </c>
      <c r="O298" s="144" t="str">
        <f>IF(NOT(ISERROR(VLOOKUP(C298,Deflatores!G$42:H$64,2,FALSE))),VLOOKUP(C298,Deflatores!G$42:H$64,2,FALSE),IF(OR(ISBLANK(D298),ISBLANK(C298)),"",VLOOKUP(D298,Deflatores!G$4:H$38,2,FALSE)*K298+VLOOKUP(D298,Deflatores!G$4:I$38,3,FALSE)))</f>
        <v/>
      </c>
      <c r="P298" s="115"/>
      <c r="Q298" s="115"/>
      <c r="R298" s="115"/>
      <c r="S298" s="115"/>
      <c r="T298" s="168"/>
      <c r="U298" s="133"/>
    </row>
    <row r="299" spans="1:21" ht="12" customHeight="1" x14ac:dyDescent="0.2">
      <c r="A299" s="115"/>
      <c r="B299" s="115"/>
      <c r="C299" s="105"/>
      <c r="D299" s="105"/>
      <c r="E299" s="105"/>
      <c r="F299" s="105"/>
      <c r="G299" s="105"/>
      <c r="H299" s="105"/>
      <c r="I299" s="142" t="str">
        <f t="shared" si="24"/>
        <v/>
      </c>
      <c r="J299" s="105" t="str">
        <f t="shared" si="25"/>
        <v/>
      </c>
      <c r="K299" s="143" t="str">
        <f t="shared" si="26"/>
        <v/>
      </c>
      <c r="L299" s="106" t="str">
        <f t="shared" si="27"/>
        <v/>
      </c>
      <c r="M299" s="105" t="str">
        <f t="shared" si="28"/>
        <v/>
      </c>
      <c r="N299" s="144" t="str">
        <f t="shared" si="29"/>
        <v/>
      </c>
      <c r="O299" s="144" t="str">
        <f>IF(NOT(ISERROR(VLOOKUP(C299,Deflatores!G$42:H$64,2,FALSE))),VLOOKUP(C299,Deflatores!G$42:H$64,2,FALSE),IF(OR(ISBLANK(D299),ISBLANK(C299)),"",VLOOKUP(D299,Deflatores!G$4:H$38,2,FALSE)*K299+VLOOKUP(D299,Deflatores!G$4:I$38,3,FALSE)))</f>
        <v/>
      </c>
      <c r="P299" s="115"/>
      <c r="Q299" s="115"/>
      <c r="R299" s="115"/>
      <c r="S299" s="115"/>
      <c r="T299" s="168"/>
      <c r="U299" s="133"/>
    </row>
    <row r="300" spans="1:21" ht="12" customHeight="1" x14ac:dyDescent="0.2">
      <c r="A300" s="115"/>
      <c r="B300" s="115"/>
      <c r="C300" s="105"/>
      <c r="D300" s="105"/>
      <c r="E300" s="105"/>
      <c r="F300" s="105"/>
      <c r="G300" s="105"/>
      <c r="H300" s="105"/>
      <c r="I300" s="142" t="str">
        <f t="shared" si="24"/>
        <v/>
      </c>
      <c r="J300" s="105" t="str">
        <f t="shared" si="25"/>
        <v/>
      </c>
      <c r="K300" s="143" t="str">
        <f t="shared" si="26"/>
        <v/>
      </c>
      <c r="L300" s="106" t="str">
        <f t="shared" si="27"/>
        <v/>
      </c>
      <c r="M300" s="105" t="str">
        <f t="shared" si="28"/>
        <v/>
      </c>
      <c r="N300" s="144" t="str">
        <f t="shared" si="29"/>
        <v/>
      </c>
      <c r="O300" s="144" t="str">
        <f>IF(NOT(ISERROR(VLOOKUP(C300,Deflatores!G$42:H$64,2,FALSE))),VLOOKUP(C300,Deflatores!G$42:H$64,2,FALSE),IF(OR(ISBLANK(D300),ISBLANK(C300)),"",VLOOKUP(D300,Deflatores!G$4:H$38,2,FALSE)*K300+VLOOKUP(D300,Deflatores!G$4:I$38,3,FALSE)))</f>
        <v/>
      </c>
      <c r="P300" s="115"/>
      <c r="Q300" s="115"/>
      <c r="R300" s="115"/>
      <c r="S300" s="115"/>
      <c r="T300" s="168"/>
      <c r="U300" s="133"/>
    </row>
    <row r="301" spans="1:21" ht="12" customHeight="1" x14ac:dyDescent="0.2">
      <c r="A301" s="115"/>
      <c r="B301" s="115"/>
      <c r="C301" s="105"/>
      <c r="D301" s="105"/>
      <c r="E301" s="105"/>
      <c r="F301" s="105"/>
      <c r="G301" s="105"/>
      <c r="H301" s="105"/>
      <c r="I301" s="142" t="str">
        <f t="shared" si="24"/>
        <v/>
      </c>
      <c r="J301" s="105" t="str">
        <f t="shared" si="25"/>
        <v/>
      </c>
      <c r="K301" s="143" t="str">
        <f t="shared" si="26"/>
        <v/>
      </c>
      <c r="L301" s="106" t="str">
        <f t="shared" si="27"/>
        <v/>
      </c>
      <c r="M301" s="105" t="str">
        <f t="shared" si="28"/>
        <v/>
      </c>
      <c r="N301" s="144" t="str">
        <f t="shared" si="29"/>
        <v/>
      </c>
      <c r="O301" s="144" t="str">
        <f>IF(NOT(ISERROR(VLOOKUP(C301,Deflatores!G$42:H$64,2,FALSE))),VLOOKUP(C301,Deflatores!G$42:H$64,2,FALSE),IF(OR(ISBLANK(D301),ISBLANK(C301)),"",VLOOKUP(D301,Deflatores!G$4:H$38,2,FALSE)*K301+VLOOKUP(D301,Deflatores!G$4:I$38,3,FALSE)))</f>
        <v/>
      </c>
      <c r="P301" s="115"/>
      <c r="Q301" s="115"/>
      <c r="R301" s="115"/>
      <c r="S301" s="115"/>
      <c r="T301" s="168"/>
      <c r="U301" s="133"/>
    </row>
    <row r="302" spans="1:21" ht="12" customHeight="1" x14ac:dyDescent="0.2">
      <c r="A302" s="115"/>
      <c r="B302" s="115"/>
      <c r="C302" s="105"/>
      <c r="D302" s="105"/>
      <c r="E302" s="105"/>
      <c r="F302" s="105"/>
      <c r="G302" s="105"/>
      <c r="H302" s="105"/>
      <c r="I302" s="142" t="str">
        <f t="shared" si="24"/>
        <v/>
      </c>
      <c r="J302" s="105" t="str">
        <f t="shared" si="25"/>
        <v/>
      </c>
      <c r="K302" s="143" t="str">
        <f t="shared" si="26"/>
        <v/>
      </c>
      <c r="L302" s="106" t="str">
        <f t="shared" si="27"/>
        <v/>
      </c>
      <c r="M302" s="105" t="str">
        <f t="shared" si="28"/>
        <v/>
      </c>
      <c r="N302" s="144" t="str">
        <f t="shared" si="29"/>
        <v/>
      </c>
      <c r="O302" s="144" t="str">
        <f>IF(NOT(ISERROR(VLOOKUP(C302,Deflatores!G$42:H$64,2,FALSE))),VLOOKUP(C302,Deflatores!G$42:H$64,2,FALSE),IF(OR(ISBLANK(D302),ISBLANK(C302)),"",VLOOKUP(D302,Deflatores!G$4:H$38,2,FALSE)*K302+VLOOKUP(D302,Deflatores!G$4:I$38,3,FALSE)))</f>
        <v/>
      </c>
      <c r="P302" s="115"/>
      <c r="Q302" s="115"/>
      <c r="R302" s="115"/>
      <c r="S302" s="115"/>
      <c r="T302" s="168"/>
      <c r="U302" s="133"/>
    </row>
    <row r="303" spans="1:21" ht="12" customHeight="1" x14ac:dyDescent="0.2">
      <c r="A303" s="115"/>
      <c r="B303" s="115"/>
      <c r="C303" s="105"/>
      <c r="D303" s="105"/>
      <c r="E303" s="105"/>
      <c r="F303" s="105"/>
      <c r="G303" s="105"/>
      <c r="H303" s="105"/>
      <c r="I303" s="142" t="str">
        <f t="shared" si="24"/>
        <v/>
      </c>
      <c r="J303" s="105" t="str">
        <f t="shared" si="25"/>
        <v/>
      </c>
      <c r="K303" s="143" t="str">
        <f t="shared" si="26"/>
        <v/>
      </c>
      <c r="L303" s="106" t="str">
        <f t="shared" si="27"/>
        <v/>
      </c>
      <c r="M303" s="105" t="str">
        <f t="shared" si="28"/>
        <v/>
      </c>
      <c r="N303" s="144" t="str">
        <f t="shared" si="29"/>
        <v/>
      </c>
      <c r="O303" s="144" t="str">
        <f>IF(NOT(ISERROR(VLOOKUP(C303,Deflatores!G$42:H$64,2,FALSE))),VLOOKUP(C303,Deflatores!G$42:H$64,2,FALSE),IF(OR(ISBLANK(D303),ISBLANK(C303)),"",VLOOKUP(D303,Deflatores!G$4:H$38,2,FALSE)*K303+VLOOKUP(D303,Deflatores!G$4:I$38,3,FALSE)))</f>
        <v/>
      </c>
      <c r="P303" s="115"/>
      <c r="Q303" s="115"/>
      <c r="R303" s="115"/>
      <c r="S303" s="115"/>
      <c r="T303" s="168"/>
      <c r="U303" s="133"/>
    </row>
    <row r="304" spans="1:21" ht="12" customHeight="1" x14ac:dyDescent="0.2">
      <c r="A304" s="115"/>
      <c r="B304" s="115"/>
      <c r="C304" s="105"/>
      <c r="D304" s="105"/>
      <c r="E304" s="105"/>
      <c r="F304" s="105"/>
      <c r="G304" s="105"/>
      <c r="H304" s="105"/>
      <c r="I304" s="142" t="str">
        <f t="shared" si="24"/>
        <v/>
      </c>
      <c r="J304" s="105" t="str">
        <f t="shared" si="25"/>
        <v/>
      </c>
      <c r="K304" s="143" t="str">
        <f t="shared" si="26"/>
        <v/>
      </c>
      <c r="L304" s="106" t="str">
        <f t="shared" si="27"/>
        <v/>
      </c>
      <c r="M304" s="105" t="str">
        <f t="shared" si="28"/>
        <v/>
      </c>
      <c r="N304" s="144" t="str">
        <f t="shared" si="29"/>
        <v/>
      </c>
      <c r="O304" s="144" t="str">
        <f>IF(NOT(ISERROR(VLOOKUP(C304,Deflatores!G$42:H$64,2,FALSE))),VLOOKUP(C304,Deflatores!G$42:H$64,2,FALSE),IF(OR(ISBLANK(D304),ISBLANK(C304)),"",VLOOKUP(D304,Deflatores!G$4:H$38,2,FALSE)*K304+VLOOKUP(D304,Deflatores!G$4:I$38,3,FALSE)))</f>
        <v/>
      </c>
      <c r="P304" s="115"/>
      <c r="Q304" s="115"/>
      <c r="R304" s="115"/>
      <c r="S304" s="115"/>
      <c r="T304" s="168"/>
      <c r="U304" s="133"/>
    </row>
    <row r="305" spans="1:21" ht="12" customHeight="1" x14ac:dyDescent="0.2">
      <c r="A305" s="115"/>
      <c r="B305" s="115"/>
      <c r="C305" s="105"/>
      <c r="D305" s="105"/>
      <c r="E305" s="105"/>
      <c r="F305" s="105"/>
      <c r="G305" s="105"/>
      <c r="H305" s="105"/>
      <c r="I305" s="142" t="str">
        <f t="shared" si="24"/>
        <v/>
      </c>
      <c r="J305" s="105" t="str">
        <f t="shared" si="25"/>
        <v/>
      </c>
      <c r="K305" s="143" t="str">
        <f t="shared" si="26"/>
        <v/>
      </c>
      <c r="L305" s="106" t="str">
        <f t="shared" si="27"/>
        <v/>
      </c>
      <c r="M305" s="105" t="str">
        <f t="shared" si="28"/>
        <v/>
      </c>
      <c r="N305" s="144" t="str">
        <f t="shared" si="29"/>
        <v/>
      </c>
      <c r="O305" s="144" t="str">
        <f>IF(NOT(ISERROR(VLOOKUP(C305,Deflatores!G$42:H$64,2,FALSE))),VLOOKUP(C305,Deflatores!G$42:H$64,2,FALSE),IF(OR(ISBLANK(D305),ISBLANK(C305)),"",VLOOKUP(D305,Deflatores!G$4:H$38,2,FALSE)*K305+VLOOKUP(D305,Deflatores!G$4:I$38,3,FALSE)))</f>
        <v/>
      </c>
      <c r="P305" s="115"/>
      <c r="Q305" s="115"/>
      <c r="R305" s="115"/>
      <c r="S305" s="115"/>
      <c r="T305" s="168"/>
      <c r="U305" s="133"/>
    </row>
    <row r="306" spans="1:21" ht="12" customHeight="1" x14ac:dyDescent="0.2">
      <c r="A306" s="115"/>
      <c r="B306" s="115"/>
      <c r="C306" s="105"/>
      <c r="D306" s="105"/>
      <c r="E306" s="105"/>
      <c r="F306" s="105"/>
      <c r="G306" s="105"/>
      <c r="H306" s="105"/>
      <c r="I306" s="142" t="str">
        <f t="shared" si="24"/>
        <v/>
      </c>
      <c r="J306" s="105" t="str">
        <f t="shared" si="25"/>
        <v/>
      </c>
      <c r="K306" s="143" t="str">
        <f t="shared" si="26"/>
        <v/>
      </c>
      <c r="L306" s="106" t="str">
        <f t="shared" si="27"/>
        <v/>
      </c>
      <c r="M306" s="105" t="str">
        <f t="shared" si="28"/>
        <v/>
      </c>
      <c r="N306" s="144" t="str">
        <f t="shared" si="29"/>
        <v/>
      </c>
      <c r="O306" s="144" t="str">
        <f>IF(NOT(ISERROR(VLOOKUP(C306,Deflatores!G$42:H$64,2,FALSE))),VLOOKUP(C306,Deflatores!G$42:H$64,2,FALSE),IF(OR(ISBLANK(D306),ISBLANK(C306)),"",VLOOKUP(D306,Deflatores!G$4:H$38,2,FALSE)*K306+VLOOKUP(D306,Deflatores!G$4:I$38,3,FALSE)))</f>
        <v/>
      </c>
      <c r="P306" s="115"/>
      <c r="Q306" s="115"/>
      <c r="R306" s="115"/>
      <c r="S306" s="115"/>
      <c r="T306" s="168"/>
      <c r="U306" s="133"/>
    </row>
    <row r="307" spans="1:21" ht="12" customHeight="1" x14ac:dyDescent="0.2">
      <c r="A307" s="115"/>
      <c r="B307" s="115"/>
      <c r="C307" s="105"/>
      <c r="D307" s="105"/>
      <c r="E307" s="105"/>
      <c r="F307" s="105"/>
      <c r="G307" s="105"/>
      <c r="H307" s="105"/>
      <c r="I307" s="142" t="str">
        <f t="shared" si="24"/>
        <v/>
      </c>
      <c r="J307" s="105" t="str">
        <f t="shared" si="25"/>
        <v/>
      </c>
      <c r="K307" s="143" t="str">
        <f t="shared" si="26"/>
        <v/>
      </c>
      <c r="L307" s="106" t="str">
        <f t="shared" si="27"/>
        <v/>
      </c>
      <c r="M307" s="105" t="str">
        <f t="shared" si="28"/>
        <v/>
      </c>
      <c r="N307" s="144" t="str">
        <f t="shared" si="29"/>
        <v/>
      </c>
      <c r="O307" s="144" t="str">
        <f>IF(NOT(ISERROR(VLOOKUP(C307,Deflatores!G$42:H$64,2,FALSE))),VLOOKUP(C307,Deflatores!G$42:H$64,2,FALSE),IF(OR(ISBLANK(D307),ISBLANK(C307)),"",VLOOKUP(D307,Deflatores!G$4:H$38,2,FALSE)*K307+VLOOKUP(D307,Deflatores!G$4:I$38,3,FALSE)))</f>
        <v/>
      </c>
      <c r="P307" s="115"/>
      <c r="Q307" s="115"/>
      <c r="R307" s="115"/>
      <c r="S307" s="115"/>
      <c r="T307" s="168"/>
      <c r="U307" s="133"/>
    </row>
    <row r="308" spans="1:21" ht="12" customHeight="1" x14ac:dyDescent="0.2">
      <c r="A308" s="115"/>
      <c r="B308" s="115"/>
      <c r="C308" s="105"/>
      <c r="D308" s="105"/>
      <c r="E308" s="105"/>
      <c r="F308" s="105"/>
      <c r="G308" s="105"/>
      <c r="H308" s="105"/>
      <c r="I308" s="142" t="str">
        <f t="shared" si="24"/>
        <v/>
      </c>
      <c r="J308" s="105" t="str">
        <f t="shared" si="25"/>
        <v/>
      </c>
      <c r="K308" s="143" t="str">
        <f t="shared" si="26"/>
        <v/>
      </c>
      <c r="L308" s="106" t="str">
        <f t="shared" si="27"/>
        <v/>
      </c>
      <c r="M308" s="105" t="str">
        <f t="shared" si="28"/>
        <v/>
      </c>
      <c r="N308" s="144" t="str">
        <f t="shared" si="29"/>
        <v/>
      </c>
      <c r="O308" s="144" t="str">
        <f>IF(NOT(ISERROR(VLOOKUP(C308,Deflatores!G$42:H$64,2,FALSE))),VLOOKUP(C308,Deflatores!G$42:H$64,2,FALSE),IF(OR(ISBLANK(D308),ISBLANK(C308)),"",VLOOKUP(D308,Deflatores!G$4:H$38,2,FALSE)*K308+VLOOKUP(D308,Deflatores!G$4:I$38,3,FALSE)))</f>
        <v/>
      </c>
      <c r="P308" s="115"/>
      <c r="Q308" s="115"/>
      <c r="R308" s="115"/>
      <c r="S308" s="115"/>
      <c r="T308" s="168"/>
      <c r="U308" s="133"/>
    </row>
    <row r="309" spans="1:21" ht="12" customHeight="1" x14ac:dyDescent="0.2">
      <c r="A309" s="115"/>
      <c r="B309" s="115"/>
      <c r="C309" s="105"/>
      <c r="D309" s="105"/>
      <c r="E309" s="105"/>
      <c r="F309" s="105"/>
      <c r="G309" s="105"/>
      <c r="H309" s="105"/>
      <c r="I309" s="142" t="str">
        <f t="shared" si="24"/>
        <v/>
      </c>
      <c r="J309" s="105" t="str">
        <f t="shared" si="25"/>
        <v/>
      </c>
      <c r="K309" s="143" t="str">
        <f t="shared" si="26"/>
        <v/>
      </c>
      <c r="L309" s="106" t="str">
        <f t="shared" si="27"/>
        <v/>
      </c>
      <c r="M309" s="105" t="str">
        <f t="shared" si="28"/>
        <v/>
      </c>
      <c r="N309" s="144" t="str">
        <f t="shared" si="29"/>
        <v/>
      </c>
      <c r="O309" s="144" t="str">
        <f>IF(NOT(ISERROR(VLOOKUP(C309,Deflatores!G$42:H$64,2,FALSE))),VLOOKUP(C309,Deflatores!G$42:H$64,2,FALSE),IF(OR(ISBLANK(D309),ISBLANK(C309)),"",VLOOKUP(D309,Deflatores!G$4:H$38,2,FALSE)*K309+VLOOKUP(D309,Deflatores!G$4:I$38,3,FALSE)))</f>
        <v/>
      </c>
      <c r="P309" s="115"/>
      <c r="Q309" s="115"/>
      <c r="R309" s="115"/>
      <c r="S309" s="115"/>
      <c r="T309" s="168"/>
      <c r="U309" s="133"/>
    </row>
    <row r="310" spans="1:21" ht="12" customHeight="1" x14ac:dyDescent="0.2">
      <c r="A310" s="115"/>
      <c r="B310" s="115"/>
      <c r="C310" s="105"/>
      <c r="D310" s="105"/>
      <c r="E310" s="105"/>
      <c r="F310" s="105"/>
      <c r="G310" s="105"/>
      <c r="H310" s="105"/>
      <c r="I310" s="142" t="str">
        <f t="shared" si="24"/>
        <v/>
      </c>
      <c r="J310" s="105" t="str">
        <f t="shared" si="25"/>
        <v/>
      </c>
      <c r="K310" s="143" t="str">
        <f t="shared" si="26"/>
        <v/>
      </c>
      <c r="L310" s="106" t="str">
        <f t="shared" si="27"/>
        <v/>
      </c>
      <c r="M310" s="105" t="str">
        <f t="shared" si="28"/>
        <v/>
      </c>
      <c r="N310" s="144" t="str">
        <f t="shared" si="29"/>
        <v/>
      </c>
      <c r="O310" s="144" t="str">
        <f>IF(NOT(ISERROR(VLOOKUP(C310,Deflatores!G$42:H$64,2,FALSE))),VLOOKUP(C310,Deflatores!G$42:H$64,2,FALSE),IF(OR(ISBLANK(D310),ISBLANK(C310)),"",VLOOKUP(D310,Deflatores!G$4:H$38,2,FALSE)*K310+VLOOKUP(D310,Deflatores!G$4:I$38,3,FALSE)))</f>
        <v/>
      </c>
      <c r="P310" s="115"/>
      <c r="Q310" s="115"/>
      <c r="R310" s="115"/>
      <c r="S310" s="115"/>
      <c r="T310" s="168"/>
      <c r="U310" s="133"/>
    </row>
    <row r="311" spans="1:21" ht="12" customHeight="1" x14ac:dyDescent="0.2">
      <c r="A311" s="115"/>
      <c r="B311" s="115"/>
      <c r="C311" s="105"/>
      <c r="D311" s="105"/>
      <c r="E311" s="105"/>
      <c r="F311" s="105"/>
      <c r="G311" s="105"/>
      <c r="H311" s="105"/>
      <c r="I311" s="142" t="str">
        <f t="shared" si="24"/>
        <v/>
      </c>
      <c r="J311" s="105" t="str">
        <f t="shared" si="25"/>
        <v/>
      </c>
      <c r="K311" s="143" t="str">
        <f t="shared" si="26"/>
        <v/>
      </c>
      <c r="L311" s="106" t="str">
        <f t="shared" si="27"/>
        <v/>
      </c>
      <c r="M311" s="105" t="str">
        <f t="shared" si="28"/>
        <v/>
      </c>
      <c r="N311" s="144" t="str">
        <f t="shared" si="29"/>
        <v/>
      </c>
      <c r="O311" s="144" t="str">
        <f>IF(NOT(ISERROR(VLOOKUP(C311,Deflatores!G$42:H$64,2,FALSE))),VLOOKUP(C311,Deflatores!G$42:H$64,2,FALSE),IF(OR(ISBLANK(D311),ISBLANK(C311)),"",VLOOKUP(D311,Deflatores!G$4:H$38,2,FALSE)*K311+VLOOKUP(D311,Deflatores!G$4:I$38,3,FALSE)))</f>
        <v/>
      </c>
      <c r="P311" s="115"/>
      <c r="Q311" s="115"/>
      <c r="R311" s="115"/>
      <c r="S311" s="115"/>
      <c r="T311" s="168"/>
      <c r="U311" s="133"/>
    </row>
    <row r="312" spans="1:21" ht="12" customHeight="1" x14ac:dyDescent="0.2">
      <c r="A312" s="115"/>
      <c r="B312" s="115"/>
      <c r="C312" s="105"/>
      <c r="D312" s="105"/>
      <c r="E312" s="105"/>
      <c r="F312" s="105"/>
      <c r="G312" s="105"/>
      <c r="H312" s="105"/>
      <c r="I312" s="142" t="str">
        <f t="shared" si="24"/>
        <v/>
      </c>
      <c r="J312" s="105" t="str">
        <f t="shared" si="25"/>
        <v/>
      </c>
      <c r="K312" s="143" t="str">
        <f t="shared" si="26"/>
        <v/>
      </c>
      <c r="L312" s="106" t="str">
        <f t="shared" si="27"/>
        <v/>
      </c>
      <c r="M312" s="105" t="str">
        <f t="shared" si="28"/>
        <v/>
      </c>
      <c r="N312" s="144" t="str">
        <f t="shared" si="29"/>
        <v/>
      </c>
      <c r="O312" s="144" t="str">
        <f>IF(NOT(ISERROR(VLOOKUP(C312,Deflatores!G$42:H$64,2,FALSE))),VLOOKUP(C312,Deflatores!G$42:H$64,2,FALSE),IF(OR(ISBLANK(D312),ISBLANK(C312)),"",VLOOKUP(D312,Deflatores!G$4:H$38,2,FALSE)*K312+VLOOKUP(D312,Deflatores!G$4:I$38,3,FALSE)))</f>
        <v/>
      </c>
      <c r="P312" s="115"/>
      <c r="Q312" s="115"/>
      <c r="R312" s="115"/>
      <c r="S312" s="115"/>
      <c r="T312" s="168"/>
      <c r="U312" s="133"/>
    </row>
    <row r="313" spans="1:21" ht="12" customHeight="1" x14ac:dyDescent="0.2">
      <c r="A313" s="115"/>
      <c r="B313" s="115"/>
      <c r="C313" s="105"/>
      <c r="D313" s="105"/>
      <c r="E313" s="105"/>
      <c r="F313" s="105"/>
      <c r="G313" s="105"/>
      <c r="H313" s="105"/>
      <c r="I313" s="142" t="str">
        <f t="shared" si="24"/>
        <v/>
      </c>
      <c r="J313" s="105" t="str">
        <f t="shared" si="25"/>
        <v/>
      </c>
      <c r="K313" s="143" t="str">
        <f t="shared" si="26"/>
        <v/>
      </c>
      <c r="L313" s="106" t="str">
        <f t="shared" si="27"/>
        <v/>
      </c>
      <c r="M313" s="105" t="str">
        <f t="shared" si="28"/>
        <v/>
      </c>
      <c r="N313" s="144" t="str">
        <f t="shared" si="29"/>
        <v/>
      </c>
      <c r="O313" s="144" t="str">
        <f>IF(NOT(ISERROR(VLOOKUP(C313,Deflatores!G$42:H$64,2,FALSE))),VLOOKUP(C313,Deflatores!G$42:H$64,2,FALSE),IF(OR(ISBLANK(D313),ISBLANK(C313)),"",VLOOKUP(D313,Deflatores!G$4:H$38,2,FALSE)*K313+VLOOKUP(D313,Deflatores!G$4:I$38,3,FALSE)))</f>
        <v/>
      </c>
      <c r="P313" s="115"/>
      <c r="Q313" s="115"/>
      <c r="R313" s="115"/>
      <c r="S313" s="115"/>
      <c r="T313" s="168"/>
      <c r="U313" s="133"/>
    </row>
    <row r="314" spans="1:21" ht="12" customHeight="1" x14ac:dyDescent="0.2">
      <c r="A314" s="115"/>
      <c r="B314" s="115"/>
      <c r="C314" s="105"/>
      <c r="D314" s="105"/>
      <c r="E314" s="105"/>
      <c r="F314" s="105"/>
      <c r="G314" s="105"/>
      <c r="H314" s="105"/>
      <c r="I314" s="142" t="str">
        <f t="shared" si="24"/>
        <v/>
      </c>
      <c r="J314" s="105" t="str">
        <f t="shared" si="25"/>
        <v/>
      </c>
      <c r="K314" s="143" t="str">
        <f t="shared" si="26"/>
        <v/>
      </c>
      <c r="L314" s="106" t="str">
        <f t="shared" si="27"/>
        <v/>
      </c>
      <c r="M314" s="105" t="str">
        <f t="shared" si="28"/>
        <v/>
      </c>
      <c r="N314" s="144" t="str">
        <f t="shared" si="29"/>
        <v/>
      </c>
      <c r="O314" s="144" t="str">
        <f>IF(NOT(ISERROR(VLOOKUP(C314,Deflatores!G$42:H$64,2,FALSE))),VLOOKUP(C314,Deflatores!G$42:H$64,2,FALSE),IF(OR(ISBLANK(D314),ISBLANK(C314)),"",VLOOKUP(D314,Deflatores!G$4:H$38,2,FALSE)*K314+VLOOKUP(D314,Deflatores!G$4:I$38,3,FALSE)))</f>
        <v/>
      </c>
      <c r="P314" s="115"/>
      <c r="Q314" s="115"/>
      <c r="R314" s="115"/>
      <c r="S314" s="115"/>
      <c r="T314" s="168"/>
      <c r="U314" s="133"/>
    </row>
    <row r="315" spans="1:21" ht="12" customHeight="1" x14ac:dyDescent="0.2">
      <c r="A315" s="115"/>
      <c r="B315" s="115"/>
      <c r="C315" s="105"/>
      <c r="D315" s="105"/>
      <c r="E315" s="105"/>
      <c r="F315" s="105"/>
      <c r="G315" s="105"/>
      <c r="H315" s="105"/>
      <c r="I315" s="142" t="str">
        <f t="shared" si="24"/>
        <v/>
      </c>
      <c r="J315" s="105" t="str">
        <f t="shared" si="25"/>
        <v/>
      </c>
      <c r="K315" s="143" t="str">
        <f t="shared" si="26"/>
        <v/>
      </c>
      <c r="L315" s="106" t="str">
        <f t="shared" si="27"/>
        <v/>
      </c>
      <c r="M315" s="105" t="str">
        <f t="shared" si="28"/>
        <v/>
      </c>
      <c r="N315" s="144" t="str">
        <f t="shared" si="29"/>
        <v/>
      </c>
      <c r="O315" s="144" t="str">
        <f>IF(NOT(ISERROR(VLOOKUP(C315,Deflatores!G$42:H$64,2,FALSE))),VLOOKUP(C315,Deflatores!G$42:H$64,2,FALSE),IF(OR(ISBLANK(D315),ISBLANK(C315)),"",VLOOKUP(D315,Deflatores!G$4:H$38,2,FALSE)*K315+VLOOKUP(D315,Deflatores!G$4:I$38,3,FALSE)))</f>
        <v/>
      </c>
      <c r="P315" s="115"/>
      <c r="Q315" s="115"/>
      <c r="R315" s="115"/>
      <c r="S315" s="115"/>
      <c r="T315" s="168"/>
      <c r="U315" s="133"/>
    </row>
    <row r="316" spans="1:21" ht="12" customHeight="1" x14ac:dyDescent="0.2">
      <c r="A316" s="115"/>
      <c r="B316" s="115"/>
      <c r="C316" s="105"/>
      <c r="D316" s="105"/>
      <c r="E316" s="105"/>
      <c r="F316" s="105"/>
      <c r="G316" s="105"/>
      <c r="H316" s="105"/>
      <c r="I316" s="142" t="str">
        <f t="shared" si="24"/>
        <v/>
      </c>
      <c r="J316" s="105" t="str">
        <f t="shared" si="25"/>
        <v/>
      </c>
      <c r="K316" s="143" t="str">
        <f t="shared" si="26"/>
        <v/>
      </c>
      <c r="L316" s="106" t="str">
        <f t="shared" si="27"/>
        <v/>
      </c>
      <c r="M316" s="105" t="str">
        <f t="shared" si="28"/>
        <v/>
      </c>
      <c r="N316" s="144" t="str">
        <f t="shared" si="29"/>
        <v/>
      </c>
      <c r="O316" s="144" t="str">
        <f>IF(NOT(ISERROR(VLOOKUP(C316,Deflatores!G$42:H$64,2,FALSE))),VLOOKUP(C316,Deflatores!G$42:H$64,2,FALSE),IF(OR(ISBLANK(D316),ISBLANK(C316)),"",VLOOKUP(D316,Deflatores!G$4:H$38,2,FALSE)*K316+VLOOKUP(D316,Deflatores!G$4:I$38,3,FALSE)))</f>
        <v/>
      </c>
      <c r="P316" s="115"/>
      <c r="Q316" s="115"/>
      <c r="R316" s="115"/>
      <c r="S316" s="115"/>
      <c r="T316" s="168"/>
      <c r="U316" s="133"/>
    </row>
    <row r="317" spans="1:21" ht="12" customHeight="1" x14ac:dyDescent="0.2">
      <c r="A317" s="115"/>
      <c r="B317" s="115"/>
      <c r="C317" s="105"/>
      <c r="D317" s="105"/>
      <c r="E317" s="105"/>
      <c r="F317" s="105"/>
      <c r="G317" s="105"/>
      <c r="H317" s="105"/>
      <c r="I317" s="142" t="str">
        <f t="shared" si="24"/>
        <v/>
      </c>
      <c r="J317" s="105" t="str">
        <f t="shared" si="25"/>
        <v/>
      </c>
      <c r="K317" s="143" t="str">
        <f t="shared" si="26"/>
        <v/>
      </c>
      <c r="L317" s="106" t="str">
        <f t="shared" si="27"/>
        <v/>
      </c>
      <c r="M317" s="105" t="str">
        <f t="shared" si="28"/>
        <v/>
      </c>
      <c r="N317" s="144" t="str">
        <f t="shared" si="29"/>
        <v/>
      </c>
      <c r="O317" s="144" t="str">
        <f>IF(NOT(ISERROR(VLOOKUP(C317,Deflatores!G$42:H$64,2,FALSE))),VLOOKUP(C317,Deflatores!G$42:H$64,2,FALSE),IF(OR(ISBLANK(D317),ISBLANK(C317)),"",VLOOKUP(D317,Deflatores!G$4:H$38,2,FALSE)*K317+VLOOKUP(D317,Deflatores!G$4:I$38,3,FALSE)))</f>
        <v/>
      </c>
      <c r="P317" s="115"/>
      <c r="Q317" s="115"/>
      <c r="R317" s="115"/>
      <c r="S317" s="115"/>
      <c r="T317" s="168"/>
      <c r="U317" s="133"/>
    </row>
    <row r="318" spans="1:21" ht="12" customHeight="1" x14ac:dyDescent="0.2">
      <c r="A318" s="115"/>
      <c r="B318" s="115"/>
      <c r="C318" s="105"/>
      <c r="D318" s="105"/>
      <c r="E318" s="105"/>
      <c r="F318" s="105"/>
      <c r="G318" s="105"/>
      <c r="H318" s="105"/>
      <c r="I318" s="142" t="str">
        <f t="shared" si="24"/>
        <v/>
      </c>
      <c r="J318" s="105" t="str">
        <f t="shared" si="25"/>
        <v/>
      </c>
      <c r="K318" s="143" t="str">
        <f t="shared" si="26"/>
        <v/>
      </c>
      <c r="L318" s="106" t="str">
        <f t="shared" si="27"/>
        <v/>
      </c>
      <c r="M318" s="105" t="str">
        <f t="shared" si="28"/>
        <v/>
      </c>
      <c r="N318" s="144" t="str">
        <f t="shared" si="29"/>
        <v/>
      </c>
      <c r="O318" s="144" t="str">
        <f>IF(NOT(ISERROR(VLOOKUP(C318,Deflatores!G$42:H$64,2,FALSE))),VLOOKUP(C318,Deflatores!G$42:H$64,2,FALSE),IF(OR(ISBLANK(D318),ISBLANK(C318)),"",VLOOKUP(D318,Deflatores!G$4:H$38,2,FALSE)*K318+VLOOKUP(D318,Deflatores!G$4:I$38,3,FALSE)))</f>
        <v/>
      </c>
      <c r="P318" s="115"/>
      <c r="Q318" s="115"/>
      <c r="R318" s="115"/>
      <c r="S318" s="115"/>
      <c r="T318" s="168"/>
      <c r="U318" s="133"/>
    </row>
    <row r="319" spans="1:21" ht="12" customHeight="1" x14ac:dyDescent="0.2">
      <c r="A319" s="115"/>
      <c r="B319" s="115"/>
      <c r="C319" s="105"/>
      <c r="D319" s="105"/>
      <c r="E319" s="105"/>
      <c r="F319" s="105"/>
      <c r="G319" s="105"/>
      <c r="H319" s="105"/>
      <c r="I319" s="142" t="str">
        <f t="shared" si="24"/>
        <v/>
      </c>
      <c r="J319" s="105" t="str">
        <f t="shared" si="25"/>
        <v/>
      </c>
      <c r="K319" s="143" t="str">
        <f t="shared" si="26"/>
        <v/>
      </c>
      <c r="L319" s="106" t="str">
        <f t="shared" si="27"/>
        <v/>
      </c>
      <c r="M319" s="105" t="str">
        <f t="shared" si="28"/>
        <v/>
      </c>
      <c r="N319" s="144" t="str">
        <f t="shared" si="29"/>
        <v/>
      </c>
      <c r="O319" s="144" t="str">
        <f>IF(NOT(ISERROR(VLOOKUP(C319,Deflatores!G$42:H$64,2,FALSE))),VLOOKUP(C319,Deflatores!G$42:H$64,2,FALSE),IF(OR(ISBLANK(D319),ISBLANK(C319)),"",VLOOKUP(D319,Deflatores!G$4:H$38,2,FALSE)*K319+VLOOKUP(D319,Deflatores!G$4:I$38,3,FALSE)))</f>
        <v/>
      </c>
      <c r="P319" s="115"/>
      <c r="Q319" s="115"/>
      <c r="R319" s="115"/>
      <c r="S319" s="115"/>
      <c r="T319" s="168"/>
      <c r="U319" s="133"/>
    </row>
    <row r="320" spans="1:21" ht="12" customHeight="1" x14ac:dyDescent="0.2">
      <c r="A320" s="115"/>
      <c r="B320" s="115"/>
      <c r="C320" s="105"/>
      <c r="D320" s="105"/>
      <c r="E320" s="105"/>
      <c r="F320" s="105"/>
      <c r="G320" s="105"/>
      <c r="H320" s="105"/>
      <c r="I320" s="142" t="str">
        <f t="shared" si="24"/>
        <v/>
      </c>
      <c r="J320" s="105" t="str">
        <f t="shared" si="25"/>
        <v/>
      </c>
      <c r="K320" s="143" t="str">
        <f t="shared" si="26"/>
        <v/>
      </c>
      <c r="L320" s="106" t="str">
        <f t="shared" si="27"/>
        <v/>
      </c>
      <c r="M320" s="105" t="str">
        <f t="shared" si="28"/>
        <v/>
      </c>
      <c r="N320" s="144" t="str">
        <f t="shared" si="29"/>
        <v/>
      </c>
      <c r="O320" s="144" t="str">
        <f>IF(NOT(ISERROR(VLOOKUP(C320,Deflatores!G$42:H$64,2,FALSE))),VLOOKUP(C320,Deflatores!G$42:H$64,2,FALSE),IF(OR(ISBLANK(D320),ISBLANK(C320)),"",VLOOKUP(D320,Deflatores!G$4:H$38,2,FALSE)*K320+VLOOKUP(D320,Deflatores!G$4:I$38,3,FALSE)))</f>
        <v/>
      </c>
      <c r="P320" s="115"/>
      <c r="Q320" s="115"/>
      <c r="R320" s="115"/>
      <c r="S320" s="115"/>
      <c r="T320" s="168"/>
      <c r="U320" s="133"/>
    </row>
    <row r="321" spans="1:21" ht="12" customHeight="1" x14ac:dyDescent="0.2">
      <c r="A321" s="115"/>
      <c r="B321" s="115"/>
      <c r="C321" s="105"/>
      <c r="D321" s="105"/>
      <c r="E321" s="105"/>
      <c r="F321" s="105"/>
      <c r="G321" s="105"/>
      <c r="H321" s="105"/>
      <c r="I321" s="142" t="str">
        <f t="shared" si="24"/>
        <v/>
      </c>
      <c r="J321" s="105" t="str">
        <f t="shared" si="25"/>
        <v/>
      </c>
      <c r="K321" s="143" t="str">
        <f t="shared" si="26"/>
        <v/>
      </c>
      <c r="L321" s="106" t="str">
        <f t="shared" si="27"/>
        <v/>
      </c>
      <c r="M321" s="105" t="str">
        <f t="shared" si="28"/>
        <v/>
      </c>
      <c r="N321" s="144" t="str">
        <f t="shared" si="29"/>
        <v/>
      </c>
      <c r="O321" s="144" t="str">
        <f>IF(NOT(ISERROR(VLOOKUP(C321,Deflatores!G$42:H$64,2,FALSE))),VLOOKUP(C321,Deflatores!G$42:H$64,2,FALSE),IF(OR(ISBLANK(D321),ISBLANK(C321)),"",VLOOKUP(D321,Deflatores!G$4:H$38,2,FALSE)*K321+VLOOKUP(D321,Deflatores!G$4:I$38,3,FALSE)))</f>
        <v/>
      </c>
      <c r="P321" s="115"/>
      <c r="Q321" s="115"/>
      <c r="R321" s="115"/>
      <c r="S321" s="115"/>
      <c r="T321" s="168"/>
      <c r="U321" s="133"/>
    </row>
    <row r="322" spans="1:21" ht="12" customHeight="1" x14ac:dyDescent="0.2">
      <c r="A322" s="115"/>
      <c r="B322" s="115"/>
      <c r="C322" s="105"/>
      <c r="D322" s="105"/>
      <c r="E322" s="105"/>
      <c r="F322" s="105"/>
      <c r="G322" s="105"/>
      <c r="H322" s="105"/>
      <c r="I322" s="142" t="str">
        <f t="shared" si="24"/>
        <v/>
      </c>
      <c r="J322" s="105" t="str">
        <f t="shared" si="25"/>
        <v/>
      </c>
      <c r="K322" s="143" t="str">
        <f t="shared" si="26"/>
        <v/>
      </c>
      <c r="L322" s="106" t="str">
        <f t="shared" si="27"/>
        <v/>
      </c>
      <c r="M322" s="105" t="str">
        <f t="shared" si="28"/>
        <v/>
      </c>
      <c r="N322" s="144" t="str">
        <f t="shared" si="29"/>
        <v/>
      </c>
      <c r="O322" s="144" t="str">
        <f>IF(NOT(ISERROR(VLOOKUP(C322,Deflatores!G$42:H$64,2,FALSE))),VLOOKUP(C322,Deflatores!G$42:H$64,2,FALSE),IF(OR(ISBLANK(D322),ISBLANK(C322)),"",VLOOKUP(D322,Deflatores!G$4:H$38,2,FALSE)*K322+VLOOKUP(D322,Deflatores!G$4:I$38,3,FALSE)))</f>
        <v/>
      </c>
      <c r="P322" s="115"/>
      <c r="Q322" s="115"/>
      <c r="R322" s="115"/>
      <c r="S322" s="115"/>
      <c r="T322" s="168"/>
      <c r="U322" s="133"/>
    </row>
    <row r="323" spans="1:21" ht="12" customHeight="1" x14ac:dyDescent="0.2">
      <c r="A323" s="115"/>
      <c r="B323" s="115"/>
      <c r="C323" s="105"/>
      <c r="D323" s="105"/>
      <c r="E323" s="105"/>
      <c r="F323" s="105"/>
      <c r="G323" s="105"/>
      <c r="H323" s="105"/>
      <c r="I323" s="142" t="str">
        <f t="shared" si="24"/>
        <v/>
      </c>
      <c r="J323" s="105" t="str">
        <f t="shared" si="25"/>
        <v/>
      </c>
      <c r="K323" s="143" t="str">
        <f t="shared" si="26"/>
        <v/>
      </c>
      <c r="L323" s="106" t="str">
        <f t="shared" si="27"/>
        <v/>
      </c>
      <c r="M323" s="105" t="str">
        <f t="shared" si="28"/>
        <v/>
      </c>
      <c r="N323" s="144" t="str">
        <f t="shared" si="29"/>
        <v/>
      </c>
      <c r="O323" s="144" t="str">
        <f>IF(NOT(ISERROR(VLOOKUP(C323,Deflatores!G$42:H$64,2,FALSE))),VLOOKUP(C323,Deflatores!G$42:H$64,2,FALSE),IF(OR(ISBLANK(D323),ISBLANK(C323)),"",VLOOKUP(D323,Deflatores!G$4:H$38,2,FALSE)*K323+VLOOKUP(D323,Deflatores!G$4:I$38,3,FALSE)))</f>
        <v/>
      </c>
      <c r="P323" s="115"/>
      <c r="Q323" s="115"/>
      <c r="R323" s="115"/>
      <c r="S323" s="115"/>
      <c r="T323" s="168"/>
      <c r="U323" s="133"/>
    </row>
    <row r="324" spans="1:21" ht="12" customHeight="1" x14ac:dyDescent="0.2">
      <c r="A324" s="115"/>
      <c r="B324" s="115"/>
      <c r="C324" s="105"/>
      <c r="D324" s="105"/>
      <c r="E324" s="105"/>
      <c r="F324" s="105"/>
      <c r="G324" s="105"/>
      <c r="H324" s="105"/>
      <c r="I324" s="142" t="str">
        <f t="shared" si="24"/>
        <v/>
      </c>
      <c r="J324" s="105" t="str">
        <f t="shared" si="25"/>
        <v/>
      </c>
      <c r="K324" s="143" t="str">
        <f t="shared" si="26"/>
        <v/>
      </c>
      <c r="L324" s="106" t="str">
        <f t="shared" si="27"/>
        <v/>
      </c>
      <c r="M324" s="105" t="str">
        <f t="shared" si="28"/>
        <v/>
      </c>
      <c r="N324" s="144" t="str">
        <f t="shared" si="29"/>
        <v/>
      </c>
      <c r="O324" s="144" t="str">
        <f>IF(NOT(ISERROR(VLOOKUP(C324,Deflatores!G$42:H$64,2,FALSE))),VLOOKUP(C324,Deflatores!G$42:H$64,2,FALSE),IF(OR(ISBLANK(D324),ISBLANK(C324)),"",VLOOKUP(D324,Deflatores!G$4:H$38,2,FALSE)*K324+VLOOKUP(D324,Deflatores!G$4:I$38,3,FALSE)))</f>
        <v/>
      </c>
      <c r="P324" s="115"/>
      <c r="Q324" s="115"/>
      <c r="R324" s="115"/>
      <c r="S324" s="115"/>
      <c r="T324" s="168"/>
      <c r="U324" s="133"/>
    </row>
    <row r="325" spans="1:21" ht="12" customHeight="1" x14ac:dyDescent="0.2">
      <c r="A325" s="115"/>
      <c r="B325" s="115"/>
      <c r="C325" s="105"/>
      <c r="D325" s="105"/>
      <c r="E325" s="105"/>
      <c r="F325" s="105"/>
      <c r="G325" s="105"/>
      <c r="H325" s="105"/>
      <c r="I325" s="142" t="str">
        <f t="shared" si="24"/>
        <v/>
      </c>
      <c r="J325" s="105" t="str">
        <f t="shared" si="25"/>
        <v/>
      </c>
      <c r="K325" s="143" t="str">
        <f t="shared" si="26"/>
        <v/>
      </c>
      <c r="L325" s="106" t="str">
        <f t="shared" si="27"/>
        <v/>
      </c>
      <c r="M325" s="105" t="str">
        <f t="shared" si="28"/>
        <v/>
      </c>
      <c r="N325" s="144" t="str">
        <f t="shared" si="29"/>
        <v/>
      </c>
      <c r="O325" s="144" t="str">
        <f>IF(NOT(ISERROR(VLOOKUP(C325,Deflatores!G$42:H$64,2,FALSE))),VLOOKUP(C325,Deflatores!G$42:H$64,2,FALSE),IF(OR(ISBLANK(D325),ISBLANK(C325)),"",VLOOKUP(D325,Deflatores!G$4:H$38,2,FALSE)*K325+VLOOKUP(D325,Deflatores!G$4:I$38,3,FALSE)))</f>
        <v/>
      </c>
      <c r="P325" s="115"/>
      <c r="Q325" s="115"/>
      <c r="R325" s="115"/>
      <c r="S325" s="115"/>
      <c r="T325" s="168"/>
      <c r="U325" s="133"/>
    </row>
    <row r="326" spans="1:21" ht="12" customHeight="1" x14ac:dyDescent="0.2">
      <c r="A326" s="115"/>
      <c r="B326" s="115"/>
      <c r="C326" s="105"/>
      <c r="D326" s="105"/>
      <c r="E326" s="105"/>
      <c r="F326" s="105"/>
      <c r="G326" s="105"/>
      <c r="H326" s="105"/>
      <c r="I326" s="142" t="str">
        <f t="shared" si="24"/>
        <v/>
      </c>
      <c r="J326" s="105" t="str">
        <f t="shared" si="25"/>
        <v/>
      </c>
      <c r="K326" s="143" t="str">
        <f t="shared" si="26"/>
        <v/>
      </c>
      <c r="L326" s="106" t="str">
        <f t="shared" si="27"/>
        <v/>
      </c>
      <c r="M326" s="105" t="str">
        <f t="shared" si="28"/>
        <v/>
      </c>
      <c r="N326" s="144" t="str">
        <f t="shared" si="29"/>
        <v/>
      </c>
      <c r="O326" s="144" t="str">
        <f>IF(NOT(ISERROR(VLOOKUP(C326,Deflatores!G$42:H$64,2,FALSE))),VLOOKUP(C326,Deflatores!G$42:H$64,2,FALSE),IF(OR(ISBLANK(D326),ISBLANK(C326)),"",VLOOKUP(D326,Deflatores!G$4:H$38,2,FALSE)*K326+VLOOKUP(D326,Deflatores!G$4:I$38,3,FALSE)))</f>
        <v/>
      </c>
      <c r="P326" s="115"/>
      <c r="Q326" s="115"/>
      <c r="R326" s="115"/>
      <c r="S326" s="115"/>
      <c r="T326" s="168"/>
      <c r="U326" s="133"/>
    </row>
    <row r="327" spans="1:21" ht="12" customHeight="1" x14ac:dyDescent="0.2">
      <c r="A327" s="115"/>
      <c r="B327" s="115"/>
      <c r="C327" s="105"/>
      <c r="D327" s="105"/>
      <c r="E327" s="105"/>
      <c r="F327" s="105"/>
      <c r="G327" s="105"/>
      <c r="H327" s="105"/>
      <c r="I327" s="142" t="str">
        <f t="shared" si="24"/>
        <v/>
      </c>
      <c r="J327" s="105" t="str">
        <f t="shared" si="25"/>
        <v/>
      </c>
      <c r="K327" s="143" t="str">
        <f t="shared" si="26"/>
        <v/>
      </c>
      <c r="L327" s="106" t="str">
        <f t="shared" si="27"/>
        <v/>
      </c>
      <c r="M327" s="105" t="str">
        <f t="shared" si="28"/>
        <v/>
      </c>
      <c r="N327" s="144" t="str">
        <f t="shared" si="29"/>
        <v/>
      </c>
      <c r="O327" s="144" t="str">
        <f>IF(NOT(ISERROR(VLOOKUP(C327,Deflatores!G$42:H$64,2,FALSE))),VLOOKUP(C327,Deflatores!G$42:H$64,2,FALSE),IF(OR(ISBLANK(D327),ISBLANK(C327)),"",VLOOKUP(D327,Deflatores!G$4:H$38,2,FALSE)*K327+VLOOKUP(D327,Deflatores!G$4:I$38,3,FALSE)))</f>
        <v/>
      </c>
      <c r="P327" s="115"/>
      <c r="Q327" s="115"/>
      <c r="R327" s="115"/>
      <c r="S327" s="115"/>
      <c r="T327" s="168"/>
      <c r="U327" s="133"/>
    </row>
    <row r="328" spans="1:21" ht="12" customHeight="1" x14ac:dyDescent="0.2">
      <c r="A328" s="115"/>
      <c r="B328" s="115"/>
      <c r="C328" s="105"/>
      <c r="D328" s="105"/>
      <c r="E328" s="105"/>
      <c r="F328" s="105"/>
      <c r="G328" s="105"/>
      <c r="H328" s="105"/>
      <c r="I328" s="142" t="str">
        <f t="shared" si="24"/>
        <v/>
      </c>
      <c r="J328" s="105" t="str">
        <f t="shared" si="25"/>
        <v/>
      </c>
      <c r="K328" s="143" t="str">
        <f t="shared" si="26"/>
        <v/>
      </c>
      <c r="L328" s="106" t="str">
        <f t="shared" si="27"/>
        <v/>
      </c>
      <c r="M328" s="105" t="str">
        <f t="shared" si="28"/>
        <v/>
      </c>
      <c r="N328" s="144" t="str">
        <f t="shared" si="29"/>
        <v/>
      </c>
      <c r="O328" s="144" t="str">
        <f>IF(NOT(ISERROR(VLOOKUP(C328,Deflatores!G$42:H$64,2,FALSE))),VLOOKUP(C328,Deflatores!G$42:H$64,2,FALSE),IF(OR(ISBLANK(D328),ISBLANK(C328)),"",VLOOKUP(D328,Deflatores!G$4:H$38,2,FALSE)*K328+VLOOKUP(D328,Deflatores!G$4:I$38,3,FALSE)))</f>
        <v/>
      </c>
      <c r="P328" s="115"/>
      <c r="Q328" s="115"/>
      <c r="R328" s="115"/>
      <c r="S328" s="115"/>
      <c r="T328" s="168"/>
      <c r="U328" s="133"/>
    </row>
    <row r="329" spans="1:21" ht="12" customHeight="1" x14ac:dyDescent="0.2">
      <c r="A329" s="115"/>
      <c r="B329" s="115"/>
      <c r="C329" s="105"/>
      <c r="D329" s="105"/>
      <c r="E329" s="105"/>
      <c r="F329" s="105"/>
      <c r="G329" s="105"/>
      <c r="H329" s="105"/>
      <c r="I329" s="142" t="str">
        <f t="shared" si="24"/>
        <v/>
      </c>
      <c r="J329" s="105" t="str">
        <f t="shared" si="25"/>
        <v/>
      </c>
      <c r="K329" s="143" t="str">
        <f t="shared" si="26"/>
        <v/>
      </c>
      <c r="L329" s="106" t="str">
        <f t="shared" si="27"/>
        <v/>
      </c>
      <c r="M329" s="105" t="str">
        <f t="shared" si="28"/>
        <v/>
      </c>
      <c r="N329" s="144" t="str">
        <f t="shared" si="29"/>
        <v/>
      </c>
      <c r="O329" s="144" t="str">
        <f>IF(NOT(ISERROR(VLOOKUP(C329,Deflatores!G$42:H$64,2,FALSE))),VLOOKUP(C329,Deflatores!G$42:H$64,2,FALSE),IF(OR(ISBLANK(D329),ISBLANK(C329)),"",VLOOKUP(D329,Deflatores!G$4:H$38,2,FALSE)*K329+VLOOKUP(D329,Deflatores!G$4:I$38,3,FALSE)))</f>
        <v/>
      </c>
      <c r="P329" s="115"/>
      <c r="Q329" s="115"/>
      <c r="R329" s="115"/>
      <c r="S329" s="115"/>
      <c r="T329" s="168"/>
      <c r="U329" s="133"/>
    </row>
    <row r="330" spans="1:21" ht="12" customHeight="1" x14ac:dyDescent="0.2">
      <c r="A330" s="115"/>
      <c r="B330" s="115"/>
      <c r="C330" s="105"/>
      <c r="D330" s="105"/>
      <c r="E330" s="105"/>
      <c r="F330" s="105"/>
      <c r="G330" s="105"/>
      <c r="H330" s="105"/>
      <c r="I330" s="142" t="str">
        <f t="shared" si="24"/>
        <v/>
      </c>
      <c r="J330" s="105" t="str">
        <f t="shared" si="25"/>
        <v/>
      </c>
      <c r="K330" s="143" t="str">
        <f t="shared" si="26"/>
        <v/>
      </c>
      <c r="L330" s="106" t="str">
        <f t="shared" si="27"/>
        <v/>
      </c>
      <c r="M330" s="105" t="str">
        <f t="shared" si="28"/>
        <v/>
      </c>
      <c r="N330" s="144" t="str">
        <f t="shared" si="29"/>
        <v/>
      </c>
      <c r="O330" s="144" t="str">
        <f>IF(NOT(ISERROR(VLOOKUP(C330,Deflatores!G$42:H$64,2,FALSE))),VLOOKUP(C330,Deflatores!G$42:H$64,2,FALSE),IF(OR(ISBLANK(D330),ISBLANK(C330)),"",VLOOKUP(D330,Deflatores!G$4:H$38,2,FALSE)*K330+VLOOKUP(D330,Deflatores!G$4:I$38,3,FALSE)))</f>
        <v/>
      </c>
      <c r="P330" s="115"/>
      <c r="Q330" s="115"/>
      <c r="R330" s="115"/>
      <c r="S330" s="115"/>
      <c r="T330" s="168"/>
      <c r="U330" s="133"/>
    </row>
    <row r="331" spans="1:21" ht="12" customHeight="1" x14ac:dyDescent="0.2">
      <c r="A331" s="115"/>
      <c r="B331" s="115"/>
      <c r="C331" s="105"/>
      <c r="D331" s="105"/>
      <c r="E331" s="105"/>
      <c r="F331" s="105"/>
      <c r="G331" s="105"/>
      <c r="H331" s="105"/>
      <c r="I331" s="142" t="str">
        <f t="shared" si="24"/>
        <v/>
      </c>
      <c r="J331" s="105" t="str">
        <f t="shared" si="25"/>
        <v/>
      </c>
      <c r="K331" s="143" t="str">
        <f t="shared" si="26"/>
        <v/>
      </c>
      <c r="L331" s="106" t="str">
        <f t="shared" si="27"/>
        <v/>
      </c>
      <c r="M331" s="105" t="str">
        <f t="shared" si="28"/>
        <v/>
      </c>
      <c r="N331" s="144" t="str">
        <f t="shared" si="29"/>
        <v/>
      </c>
      <c r="O331" s="144" t="str">
        <f>IF(NOT(ISERROR(VLOOKUP(C331,Deflatores!G$42:H$64,2,FALSE))),VLOOKUP(C331,Deflatores!G$42:H$64,2,FALSE),IF(OR(ISBLANK(D331),ISBLANK(C331)),"",VLOOKUP(D331,Deflatores!G$4:H$38,2,FALSE)*K331+VLOOKUP(D331,Deflatores!G$4:I$38,3,FALSE)))</f>
        <v/>
      </c>
      <c r="P331" s="115"/>
      <c r="Q331" s="115"/>
      <c r="R331" s="115"/>
      <c r="S331" s="115"/>
      <c r="T331" s="168"/>
      <c r="U331" s="133"/>
    </row>
    <row r="332" spans="1:21" ht="12" customHeight="1" x14ac:dyDescent="0.2">
      <c r="A332" s="115"/>
      <c r="B332" s="115"/>
      <c r="C332" s="105"/>
      <c r="D332" s="105"/>
      <c r="E332" s="105"/>
      <c r="F332" s="105"/>
      <c r="G332" s="105"/>
      <c r="H332" s="105"/>
      <c r="I332" s="142" t="str">
        <f t="shared" si="24"/>
        <v/>
      </c>
      <c r="J332" s="105" t="str">
        <f t="shared" si="25"/>
        <v/>
      </c>
      <c r="K332" s="143" t="str">
        <f t="shared" si="26"/>
        <v/>
      </c>
      <c r="L332" s="106" t="str">
        <f t="shared" si="27"/>
        <v/>
      </c>
      <c r="M332" s="105" t="str">
        <f t="shared" si="28"/>
        <v/>
      </c>
      <c r="N332" s="144" t="str">
        <f t="shared" si="29"/>
        <v/>
      </c>
      <c r="O332" s="144" t="str">
        <f>IF(NOT(ISERROR(VLOOKUP(C332,Deflatores!G$42:H$64,2,FALSE))),VLOOKUP(C332,Deflatores!G$42:H$64,2,FALSE),IF(OR(ISBLANK(D332),ISBLANK(C332)),"",VLOOKUP(D332,Deflatores!G$4:H$38,2,FALSE)*K332+VLOOKUP(D332,Deflatores!G$4:I$38,3,FALSE)))</f>
        <v/>
      </c>
      <c r="P332" s="115"/>
      <c r="Q332" s="115"/>
      <c r="R332" s="115"/>
      <c r="S332" s="115"/>
      <c r="T332" s="168"/>
      <c r="U332" s="133"/>
    </row>
    <row r="333" spans="1:21" ht="12" customHeight="1" x14ac:dyDescent="0.2">
      <c r="A333" s="115"/>
      <c r="B333" s="115"/>
      <c r="C333" s="105"/>
      <c r="D333" s="105"/>
      <c r="E333" s="105"/>
      <c r="F333" s="105"/>
      <c r="G333" s="105"/>
      <c r="H333" s="105"/>
      <c r="I333" s="142" t="str">
        <f t="shared" si="24"/>
        <v/>
      </c>
      <c r="J333" s="105" t="str">
        <f t="shared" si="25"/>
        <v/>
      </c>
      <c r="K333" s="143" t="str">
        <f t="shared" si="26"/>
        <v/>
      </c>
      <c r="L333" s="106" t="str">
        <f t="shared" si="27"/>
        <v/>
      </c>
      <c r="M333" s="105" t="str">
        <f t="shared" si="28"/>
        <v/>
      </c>
      <c r="N333" s="144" t="str">
        <f t="shared" si="29"/>
        <v/>
      </c>
      <c r="O333" s="144" t="str">
        <f>IF(NOT(ISERROR(VLOOKUP(C333,Deflatores!G$42:H$64,2,FALSE))),VLOOKUP(C333,Deflatores!G$42:H$64,2,FALSE),IF(OR(ISBLANK(D333),ISBLANK(C333)),"",VLOOKUP(D333,Deflatores!G$4:H$38,2,FALSE)*K333+VLOOKUP(D333,Deflatores!G$4:I$38,3,FALSE)))</f>
        <v/>
      </c>
      <c r="P333" s="115"/>
      <c r="Q333" s="115"/>
      <c r="R333" s="115"/>
      <c r="S333" s="115"/>
      <c r="T333" s="168"/>
      <c r="U333" s="133"/>
    </row>
    <row r="334" spans="1:21" ht="12" customHeight="1" x14ac:dyDescent="0.2">
      <c r="A334" s="115"/>
      <c r="B334" s="115"/>
      <c r="C334" s="105"/>
      <c r="D334" s="105"/>
      <c r="E334" s="105"/>
      <c r="F334" s="105"/>
      <c r="G334" s="105"/>
      <c r="H334" s="105"/>
      <c r="I334" s="142" t="str">
        <f t="shared" ref="I334:I397" si="30">IF(ISBLANK(C334),"",IF(L334="L","Baixa",IF(L334="A","Média",IF(L334="","","Alta"))))</f>
        <v/>
      </c>
      <c r="J334" s="105" t="str">
        <f t="shared" ref="J334:J397" si="31">CONCATENATE(C334,L334)</f>
        <v/>
      </c>
      <c r="K334" s="143" t="str">
        <f t="shared" ref="K334:K397" si="32">IF(ISBLANK(C334),"",IF(C334="ALI",IF(L334="L",7,IF(L334="A",10,15)),IF(C334="AIE",IF(L334="L",5,IF(L334="A",7,10)),IF(C334="SE",IF(L334="L",4,IF(L334="A",5,7)),IF(OR(C334="EE",C334="CE"),IF(L334="L",3,IF(L334="A",4,6)),0)))))</f>
        <v/>
      </c>
      <c r="L334" s="106" t="str">
        <f t="shared" ref="L334:L397" si="33">IF(OR(ISBLANK(E334),ISBLANK(G334)),IF(OR(C334="ALI",C334="AIE"),"L",IF(OR(C334="EE",C334="SE",C334="CE"),"A","")),IF(C334="EE",IF(G334&gt;=3,IF(E334&gt;=5,"H","A"),IF(G334&gt;=2,IF(E334&gt;=16,"H",IF(E334&lt;=4,"L","A")),IF(E334&lt;=15,"L","A"))),IF(OR(C334="SE",C334="CE"),IF(G334&gt;=4,IF(E334&gt;=6,"H","A"),IF(G334&gt;=2,IF(E334&gt;=20,"H",IF(E334&lt;=5,"L","A")),IF(E334&lt;=19,"L","A"))),IF(OR(C334="ALI",C334="AIE"),IF(G334&gt;=6,IF(E334&gt;=20,"H","A"),IF(G334&gt;=2,IF(E334&gt;=51,"H",IF(E334&lt;=19,"L","A")),IF(E334&lt;=50,"L","A"))),""))))</f>
        <v/>
      </c>
      <c r="M334" s="105" t="str">
        <f t="shared" ref="M334:M397" si="34">CONCATENATE(C334,D334)</f>
        <v/>
      </c>
      <c r="N334" s="144" t="str">
        <f t="shared" ref="N334:N397" si="35">IF(OR(K334="",K334=0),O334,K334)</f>
        <v/>
      </c>
      <c r="O334" s="144" t="str">
        <f>IF(NOT(ISERROR(VLOOKUP(C334,Deflatores!G$42:H$64,2,FALSE))),VLOOKUP(C334,Deflatores!G$42:H$64,2,FALSE),IF(OR(ISBLANK(D334),ISBLANK(C334)),"",VLOOKUP(D334,Deflatores!G$4:H$38,2,FALSE)*K334+VLOOKUP(D334,Deflatores!G$4:I$38,3,FALSE)))</f>
        <v/>
      </c>
      <c r="P334" s="115"/>
      <c r="Q334" s="115"/>
      <c r="R334" s="115"/>
      <c r="S334" s="115"/>
      <c r="T334" s="168"/>
      <c r="U334" s="133"/>
    </row>
    <row r="335" spans="1:21" ht="12" customHeight="1" x14ac:dyDescent="0.2">
      <c r="A335" s="115"/>
      <c r="B335" s="115"/>
      <c r="C335" s="105"/>
      <c r="D335" s="105"/>
      <c r="E335" s="105"/>
      <c r="F335" s="105"/>
      <c r="G335" s="105"/>
      <c r="H335" s="105"/>
      <c r="I335" s="142" t="str">
        <f t="shared" si="30"/>
        <v/>
      </c>
      <c r="J335" s="105" t="str">
        <f t="shared" si="31"/>
        <v/>
      </c>
      <c r="K335" s="143" t="str">
        <f t="shared" si="32"/>
        <v/>
      </c>
      <c r="L335" s="106" t="str">
        <f t="shared" si="33"/>
        <v/>
      </c>
      <c r="M335" s="105" t="str">
        <f t="shared" si="34"/>
        <v/>
      </c>
      <c r="N335" s="144" t="str">
        <f t="shared" si="35"/>
        <v/>
      </c>
      <c r="O335" s="144" t="str">
        <f>IF(NOT(ISERROR(VLOOKUP(C335,Deflatores!G$42:H$64,2,FALSE))),VLOOKUP(C335,Deflatores!G$42:H$64,2,FALSE),IF(OR(ISBLANK(D335),ISBLANK(C335)),"",VLOOKUP(D335,Deflatores!G$4:H$38,2,FALSE)*K335+VLOOKUP(D335,Deflatores!G$4:I$38,3,FALSE)))</f>
        <v/>
      </c>
      <c r="P335" s="115"/>
      <c r="Q335" s="115"/>
      <c r="R335" s="115"/>
      <c r="S335" s="115"/>
      <c r="T335" s="168"/>
      <c r="U335" s="133"/>
    </row>
    <row r="336" spans="1:21" ht="12" customHeight="1" x14ac:dyDescent="0.2">
      <c r="A336" s="115"/>
      <c r="B336" s="115"/>
      <c r="C336" s="105"/>
      <c r="D336" s="105"/>
      <c r="E336" s="105"/>
      <c r="F336" s="105"/>
      <c r="G336" s="105"/>
      <c r="H336" s="105"/>
      <c r="I336" s="142" t="str">
        <f t="shared" si="30"/>
        <v/>
      </c>
      <c r="J336" s="105" t="str">
        <f t="shared" si="31"/>
        <v/>
      </c>
      <c r="K336" s="143" t="str">
        <f t="shared" si="32"/>
        <v/>
      </c>
      <c r="L336" s="106" t="str">
        <f t="shared" si="33"/>
        <v/>
      </c>
      <c r="M336" s="105" t="str">
        <f t="shared" si="34"/>
        <v/>
      </c>
      <c r="N336" s="144" t="str">
        <f t="shared" si="35"/>
        <v/>
      </c>
      <c r="O336" s="144" t="str">
        <f>IF(NOT(ISERROR(VLOOKUP(C336,Deflatores!G$42:H$64,2,FALSE))),VLOOKUP(C336,Deflatores!G$42:H$64,2,FALSE),IF(OR(ISBLANK(D336),ISBLANK(C336)),"",VLOOKUP(D336,Deflatores!G$4:H$38,2,FALSE)*K336+VLOOKUP(D336,Deflatores!G$4:I$38,3,FALSE)))</f>
        <v/>
      </c>
      <c r="P336" s="115"/>
      <c r="Q336" s="115"/>
      <c r="R336" s="115"/>
      <c r="S336" s="115"/>
      <c r="T336" s="168"/>
      <c r="U336" s="133"/>
    </row>
    <row r="337" spans="1:21" ht="12" customHeight="1" x14ac:dyDescent="0.2">
      <c r="A337" s="115"/>
      <c r="B337" s="115"/>
      <c r="C337" s="105"/>
      <c r="D337" s="105"/>
      <c r="E337" s="105"/>
      <c r="F337" s="105"/>
      <c r="G337" s="105"/>
      <c r="H337" s="105"/>
      <c r="I337" s="142" t="str">
        <f t="shared" si="30"/>
        <v/>
      </c>
      <c r="J337" s="105" t="str">
        <f t="shared" si="31"/>
        <v/>
      </c>
      <c r="K337" s="143" t="str">
        <f t="shared" si="32"/>
        <v/>
      </c>
      <c r="L337" s="106" t="str">
        <f t="shared" si="33"/>
        <v/>
      </c>
      <c r="M337" s="105" t="str">
        <f t="shared" si="34"/>
        <v/>
      </c>
      <c r="N337" s="144" t="str">
        <f t="shared" si="35"/>
        <v/>
      </c>
      <c r="O337" s="144" t="str">
        <f>IF(NOT(ISERROR(VLOOKUP(C337,Deflatores!G$42:H$64,2,FALSE))),VLOOKUP(C337,Deflatores!G$42:H$64,2,FALSE),IF(OR(ISBLANK(D337),ISBLANK(C337)),"",VLOOKUP(D337,Deflatores!G$4:H$38,2,FALSE)*K337+VLOOKUP(D337,Deflatores!G$4:I$38,3,FALSE)))</f>
        <v/>
      </c>
      <c r="P337" s="115"/>
      <c r="Q337" s="115"/>
      <c r="R337" s="115"/>
      <c r="S337" s="115"/>
      <c r="T337" s="168"/>
      <c r="U337" s="133"/>
    </row>
    <row r="338" spans="1:21" ht="12" customHeight="1" x14ac:dyDescent="0.2">
      <c r="A338" s="115"/>
      <c r="B338" s="115"/>
      <c r="C338" s="105"/>
      <c r="D338" s="105"/>
      <c r="E338" s="105"/>
      <c r="F338" s="105"/>
      <c r="G338" s="105"/>
      <c r="H338" s="105"/>
      <c r="I338" s="142" t="str">
        <f t="shared" si="30"/>
        <v/>
      </c>
      <c r="J338" s="105" t="str">
        <f t="shared" si="31"/>
        <v/>
      </c>
      <c r="K338" s="143" t="str">
        <f t="shared" si="32"/>
        <v/>
      </c>
      <c r="L338" s="106" t="str">
        <f t="shared" si="33"/>
        <v/>
      </c>
      <c r="M338" s="105" t="str">
        <f t="shared" si="34"/>
        <v/>
      </c>
      <c r="N338" s="144" t="str">
        <f t="shared" si="35"/>
        <v/>
      </c>
      <c r="O338" s="144" t="str">
        <f>IF(NOT(ISERROR(VLOOKUP(C338,Deflatores!G$42:H$64,2,FALSE))),VLOOKUP(C338,Deflatores!G$42:H$64,2,FALSE),IF(OR(ISBLANK(D338),ISBLANK(C338)),"",VLOOKUP(D338,Deflatores!G$4:H$38,2,FALSE)*K338+VLOOKUP(D338,Deflatores!G$4:I$38,3,FALSE)))</f>
        <v/>
      </c>
      <c r="P338" s="115"/>
      <c r="Q338" s="115"/>
      <c r="R338" s="115"/>
      <c r="S338" s="115"/>
      <c r="T338" s="168"/>
      <c r="U338" s="133"/>
    </row>
    <row r="339" spans="1:21" ht="12" customHeight="1" x14ac:dyDescent="0.2">
      <c r="A339" s="115"/>
      <c r="B339" s="115"/>
      <c r="C339" s="105"/>
      <c r="D339" s="105"/>
      <c r="E339" s="105"/>
      <c r="F339" s="105"/>
      <c r="G339" s="105"/>
      <c r="H339" s="105"/>
      <c r="I339" s="142" t="str">
        <f t="shared" si="30"/>
        <v/>
      </c>
      <c r="J339" s="105" t="str">
        <f t="shared" si="31"/>
        <v/>
      </c>
      <c r="K339" s="143" t="str">
        <f t="shared" si="32"/>
        <v/>
      </c>
      <c r="L339" s="106" t="str">
        <f t="shared" si="33"/>
        <v/>
      </c>
      <c r="M339" s="105" t="str">
        <f t="shared" si="34"/>
        <v/>
      </c>
      <c r="N339" s="144" t="str">
        <f t="shared" si="35"/>
        <v/>
      </c>
      <c r="O339" s="144" t="str">
        <f>IF(NOT(ISERROR(VLOOKUP(C339,Deflatores!G$42:H$64,2,FALSE))),VLOOKUP(C339,Deflatores!G$42:H$64,2,FALSE),IF(OR(ISBLANK(D339),ISBLANK(C339)),"",VLOOKUP(D339,Deflatores!G$4:H$38,2,FALSE)*K339+VLOOKUP(D339,Deflatores!G$4:I$38,3,FALSE)))</f>
        <v/>
      </c>
      <c r="P339" s="115"/>
      <c r="Q339" s="115"/>
      <c r="R339" s="115"/>
      <c r="S339" s="115"/>
      <c r="T339" s="168"/>
      <c r="U339" s="133"/>
    </row>
    <row r="340" spans="1:21" ht="12" customHeight="1" x14ac:dyDescent="0.2">
      <c r="A340" s="115"/>
      <c r="B340" s="115"/>
      <c r="C340" s="105"/>
      <c r="D340" s="105"/>
      <c r="E340" s="105"/>
      <c r="F340" s="105"/>
      <c r="G340" s="105"/>
      <c r="H340" s="105"/>
      <c r="I340" s="142" t="str">
        <f t="shared" si="30"/>
        <v/>
      </c>
      <c r="J340" s="105" t="str">
        <f t="shared" si="31"/>
        <v/>
      </c>
      <c r="K340" s="143" t="str">
        <f t="shared" si="32"/>
        <v/>
      </c>
      <c r="L340" s="106" t="str">
        <f t="shared" si="33"/>
        <v/>
      </c>
      <c r="M340" s="105" t="str">
        <f t="shared" si="34"/>
        <v/>
      </c>
      <c r="N340" s="144" t="str">
        <f t="shared" si="35"/>
        <v/>
      </c>
      <c r="O340" s="144" t="str">
        <f>IF(NOT(ISERROR(VLOOKUP(C340,Deflatores!G$42:H$64,2,FALSE))),VLOOKUP(C340,Deflatores!G$42:H$64,2,FALSE),IF(OR(ISBLANK(D340),ISBLANK(C340)),"",VLOOKUP(D340,Deflatores!G$4:H$38,2,FALSE)*K340+VLOOKUP(D340,Deflatores!G$4:I$38,3,FALSE)))</f>
        <v/>
      </c>
      <c r="P340" s="115"/>
      <c r="Q340" s="115"/>
      <c r="R340" s="115"/>
      <c r="S340" s="115"/>
      <c r="T340" s="168"/>
      <c r="U340" s="133"/>
    </row>
    <row r="341" spans="1:21" ht="12" customHeight="1" x14ac:dyDescent="0.2">
      <c r="A341" s="115"/>
      <c r="B341" s="115"/>
      <c r="C341" s="105"/>
      <c r="D341" s="105"/>
      <c r="E341" s="105"/>
      <c r="F341" s="105"/>
      <c r="G341" s="105"/>
      <c r="H341" s="105"/>
      <c r="I341" s="142" t="str">
        <f t="shared" si="30"/>
        <v/>
      </c>
      <c r="J341" s="105" t="str">
        <f t="shared" si="31"/>
        <v/>
      </c>
      <c r="K341" s="143" t="str">
        <f t="shared" si="32"/>
        <v/>
      </c>
      <c r="L341" s="106" t="str">
        <f t="shared" si="33"/>
        <v/>
      </c>
      <c r="M341" s="105" t="str">
        <f t="shared" si="34"/>
        <v/>
      </c>
      <c r="N341" s="144" t="str">
        <f t="shared" si="35"/>
        <v/>
      </c>
      <c r="O341" s="144" t="str">
        <f>IF(NOT(ISERROR(VLOOKUP(C341,Deflatores!G$42:H$64,2,FALSE))),VLOOKUP(C341,Deflatores!G$42:H$64,2,FALSE),IF(OR(ISBLANK(D341),ISBLANK(C341)),"",VLOOKUP(D341,Deflatores!G$4:H$38,2,FALSE)*K341+VLOOKUP(D341,Deflatores!G$4:I$38,3,FALSE)))</f>
        <v/>
      </c>
      <c r="P341" s="115"/>
      <c r="Q341" s="115"/>
      <c r="R341" s="115"/>
      <c r="S341" s="115"/>
      <c r="T341" s="168"/>
      <c r="U341" s="133"/>
    </row>
    <row r="342" spans="1:21" ht="12" customHeight="1" x14ac:dyDescent="0.2">
      <c r="A342" s="115"/>
      <c r="B342" s="115"/>
      <c r="C342" s="105"/>
      <c r="D342" s="105"/>
      <c r="E342" s="105"/>
      <c r="F342" s="105"/>
      <c r="G342" s="105"/>
      <c r="H342" s="105"/>
      <c r="I342" s="142" t="str">
        <f t="shared" si="30"/>
        <v/>
      </c>
      <c r="J342" s="105" t="str">
        <f t="shared" si="31"/>
        <v/>
      </c>
      <c r="K342" s="143" t="str">
        <f t="shared" si="32"/>
        <v/>
      </c>
      <c r="L342" s="106" t="str">
        <f t="shared" si="33"/>
        <v/>
      </c>
      <c r="M342" s="105" t="str">
        <f t="shared" si="34"/>
        <v/>
      </c>
      <c r="N342" s="144" t="str">
        <f t="shared" si="35"/>
        <v/>
      </c>
      <c r="O342" s="144" t="str">
        <f>IF(NOT(ISERROR(VLOOKUP(C342,Deflatores!G$42:H$64,2,FALSE))),VLOOKUP(C342,Deflatores!G$42:H$64,2,FALSE),IF(OR(ISBLANK(D342),ISBLANK(C342)),"",VLOOKUP(D342,Deflatores!G$4:H$38,2,FALSE)*K342+VLOOKUP(D342,Deflatores!G$4:I$38,3,FALSE)))</f>
        <v/>
      </c>
      <c r="P342" s="115"/>
      <c r="Q342" s="115"/>
      <c r="R342" s="115"/>
      <c r="S342" s="115"/>
      <c r="T342" s="168"/>
      <c r="U342" s="133"/>
    </row>
    <row r="343" spans="1:21" ht="12" customHeight="1" x14ac:dyDescent="0.2">
      <c r="A343" s="115"/>
      <c r="B343" s="115"/>
      <c r="C343" s="105"/>
      <c r="D343" s="105"/>
      <c r="E343" s="105"/>
      <c r="F343" s="105"/>
      <c r="G343" s="105"/>
      <c r="H343" s="105"/>
      <c r="I343" s="142" t="str">
        <f t="shared" si="30"/>
        <v/>
      </c>
      <c r="J343" s="105" t="str">
        <f t="shared" si="31"/>
        <v/>
      </c>
      <c r="K343" s="143" t="str">
        <f t="shared" si="32"/>
        <v/>
      </c>
      <c r="L343" s="106" t="str">
        <f t="shared" si="33"/>
        <v/>
      </c>
      <c r="M343" s="105" t="str">
        <f t="shared" si="34"/>
        <v/>
      </c>
      <c r="N343" s="144" t="str">
        <f t="shared" si="35"/>
        <v/>
      </c>
      <c r="O343" s="144" t="str">
        <f>IF(NOT(ISERROR(VLOOKUP(C343,Deflatores!G$42:H$64,2,FALSE))),VLOOKUP(C343,Deflatores!G$42:H$64,2,FALSE),IF(OR(ISBLANK(D343),ISBLANK(C343)),"",VLOOKUP(D343,Deflatores!G$4:H$38,2,FALSE)*K343+VLOOKUP(D343,Deflatores!G$4:I$38,3,FALSE)))</f>
        <v/>
      </c>
      <c r="P343" s="115"/>
      <c r="Q343" s="115"/>
      <c r="R343" s="115"/>
      <c r="S343" s="115"/>
      <c r="T343" s="168"/>
      <c r="U343" s="133"/>
    </row>
    <row r="344" spans="1:21" ht="12" customHeight="1" x14ac:dyDescent="0.2">
      <c r="A344" s="115"/>
      <c r="B344" s="115"/>
      <c r="C344" s="105"/>
      <c r="D344" s="105"/>
      <c r="E344" s="105"/>
      <c r="F344" s="105"/>
      <c r="G344" s="105"/>
      <c r="H344" s="105"/>
      <c r="I344" s="142" t="str">
        <f t="shared" si="30"/>
        <v/>
      </c>
      <c r="J344" s="105" t="str">
        <f t="shared" si="31"/>
        <v/>
      </c>
      <c r="K344" s="143" t="str">
        <f t="shared" si="32"/>
        <v/>
      </c>
      <c r="L344" s="106" t="str">
        <f t="shared" si="33"/>
        <v/>
      </c>
      <c r="M344" s="105" t="str">
        <f t="shared" si="34"/>
        <v/>
      </c>
      <c r="N344" s="144" t="str">
        <f t="shared" si="35"/>
        <v/>
      </c>
      <c r="O344" s="144" t="str">
        <f>IF(NOT(ISERROR(VLOOKUP(C344,Deflatores!G$42:H$64,2,FALSE))),VLOOKUP(C344,Deflatores!G$42:H$64,2,FALSE),IF(OR(ISBLANK(D344),ISBLANK(C344)),"",VLOOKUP(D344,Deflatores!G$4:H$38,2,FALSE)*K344+VLOOKUP(D344,Deflatores!G$4:I$38,3,FALSE)))</f>
        <v/>
      </c>
      <c r="P344" s="115"/>
      <c r="Q344" s="115"/>
      <c r="R344" s="115"/>
      <c r="S344" s="115"/>
      <c r="T344" s="168"/>
      <c r="U344" s="133"/>
    </row>
    <row r="345" spans="1:21" ht="12" customHeight="1" x14ac:dyDescent="0.2">
      <c r="A345" s="115"/>
      <c r="B345" s="115"/>
      <c r="C345" s="105"/>
      <c r="D345" s="105"/>
      <c r="E345" s="105"/>
      <c r="F345" s="105"/>
      <c r="G345" s="105"/>
      <c r="H345" s="105"/>
      <c r="I345" s="142" t="str">
        <f t="shared" si="30"/>
        <v/>
      </c>
      <c r="J345" s="105" t="str">
        <f t="shared" si="31"/>
        <v/>
      </c>
      <c r="K345" s="143" t="str">
        <f t="shared" si="32"/>
        <v/>
      </c>
      <c r="L345" s="106" t="str">
        <f t="shared" si="33"/>
        <v/>
      </c>
      <c r="M345" s="105" t="str">
        <f t="shared" si="34"/>
        <v/>
      </c>
      <c r="N345" s="144" t="str">
        <f t="shared" si="35"/>
        <v/>
      </c>
      <c r="O345" s="144" t="str">
        <f>IF(NOT(ISERROR(VLOOKUP(C345,Deflatores!G$42:H$64,2,FALSE))),VLOOKUP(C345,Deflatores!G$42:H$64,2,FALSE),IF(OR(ISBLANK(D345),ISBLANK(C345)),"",VLOOKUP(D345,Deflatores!G$4:H$38,2,FALSE)*K345+VLOOKUP(D345,Deflatores!G$4:I$38,3,FALSE)))</f>
        <v/>
      </c>
      <c r="P345" s="115"/>
      <c r="Q345" s="115"/>
      <c r="R345" s="115"/>
      <c r="S345" s="115"/>
      <c r="T345" s="168"/>
      <c r="U345" s="133"/>
    </row>
    <row r="346" spans="1:21" ht="12" customHeight="1" x14ac:dyDescent="0.2">
      <c r="A346" s="115"/>
      <c r="B346" s="115"/>
      <c r="C346" s="105"/>
      <c r="D346" s="105"/>
      <c r="E346" s="105"/>
      <c r="F346" s="105"/>
      <c r="G346" s="105"/>
      <c r="H346" s="105"/>
      <c r="I346" s="142" t="str">
        <f t="shared" si="30"/>
        <v/>
      </c>
      <c r="J346" s="105" t="str">
        <f t="shared" si="31"/>
        <v/>
      </c>
      <c r="K346" s="143" t="str">
        <f t="shared" si="32"/>
        <v/>
      </c>
      <c r="L346" s="106" t="str">
        <f t="shared" si="33"/>
        <v/>
      </c>
      <c r="M346" s="105" t="str">
        <f t="shared" si="34"/>
        <v/>
      </c>
      <c r="N346" s="144" t="str">
        <f t="shared" si="35"/>
        <v/>
      </c>
      <c r="O346" s="144" t="str">
        <f>IF(NOT(ISERROR(VLOOKUP(C346,Deflatores!G$42:H$64,2,FALSE))),VLOOKUP(C346,Deflatores!G$42:H$64,2,FALSE),IF(OR(ISBLANK(D346),ISBLANK(C346)),"",VLOOKUP(D346,Deflatores!G$4:H$38,2,FALSE)*K346+VLOOKUP(D346,Deflatores!G$4:I$38,3,FALSE)))</f>
        <v/>
      </c>
      <c r="P346" s="115"/>
      <c r="Q346" s="115"/>
      <c r="R346" s="115"/>
      <c r="S346" s="115"/>
      <c r="T346" s="168"/>
      <c r="U346" s="133"/>
    </row>
    <row r="347" spans="1:21" ht="12" customHeight="1" x14ac:dyDescent="0.2">
      <c r="A347" s="115"/>
      <c r="B347" s="115"/>
      <c r="C347" s="105"/>
      <c r="D347" s="105"/>
      <c r="E347" s="105"/>
      <c r="F347" s="105"/>
      <c r="G347" s="105"/>
      <c r="H347" s="105"/>
      <c r="I347" s="142" t="str">
        <f t="shared" si="30"/>
        <v/>
      </c>
      <c r="J347" s="105" t="str">
        <f t="shared" si="31"/>
        <v/>
      </c>
      <c r="K347" s="143" t="str">
        <f t="shared" si="32"/>
        <v/>
      </c>
      <c r="L347" s="106" t="str">
        <f t="shared" si="33"/>
        <v/>
      </c>
      <c r="M347" s="105" t="str">
        <f t="shared" si="34"/>
        <v/>
      </c>
      <c r="N347" s="144" t="str">
        <f t="shared" si="35"/>
        <v/>
      </c>
      <c r="O347" s="144" t="str">
        <f>IF(NOT(ISERROR(VLOOKUP(C347,Deflatores!G$42:H$64,2,FALSE))),VLOOKUP(C347,Deflatores!G$42:H$64,2,FALSE),IF(OR(ISBLANK(D347),ISBLANK(C347)),"",VLOOKUP(D347,Deflatores!G$4:H$38,2,FALSE)*K347+VLOOKUP(D347,Deflatores!G$4:I$38,3,FALSE)))</f>
        <v/>
      </c>
      <c r="P347" s="115"/>
      <c r="Q347" s="115"/>
      <c r="R347" s="115"/>
      <c r="S347" s="115"/>
      <c r="T347" s="168"/>
      <c r="U347" s="133"/>
    </row>
    <row r="348" spans="1:21" ht="12" customHeight="1" x14ac:dyDescent="0.2">
      <c r="A348" s="115"/>
      <c r="B348" s="115"/>
      <c r="C348" s="105"/>
      <c r="D348" s="105"/>
      <c r="E348" s="105"/>
      <c r="F348" s="105"/>
      <c r="G348" s="105"/>
      <c r="H348" s="105"/>
      <c r="I348" s="142" t="str">
        <f t="shared" si="30"/>
        <v/>
      </c>
      <c r="J348" s="105" t="str">
        <f t="shared" si="31"/>
        <v/>
      </c>
      <c r="K348" s="143" t="str">
        <f t="shared" si="32"/>
        <v/>
      </c>
      <c r="L348" s="106" t="str">
        <f t="shared" si="33"/>
        <v/>
      </c>
      <c r="M348" s="105" t="str">
        <f t="shared" si="34"/>
        <v/>
      </c>
      <c r="N348" s="144" t="str">
        <f t="shared" si="35"/>
        <v/>
      </c>
      <c r="O348" s="144" t="str">
        <f>IF(NOT(ISERROR(VLOOKUP(C348,Deflatores!G$42:H$64,2,FALSE))),VLOOKUP(C348,Deflatores!G$42:H$64,2,FALSE),IF(OR(ISBLANK(D348),ISBLANK(C348)),"",VLOOKUP(D348,Deflatores!G$4:H$38,2,FALSE)*K348+VLOOKUP(D348,Deflatores!G$4:I$38,3,FALSE)))</f>
        <v/>
      </c>
      <c r="P348" s="115"/>
      <c r="Q348" s="115"/>
      <c r="R348" s="115"/>
      <c r="S348" s="115"/>
      <c r="T348" s="168"/>
      <c r="U348" s="133"/>
    </row>
    <row r="349" spans="1:21" ht="12" customHeight="1" x14ac:dyDescent="0.2">
      <c r="A349" s="115"/>
      <c r="B349" s="115"/>
      <c r="C349" s="105"/>
      <c r="D349" s="105"/>
      <c r="E349" s="105"/>
      <c r="F349" s="105"/>
      <c r="G349" s="105"/>
      <c r="H349" s="105"/>
      <c r="I349" s="142" t="str">
        <f t="shared" si="30"/>
        <v/>
      </c>
      <c r="J349" s="105" t="str">
        <f t="shared" si="31"/>
        <v/>
      </c>
      <c r="K349" s="143" t="str">
        <f t="shared" si="32"/>
        <v/>
      </c>
      <c r="L349" s="106" t="str">
        <f t="shared" si="33"/>
        <v/>
      </c>
      <c r="M349" s="105" t="str">
        <f t="shared" si="34"/>
        <v/>
      </c>
      <c r="N349" s="144" t="str">
        <f t="shared" si="35"/>
        <v/>
      </c>
      <c r="O349" s="144" t="str">
        <f>IF(NOT(ISERROR(VLOOKUP(C349,Deflatores!G$42:H$64,2,FALSE))),VLOOKUP(C349,Deflatores!G$42:H$64,2,FALSE),IF(OR(ISBLANK(D349),ISBLANK(C349)),"",VLOOKUP(D349,Deflatores!G$4:H$38,2,FALSE)*K349+VLOOKUP(D349,Deflatores!G$4:I$38,3,FALSE)))</f>
        <v/>
      </c>
      <c r="P349" s="115"/>
      <c r="Q349" s="115"/>
      <c r="R349" s="115"/>
      <c r="S349" s="115"/>
      <c r="T349" s="168"/>
      <c r="U349" s="133"/>
    </row>
    <row r="350" spans="1:21" ht="12" customHeight="1" x14ac:dyDescent="0.2">
      <c r="A350" s="115"/>
      <c r="B350" s="115"/>
      <c r="C350" s="105"/>
      <c r="D350" s="105"/>
      <c r="E350" s="105"/>
      <c r="F350" s="105"/>
      <c r="G350" s="105"/>
      <c r="H350" s="105"/>
      <c r="I350" s="142" t="str">
        <f t="shared" si="30"/>
        <v/>
      </c>
      <c r="J350" s="105" t="str">
        <f t="shared" si="31"/>
        <v/>
      </c>
      <c r="K350" s="143" t="str">
        <f t="shared" si="32"/>
        <v/>
      </c>
      <c r="L350" s="106" t="str">
        <f t="shared" si="33"/>
        <v/>
      </c>
      <c r="M350" s="105" t="str">
        <f t="shared" si="34"/>
        <v/>
      </c>
      <c r="N350" s="144" t="str">
        <f t="shared" si="35"/>
        <v/>
      </c>
      <c r="O350" s="144" t="str">
        <f>IF(NOT(ISERROR(VLOOKUP(C350,Deflatores!G$42:H$64,2,FALSE))),VLOOKUP(C350,Deflatores!G$42:H$64,2,FALSE),IF(OR(ISBLANK(D350),ISBLANK(C350)),"",VLOOKUP(D350,Deflatores!G$4:H$38,2,FALSE)*K350+VLOOKUP(D350,Deflatores!G$4:I$38,3,FALSE)))</f>
        <v/>
      </c>
      <c r="P350" s="115"/>
      <c r="Q350" s="115"/>
      <c r="R350" s="115"/>
      <c r="S350" s="115"/>
      <c r="T350" s="168"/>
      <c r="U350" s="133"/>
    </row>
    <row r="351" spans="1:21" ht="12" customHeight="1" x14ac:dyDescent="0.2">
      <c r="A351" s="115"/>
      <c r="B351" s="115"/>
      <c r="C351" s="105"/>
      <c r="D351" s="105"/>
      <c r="E351" s="105"/>
      <c r="F351" s="105"/>
      <c r="G351" s="105"/>
      <c r="H351" s="105"/>
      <c r="I351" s="142" t="str">
        <f t="shared" si="30"/>
        <v/>
      </c>
      <c r="J351" s="105" t="str">
        <f t="shared" si="31"/>
        <v/>
      </c>
      <c r="K351" s="143" t="str">
        <f t="shared" si="32"/>
        <v/>
      </c>
      <c r="L351" s="106" t="str">
        <f t="shared" si="33"/>
        <v/>
      </c>
      <c r="M351" s="105" t="str">
        <f t="shared" si="34"/>
        <v/>
      </c>
      <c r="N351" s="144" t="str">
        <f t="shared" si="35"/>
        <v/>
      </c>
      <c r="O351" s="144" t="str">
        <f>IF(NOT(ISERROR(VLOOKUP(C351,Deflatores!G$42:H$64,2,FALSE))),VLOOKUP(C351,Deflatores!G$42:H$64,2,FALSE),IF(OR(ISBLANK(D351),ISBLANK(C351)),"",VLOOKUP(D351,Deflatores!G$4:H$38,2,FALSE)*K351+VLOOKUP(D351,Deflatores!G$4:I$38,3,FALSE)))</f>
        <v/>
      </c>
      <c r="P351" s="115"/>
      <c r="Q351" s="115"/>
      <c r="R351" s="115"/>
      <c r="S351" s="115"/>
      <c r="T351" s="168"/>
      <c r="U351" s="133"/>
    </row>
    <row r="352" spans="1:21" ht="12" customHeight="1" x14ac:dyDescent="0.2">
      <c r="A352" s="115"/>
      <c r="B352" s="115"/>
      <c r="C352" s="105"/>
      <c r="D352" s="105"/>
      <c r="E352" s="105"/>
      <c r="F352" s="105"/>
      <c r="G352" s="105"/>
      <c r="H352" s="105"/>
      <c r="I352" s="142" t="str">
        <f t="shared" si="30"/>
        <v/>
      </c>
      <c r="J352" s="105" t="str">
        <f t="shared" si="31"/>
        <v/>
      </c>
      <c r="K352" s="143" t="str">
        <f t="shared" si="32"/>
        <v/>
      </c>
      <c r="L352" s="106" t="str">
        <f t="shared" si="33"/>
        <v/>
      </c>
      <c r="M352" s="105" t="str">
        <f t="shared" si="34"/>
        <v/>
      </c>
      <c r="N352" s="144" t="str">
        <f t="shared" si="35"/>
        <v/>
      </c>
      <c r="O352" s="144" t="str">
        <f>IF(NOT(ISERROR(VLOOKUP(C352,Deflatores!G$42:H$64,2,FALSE))),VLOOKUP(C352,Deflatores!G$42:H$64,2,FALSE),IF(OR(ISBLANK(D352),ISBLANK(C352)),"",VLOOKUP(D352,Deflatores!G$4:H$38,2,FALSE)*K352+VLOOKUP(D352,Deflatores!G$4:I$38,3,FALSE)))</f>
        <v/>
      </c>
      <c r="P352" s="115"/>
      <c r="Q352" s="115"/>
      <c r="R352" s="115"/>
      <c r="S352" s="115"/>
      <c r="T352" s="168"/>
      <c r="U352" s="133"/>
    </row>
    <row r="353" spans="1:21" ht="12" customHeight="1" x14ac:dyDescent="0.2">
      <c r="A353" s="115"/>
      <c r="B353" s="115"/>
      <c r="C353" s="105"/>
      <c r="D353" s="105"/>
      <c r="E353" s="105"/>
      <c r="F353" s="105"/>
      <c r="G353" s="105"/>
      <c r="H353" s="105"/>
      <c r="I353" s="142" t="str">
        <f t="shared" si="30"/>
        <v/>
      </c>
      <c r="J353" s="105" t="str">
        <f t="shared" si="31"/>
        <v/>
      </c>
      <c r="K353" s="143" t="str">
        <f t="shared" si="32"/>
        <v/>
      </c>
      <c r="L353" s="106" t="str">
        <f t="shared" si="33"/>
        <v/>
      </c>
      <c r="M353" s="105" t="str">
        <f t="shared" si="34"/>
        <v/>
      </c>
      <c r="N353" s="144" t="str">
        <f t="shared" si="35"/>
        <v/>
      </c>
      <c r="O353" s="144" t="str">
        <f>IF(NOT(ISERROR(VLOOKUP(C353,Deflatores!G$42:H$64,2,FALSE))),VLOOKUP(C353,Deflatores!G$42:H$64,2,FALSE),IF(OR(ISBLANK(D353),ISBLANK(C353)),"",VLOOKUP(D353,Deflatores!G$4:H$38,2,FALSE)*K353+VLOOKUP(D353,Deflatores!G$4:I$38,3,FALSE)))</f>
        <v/>
      </c>
      <c r="P353" s="115"/>
      <c r="Q353" s="115"/>
      <c r="R353" s="115"/>
      <c r="S353" s="115"/>
      <c r="T353" s="168"/>
      <c r="U353" s="133"/>
    </row>
    <row r="354" spans="1:21" ht="12" customHeight="1" x14ac:dyDescent="0.2">
      <c r="A354" s="115"/>
      <c r="B354" s="115"/>
      <c r="C354" s="105"/>
      <c r="D354" s="105"/>
      <c r="E354" s="105"/>
      <c r="F354" s="105"/>
      <c r="G354" s="105"/>
      <c r="H354" s="105"/>
      <c r="I354" s="142" t="str">
        <f t="shared" si="30"/>
        <v/>
      </c>
      <c r="J354" s="105" t="str">
        <f t="shared" si="31"/>
        <v/>
      </c>
      <c r="K354" s="143" t="str">
        <f t="shared" si="32"/>
        <v/>
      </c>
      <c r="L354" s="106" t="str">
        <f t="shared" si="33"/>
        <v/>
      </c>
      <c r="M354" s="105" t="str">
        <f t="shared" si="34"/>
        <v/>
      </c>
      <c r="N354" s="144" t="str">
        <f t="shared" si="35"/>
        <v/>
      </c>
      <c r="O354" s="144" t="str">
        <f>IF(NOT(ISERROR(VLOOKUP(C354,Deflatores!G$42:H$64,2,FALSE))),VLOOKUP(C354,Deflatores!G$42:H$64,2,FALSE),IF(OR(ISBLANK(D354),ISBLANK(C354)),"",VLOOKUP(D354,Deflatores!G$4:H$38,2,FALSE)*K354+VLOOKUP(D354,Deflatores!G$4:I$38,3,FALSE)))</f>
        <v/>
      </c>
      <c r="P354" s="115"/>
      <c r="Q354" s="115"/>
      <c r="R354" s="115"/>
      <c r="S354" s="115"/>
      <c r="T354" s="168"/>
      <c r="U354" s="133"/>
    </row>
    <row r="355" spans="1:21" ht="12" customHeight="1" x14ac:dyDescent="0.2">
      <c r="A355" s="115"/>
      <c r="B355" s="115"/>
      <c r="C355" s="105"/>
      <c r="D355" s="105"/>
      <c r="E355" s="105"/>
      <c r="F355" s="105"/>
      <c r="G355" s="105"/>
      <c r="H355" s="105"/>
      <c r="I355" s="142" t="str">
        <f t="shared" si="30"/>
        <v/>
      </c>
      <c r="J355" s="105" t="str">
        <f t="shared" si="31"/>
        <v/>
      </c>
      <c r="K355" s="143" t="str">
        <f t="shared" si="32"/>
        <v/>
      </c>
      <c r="L355" s="106" t="str">
        <f t="shared" si="33"/>
        <v/>
      </c>
      <c r="M355" s="105" t="str">
        <f t="shared" si="34"/>
        <v/>
      </c>
      <c r="N355" s="144" t="str">
        <f t="shared" si="35"/>
        <v/>
      </c>
      <c r="O355" s="144" t="str">
        <f>IF(NOT(ISERROR(VLOOKUP(C355,Deflatores!G$42:H$64,2,FALSE))),VLOOKUP(C355,Deflatores!G$42:H$64,2,FALSE),IF(OR(ISBLANK(D355),ISBLANK(C355)),"",VLOOKUP(D355,Deflatores!G$4:H$38,2,FALSE)*K355+VLOOKUP(D355,Deflatores!G$4:I$38,3,FALSE)))</f>
        <v/>
      </c>
      <c r="P355" s="115"/>
      <c r="Q355" s="115"/>
      <c r="R355" s="115"/>
      <c r="S355" s="115"/>
      <c r="T355" s="168"/>
      <c r="U355" s="133"/>
    </row>
    <row r="356" spans="1:21" ht="12" customHeight="1" x14ac:dyDescent="0.2">
      <c r="A356" s="115"/>
      <c r="B356" s="115"/>
      <c r="C356" s="105"/>
      <c r="D356" s="105"/>
      <c r="E356" s="105"/>
      <c r="F356" s="105"/>
      <c r="G356" s="105"/>
      <c r="H356" s="105"/>
      <c r="I356" s="142" t="str">
        <f t="shared" si="30"/>
        <v/>
      </c>
      <c r="J356" s="105" t="str">
        <f t="shared" si="31"/>
        <v/>
      </c>
      <c r="K356" s="143" t="str">
        <f t="shared" si="32"/>
        <v/>
      </c>
      <c r="L356" s="106" t="str">
        <f t="shared" si="33"/>
        <v/>
      </c>
      <c r="M356" s="105" t="str">
        <f t="shared" si="34"/>
        <v/>
      </c>
      <c r="N356" s="144" t="str">
        <f t="shared" si="35"/>
        <v/>
      </c>
      <c r="O356" s="144" t="str">
        <f>IF(NOT(ISERROR(VLOOKUP(C356,Deflatores!G$42:H$64,2,FALSE))),VLOOKUP(C356,Deflatores!G$42:H$64,2,FALSE),IF(OR(ISBLANK(D356),ISBLANK(C356)),"",VLOOKUP(D356,Deflatores!G$4:H$38,2,FALSE)*K356+VLOOKUP(D356,Deflatores!G$4:I$38,3,FALSE)))</f>
        <v/>
      </c>
      <c r="P356" s="115"/>
      <c r="Q356" s="115"/>
      <c r="R356" s="115"/>
      <c r="S356" s="115"/>
      <c r="T356" s="168"/>
      <c r="U356" s="133"/>
    </row>
    <row r="357" spans="1:21" ht="12" customHeight="1" x14ac:dyDescent="0.2">
      <c r="A357" s="115"/>
      <c r="B357" s="115"/>
      <c r="C357" s="105"/>
      <c r="D357" s="105"/>
      <c r="E357" s="105"/>
      <c r="F357" s="105"/>
      <c r="G357" s="105"/>
      <c r="H357" s="105"/>
      <c r="I357" s="142" t="str">
        <f t="shared" si="30"/>
        <v/>
      </c>
      <c r="J357" s="105" t="str">
        <f t="shared" si="31"/>
        <v/>
      </c>
      <c r="K357" s="143" t="str">
        <f t="shared" si="32"/>
        <v/>
      </c>
      <c r="L357" s="106" t="str">
        <f t="shared" si="33"/>
        <v/>
      </c>
      <c r="M357" s="105" t="str">
        <f t="shared" si="34"/>
        <v/>
      </c>
      <c r="N357" s="144" t="str">
        <f t="shared" si="35"/>
        <v/>
      </c>
      <c r="O357" s="144" t="str">
        <f>IF(NOT(ISERROR(VLOOKUP(C357,Deflatores!G$42:H$64,2,FALSE))),VLOOKUP(C357,Deflatores!G$42:H$64,2,FALSE),IF(OR(ISBLANK(D357),ISBLANK(C357)),"",VLOOKUP(D357,Deflatores!G$4:H$38,2,FALSE)*K357+VLOOKUP(D357,Deflatores!G$4:I$38,3,FALSE)))</f>
        <v/>
      </c>
      <c r="P357" s="115"/>
      <c r="Q357" s="115"/>
      <c r="R357" s="115"/>
      <c r="S357" s="115"/>
      <c r="T357" s="168"/>
      <c r="U357" s="133"/>
    </row>
    <row r="358" spans="1:21" ht="12" customHeight="1" x14ac:dyDescent="0.2">
      <c r="A358" s="115"/>
      <c r="B358" s="115"/>
      <c r="C358" s="105"/>
      <c r="D358" s="105"/>
      <c r="E358" s="105"/>
      <c r="F358" s="105"/>
      <c r="G358" s="105"/>
      <c r="H358" s="105"/>
      <c r="I358" s="142" t="str">
        <f t="shared" si="30"/>
        <v/>
      </c>
      <c r="J358" s="105" t="str">
        <f t="shared" si="31"/>
        <v/>
      </c>
      <c r="K358" s="143" t="str">
        <f t="shared" si="32"/>
        <v/>
      </c>
      <c r="L358" s="106" t="str">
        <f t="shared" si="33"/>
        <v/>
      </c>
      <c r="M358" s="105" t="str">
        <f t="shared" si="34"/>
        <v/>
      </c>
      <c r="N358" s="144" t="str">
        <f t="shared" si="35"/>
        <v/>
      </c>
      <c r="O358" s="144" t="str">
        <f>IF(NOT(ISERROR(VLOOKUP(C358,Deflatores!G$42:H$64,2,FALSE))),VLOOKUP(C358,Deflatores!G$42:H$64,2,FALSE),IF(OR(ISBLANK(D358),ISBLANK(C358)),"",VLOOKUP(D358,Deflatores!G$4:H$38,2,FALSE)*K358+VLOOKUP(D358,Deflatores!G$4:I$38,3,FALSE)))</f>
        <v/>
      </c>
      <c r="P358" s="115"/>
      <c r="Q358" s="115"/>
      <c r="R358" s="115"/>
      <c r="S358" s="115"/>
      <c r="T358" s="168"/>
      <c r="U358" s="133"/>
    </row>
    <row r="359" spans="1:21" ht="12" customHeight="1" x14ac:dyDescent="0.2">
      <c r="A359" s="115"/>
      <c r="B359" s="115"/>
      <c r="C359" s="105"/>
      <c r="D359" s="105"/>
      <c r="E359" s="105"/>
      <c r="F359" s="105"/>
      <c r="G359" s="105"/>
      <c r="H359" s="105"/>
      <c r="I359" s="142" t="str">
        <f t="shared" si="30"/>
        <v/>
      </c>
      <c r="J359" s="105" t="str">
        <f t="shared" si="31"/>
        <v/>
      </c>
      <c r="K359" s="143" t="str">
        <f t="shared" si="32"/>
        <v/>
      </c>
      <c r="L359" s="106" t="str">
        <f t="shared" si="33"/>
        <v/>
      </c>
      <c r="M359" s="105" t="str">
        <f t="shared" si="34"/>
        <v/>
      </c>
      <c r="N359" s="144" t="str">
        <f t="shared" si="35"/>
        <v/>
      </c>
      <c r="O359" s="144" t="str">
        <f>IF(NOT(ISERROR(VLOOKUP(C359,Deflatores!G$42:H$64,2,FALSE))),VLOOKUP(C359,Deflatores!G$42:H$64,2,FALSE),IF(OR(ISBLANK(D359),ISBLANK(C359)),"",VLOOKUP(D359,Deflatores!G$4:H$38,2,FALSE)*K359+VLOOKUP(D359,Deflatores!G$4:I$38,3,FALSE)))</f>
        <v/>
      </c>
      <c r="P359" s="115"/>
      <c r="Q359" s="115"/>
      <c r="R359" s="115"/>
      <c r="S359" s="115"/>
      <c r="T359" s="168"/>
      <c r="U359" s="133"/>
    </row>
    <row r="360" spans="1:21" ht="12" customHeight="1" x14ac:dyDescent="0.2">
      <c r="A360" s="115"/>
      <c r="B360" s="115"/>
      <c r="C360" s="105"/>
      <c r="D360" s="105"/>
      <c r="E360" s="105"/>
      <c r="F360" s="105"/>
      <c r="G360" s="105"/>
      <c r="H360" s="105"/>
      <c r="I360" s="142" t="str">
        <f t="shared" si="30"/>
        <v/>
      </c>
      <c r="J360" s="105" t="str">
        <f t="shared" si="31"/>
        <v/>
      </c>
      <c r="K360" s="143" t="str">
        <f t="shared" si="32"/>
        <v/>
      </c>
      <c r="L360" s="106" t="str">
        <f t="shared" si="33"/>
        <v/>
      </c>
      <c r="M360" s="105" t="str">
        <f t="shared" si="34"/>
        <v/>
      </c>
      <c r="N360" s="144" t="str">
        <f t="shared" si="35"/>
        <v/>
      </c>
      <c r="O360" s="144" t="str">
        <f>IF(NOT(ISERROR(VLOOKUP(C360,Deflatores!G$42:H$64,2,FALSE))),VLOOKUP(C360,Deflatores!G$42:H$64,2,FALSE),IF(OR(ISBLANK(D360),ISBLANK(C360)),"",VLOOKUP(D360,Deflatores!G$4:H$38,2,FALSE)*K360+VLOOKUP(D360,Deflatores!G$4:I$38,3,FALSE)))</f>
        <v/>
      </c>
      <c r="P360" s="115"/>
      <c r="Q360" s="115"/>
      <c r="R360" s="115"/>
      <c r="S360" s="115"/>
      <c r="T360" s="168"/>
      <c r="U360" s="133"/>
    </row>
    <row r="361" spans="1:21" ht="12" customHeight="1" x14ac:dyDescent="0.2">
      <c r="A361" s="115"/>
      <c r="B361" s="115"/>
      <c r="C361" s="105"/>
      <c r="D361" s="105"/>
      <c r="E361" s="105"/>
      <c r="F361" s="105"/>
      <c r="G361" s="105"/>
      <c r="H361" s="105"/>
      <c r="I361" s="142" t="str">
        <f t="shared" si="30"/>
        <v/>
      </c>
      <c r="J361" s="105" t="str">
        <f t="shared" si="31"/>
        <v/>
      </c>
      <c r="K361" s="143" t="str">
        <f t="shared" si="32"/>
        <v/>
      </c>
      <c r="L361" s="106" t="str">
        <f t="shared" si="33"/>
        <v/>
      </c>
      <c r="M361" s="105" t="str">
        <f t="shared" si="34"/>
        <v/>
      </c>
      <c r="N361" s="144" t="str">
        <f t="shared" si="35"/>
        <v/>
      </c>
      <c r="O361" s="144" t="str">
        <f>IF(NOT(ISERROR(VLOOKUP(C361,Deflatores!G$42:H$64,2,FALSE))),VLOOKUP(C361,Deflatores!G$42:H$64,2,FALSE),IF(OR(ISBLANK(D361),ISBLANK(C361)),"",VLOOKUP(D361,Deflatores!G$4:H$38,2,FALSE)*K361+VLOOKUP(D361,Deflatores!G$4:I$38,3,FALSE)))</f>
        <v/>
      </c>
      <c r="P361" s="115"/>
      <c r="Q361" s="115"/>
      <c r="R361" s="115"/>
      <c r="S361" s="115"/>
      <c r="T361" s="168"/>
      <c r="U361" s="133"/>
    </row>
    <row r="362" spans="1:21" ht="12" customHeight="1" x14ac:dyDescent="0.2">
      <c r="A362" s="115"/>
      <c r="B362" s="115"/>
      <c r="C362" s="105"/>
      <c r="D362" s="105"/>
      <c r="E362" s="105"/>
      <c r="F362" s="105"/>
      <c r="G362" s="105"/>
      <c r="H362" s="105"/>
      <c r="I362" s="142" t="str">
        <f t="shared" si="30"/>
        <v/>
      </c>
      <c r="J362" s="105" t="str">
        <f t="shared" si="31"/>
        <v/>
      </c>
      <c r="K362" s="143" t="str">
        <f t="shared" si="32"/>
        <v/>
      </c>
      <c r="L362" s="106" t="str">
        <f t="shared" si="33"/>
        <v/>
      </c>
      <c r="M362" s="105" t="str">
        <f t="shared" si="34"/>
        <v/>
      </c>
      <c r="N362" s="144" t="str">
        <f t="shared" si="35"/>
        <v/>
      </c>
      <c r="O362" s="144" t="str">
        <f>IF(NOT(ISERROR(VLOOKUP(C362,Deflatores!G$42:H$64,2,FALSE))),VLOOKUP(C362,Deflatores!G$42:H$64,2,FALSE),IF(OR(ISBLANK(D362),ISBLANK(C362)),"",VLOOKUP(D362,Deflatores!G$4:H$38,2,FALSE)*K362+VLOOKUP(D362,Deflatores!G$4:I$38,3,FALSE)))</f>
        <v/>
      </c>
      <c r="P362" s="115"/>
      <c r="Q362" s="115"/>
      <c r="R362" s="115"/>
      <c r="S362" s="115"/>
      <c r="T362" s="168"/>
      <c r="U362" s="133"/>
    </row>
    <row r="363" spans="1:21" ht="12" customHeight="1" x14ac:dyDescent="0.2">
      <c r="A363" s="115"/>
      <c r="B363" s="115"/>
      <c r="C363" s="105"/>
      <c r="D363" s="105"/>
      <c r="E363" s="105"/>
      <c r="F363" s="105"/>
      <c r="G363" s="105"/>
      <c r="H363" s="105"/>
      <c r="I363" s="142" t="str">
        <f t="shared" si="30"/>
        <v/>
      </c>
      <c r="J363" s="105" t="str">
        <f t="shared" si="31"/>
        <v/>
      </c>
      <c r="K363" s="143" t="str">
        <f t="shared" si="32"/>
        <v/>
      </c>
      <c r="L363" s="106" t="str">
        <f t="shared" si="33"/>
        <v/>
      </c>
      <c r="M363" s="105" t="str">
        <f t="shared" si="34"/>
        <v/>
      </c>
      <c r="N363" s="144" t="str">
        <f t="shared" si="35"/>
        <v/>
      </c>
      <c r="O363" s="144" t="str">
        <f>IF(NOT(ISERROR(VLOOKUP(C363,Deflatores!G$42:H$64,2,FALSE))),VLOOKUP(C363,Deflatores!G$42:H$64,2,FALSE),IF(OR(ISBLANK(D363),ISBLANK(C363)),"",VLOOKUP(D363,Deflatores!G$4:H$38,2,FALSE)*K363+VLOOKUP(D363,Deflatores!G$4:I$38,3,FALSE)))</f>
        <v/>
      </c>
      <c r="P363" s="115"/>
      <c r="Q363" s="115"/>
      <c r="R363" s="115"/>
      <c r="S363" s="115"/>
      <c r="T363" s="168"/>
      <c r="U363" s="133"/>
    </row>
    <row r="364" spans="1:21" ht="12" customHeight="1" x14ac:dyDescent="0.2">
      <c r="A364" s="115"/>
      <c r="B364" s="115"/>
      <c r="C364" s="105"/>
      <c r="D364" s="105"/>
      <c r="E364" s="105"/>
      <c r="F364" s="105"/>
      <c r="G364" s="105"/>
      <c r="H364" s="105"/>
      <c r="I364" s="142" t="str">
        <f t="shared" si="30"/>
        <v/>
      </c>
      <c r="J364" s="105" t="str">
        <f t="shared" si="31"/>
        <v/>
      </c>
      <c r="K364" s="143" t="str">
        <f t="shared" si="32"/>
        <v/>
      </c>
      <c r="L364" s="106" t="str">
        <f t="shared" si="33"/>
        <v/>
      </c>
      <c r="M364" s="105" t="str">
        <f t="shared" si="34"/>
        <v/>
      </c>
      <c r="N364" s="144" t="str">
        <f t="shared" si="35"/>
        <v/>
      </c>
      <c r="O364" s="144" t="str">
        <f>IF(NOT(ISERROR(VLOOKUP(C364,Deflatores!G$42:H$64,2,FALSE))),VLOOKUP(C364,Deflatores!G$42:H$64,2,FALSE),IF(OR(ISBLANK(D364),ISBLANK(C364)),"",VLOOKUP(D364,Deflatores!G$4:H$38,2,FALSE)*K364+VLOOKUP(D364,Deflatores!G$4:I$38,3,FALSE)))</f>
        <v/>
      </c>
      <c r="P364" s="115"/>
      <c r="Q364" s="115"/>
      <c r="R364" s="115"/>
      <c r="S364" s="115"/>
      <c r="T364" s="168"/>
      <c r="U364" s="133"/>
    </row>
    <row r="365" spans="1:21" ht="12" customHeight="1" x14ac:dyDescent="0.2">
      <c r="A365" s="115"/>
      <c r="B365" s="115"/>
      <c r="C365" s="105"/>
      <c r="D365" s="105"/>
      <c r="E365" s="105"/>
      <c r="F365" s="105"/>
      <c r="G365" s="105"/>
      <c r="H365" s="105"/>
      <c r="I365" s="142" t="str">
        <f t="shared" si="30"/>
        <v/>
      </c>
      <c r="J365" s="105" t="str">
        <f t="shared" si="31"/>
        <v/>
      </c>
      <c r="K365" s="143" t="str">
        <f t="shared" si="32"/>
        <v/>
      </c>
      <c r="L365" s="106" t="str">
        <f t="shared" si="33"/>
        <v/>
      </c>
      <c r="M365" s="105" t="str">
        <f t="shared" si="34"/>
        <v/>
      </c>
      <c r="N365" s="144" t="str">
        <f t="shared" si="35"/>
        <v/>
      </c>
      <c r="O365" s="144" t="str">
        <f>IF(NOT(ISERROR(VLOOKUP(C365,Deflatores!G$42:H$64,2,FALSE))),VLOOKUP(C365,Deflatores!G$42:H$64,2,FALSE),IF(OR(ISBLANK(D365),ISBLANK(C365)),"",VLOOKUP(D365,Deflatores!G$4:H$38,2,FALSE)*K365+VLOOKUP(D365,Deflatores!G$4:I$38,3,FALSE)))</f>
        <v/>
      </c>
      <c r="P365" s="115"/>
      <c r="Q365" s="115"/>
      <c r="R365" s="115"/>
      <c r="S365" s="115"/>
      <c r="T365" s="168"/>
      <c r="U365" s="133"/>
    </row>
    <row r="366" spans="1:21" ht="12" customHeight="1" x14ac:dyDescent="0.2">
      <c r="A366" s="115"/>
      <c r="B366" s="115"/>
      <c r="C366" s="105"/>
      <c r="D366" s="105"/>
      <c r="E366" s="105"/>
      <c r="F366" s="105"/>
      <c r="G366" s="105"/>
      <c r="H366" s="105"/>
      <c r="I366" s="142" t="str">
        <f t="shared" si="30"/>
        <v/>
      </c>
      <c r="J366" s="105" t="str">
        <f t="shared" si="31"/>
        <v/>
      </c>
      <c r="K366" s="143" t="str">
        <f t="shared" si="32"/>
        <v/>
      </c>
      <c r="L366" s="106" t="str">
        <f t="shared" si="33"/>
        <v/>
      </c>
      <c r="M366" s="105" t="str">
        <f t="shared" si="34"/>
        <v/>
      </c>
      <c r="N366" s="144" t="str">
        <f t="shared" si="35"/>
        <v/>
      </c>
      <c r="O366" s="144" t="str">
        <f>IF(NOT(ISERROR(VLOOKUP(C366,Deflatores!G$42:H$64,2,FALSE))),VLOOKUP(C366,Deflatores!G$42:H$64,2,FALSE),IF(OR(ISBLANK(D366),ISBLANK(C366)),"",VLOOKUP(D366,Deflatores!G$4:H$38,2,FALSE)*K366+VLOOKUP(D366,Deflatores!G$4:I$38,3,FALSE)))</f>
        <v/>
      </c>
      <c r="P366" s="115"/>
      <c r="Q366" s="115"/>
      <c r="R366" s="115"/>
      <c r="S366" s="115"/>
      <c r="T366" s="168"/>
      <c r="U366" s="133"/>
    </row>
    <row r="367" spans="1:21" ht="12" customHeight="1" x14ac:dyDescent="0.2">
      <c r="A367" s="115"/>
      <c r="B367" s="115"/>
      <c r="C367" s="105"/>
      <c r="D367" s="105"/>
      <c r="E367" s="105"/>
      <c r="F367" s="105"/>
      <c r="G367" s="105"/>
      <c r="H367" s="105"/>
      <c r="I367" s="142" t="str">
        <f t="shared" si="30"/>
        <v/>
      </c>
      <c r="J367" s="105" t="str">
        <f t="shared" si="31"/>
        <v/>
      </c>
      <c r="K367" s="143" t="str">
        <f t="shared" si="32"/>
        <v/>
      </c>
      <c r="L367" s="106" t="str">
        <f t="shared" si="33"/>
        <v/>
      </c>
      <c r="M367" s="105" t="str">
        <f t="shared" si="34"/>
        <v/>
      </c>
      <c r="N367" s="144" t="str">
        <f t="shared" si="35"/>
        <v/>
      </c>
      <c r="O367" s="144" t="str">
        <f>IF(NOT(ISERROR(VLOOKUP(C367,Deflatores!G$42:H$64,2,FALSE))),VLOOKUP(C367,Deflatores!G$42:H$64,2,FALSE),IF(OR(ISBLANK(D367),ISBLANK(C367)),"",VLOOKUP(D367,Deflatores!G$4:H$38,2,FALSE)*K367+VLOOKUP(D367,Deflatores!G$4:I$38,3,FALSE)))</f>
        <v/>
      </c>
      <c r="P367" s="115"/>
      <c r="Q367" s="115"/>
      <c r="R367" s="115"/>
      <c r="S367" s="115"/>
      <c r="T367" s="168"/>
      <c r="U367" s="133"/>
    </row>
    <row r="368" spans="1:21" ht="12" customHeight="1" x14ac:dyDescent="0.2">
      <c r="A368" s="115"/>
      <c r="B368" s="115"/>
      <c r="C368" s="105"/>
      <c r="D368" s="105"/>
      <c r="E368" s="105"/>
      <c r="F368" s="105"/>
      <c r="G368" s="105"/>
      <c r="H368" s="105"/>
      <c r="I368" s="142" t="str">
        <f t="shared" si="30"/>
        <v/>
      </c>
      <c r="J368" s="105" t="str">
        <f t="shared" si="31"/>
        <v/>
      </c>
      <c r="K368" s="143" t="str">
        <f t="shared" si="32"/>
        <v/>
      </c>
      <c r="L368" s="106" t="str">
        <f t="shared" si="33"/>
        <v/>
      </c>
      <c r="M368" s="105" t="str">
        <f t="shared" si="34"/>
        <v/>
      </c>
      <c r="N368" s="144" t="str">
        <f t="shared" si="35"/>
        <v/>
      </c>
      <c r="O368" s="144" t="str">
        <f>IF(NOT(ISERROR(VLOOKUP(C368,Deflatores!G$42:H$64,2,FALSE))),VLOOKUP(C368,Deflatores!G$42:H$64,2,FALSE),IF(OR(ISBLANK(D368),ISBLANK(C368)),"",VLOOKUP(D368,Deflatores!G$4:H$38,2,FALSE)*K368+VLOOKUP(D368,Deflatores!G$4:I$38,3,FALSE)))</f>
        <v/>
      </c>
      <c r="P368" s="115"/>
      <c r="Q368" s="115"/>
      <c r="R368" s="115"/>
      <c r="S368" s="115"/>
      <c r="T368" s="168"/>
      <c r="U368" s="133"/>
    </row>
    <row r="369" spans="1:21" ht="12" customHeight="1" x14ac:dyDescent="0.2">
      <c r="A369" s="115"/>
      <c r="B369" s="115"/>
      <c r="C369" s="105"/>
      <c r="D369" s="105"/>
      <c r="E369" s="105"/>
      <c r="F369" s="105"/>
      <c r="G369" s="105"/>
      <c r="H369" s="105"/>
      <c r="I369" s="142" t="str">
        <f t="shared" si="30"/>
        <v/>
      </c>
      <c r="J369" s="105" t="str">
        <f t="shared" si="31"/>
        <v/>
      </c>
      <c r="K369" s="143" t="str">
        <f t="shared" si="32"/>
        <v/>
      </c>
      <c r="L369" s="106" t="str">
        <f t="shared" si="33"/>
        <v/>
      </c>
      <c r="M369" s="105" t="str">
        <f t="shared" si="34"/>
        <v/>
      </c>
      <c r="N369" s="144" t="str">
        <f t="shared" si="35"/>
        <v/>
      </c>
      <c r="O369" s="144" t="str">
        <f>IF(NOT(ISERROR(VLOOKUP(C369,Deflatores!G$42:H$64,2,FALSE))),VLOOKUP(C369,Deflatores!G$42:H$64,2,FALSE),IF(OR(ISBLANK(D369),ISBLANK(C369)),"",VLOOKUP(D369,Deflatores!G$4:H$38,2,FALSE)*K369+VLOOKUP(D369,Deflatores!G$4:I$38,3,FALSE)))</f>
        <v/>
      </c>
      <c r="P369" s="115"/>
      <c r="Q369" s="115"/>
      <c r="R369" s="115"/>
      <c r="S369" s="115"/>
      <c r="T369" s="168"/>
      <c r="U369" s="133"/>
    </row>
    <row r="370" spans="1:21" ht="12" customHeight="1" x14ac:dyDescent="0.2">
      <c r="A370" s="115"/>
      <c r="B370" s="115"/>
      <c r="C370" s="105"/>
      <c r="D370" s="105"/>
      <c r="E370" s="105"/>
      <c r="F370" s="105"/>
      <c r="G370" s="105"/>
      <c r="H370" s="105"/>
      <c r="I370" s="142" t="str">
        <f t="shared" si="30"/>
        <v/>
      </c>
      <c r="J370" s="105" t="str">
        <f t="shared" si="31"/>
        <v/>
      </c>
      <c r="K370" s="143" t="str">
        <f t="shared" si="32"/>
        <v/>
      </c>
      <c r="L370" s="106" t="str">
        <f t="shared" si="33"/>
        <v/>
      </c>
      <c r="M370" s="105" t="str">
        <f t="shared" si="34"/>
        <v/>
      </c>
      <c r="N370" s="144" t="str">
        <f t="shared" si="35"/>
        <v/>
      </c>
      <c r="O370" s="144" t="str">
        <f>IF(NOT(ISERROR(VLOOKUP(C370,Deflatores!G$42:H$64,2,FALSE))),VLOOKUP(C370,Deflatores!G$42:H$64,2,FALSE),IF(OR(ISBLANK(D370),ISBLANK(C370)),"",VLOOKUP(D370,Deflatores!G$4:H$38,2,FALSE)*K370+VLOOKUP(D370,Deflatores!G$4:I$38,3,FALSE)))</f>
        <v/>
      </c>
      <c r="P370" s="115"/>
      <c r="Q370" s="115"/>
      <c r="R370" s="115"/>
      <c r="S370" s="115"/>
      <c r="T370" s="168"/>
      <c r="U370" s="133"/>
    </row>
    <row r="371" spans="1:21" ht="12" customHeight="1" x14ac:dyDescent="0.2">
      <c r="A371" s="115"/>
      <c r="B371" s="115"/>
      <c r="C371" s="105"/>
      <c r="D371" s="105"/>
      <c r="E371" s="105"/>
      <c r="F371" s="105"/>
      <c r="G371" s="105"/>
      <c r="H371" s="105"/>
      <c r="I371" s="142" t="str">
        <f t="shared" si="30"/>
        <v/>
      </c>
      <c r="J371" s="105" t="str">
        <f t="shared" si="31"/>
        <v/>
      </c>
      <c r="K371" s="143" t="str">
        <f t="shared" si="32"/>
        <v/>
      </c>
      <c r="L371" s="106" t="str">
        <f t="shared" si="33"/>
        <v/>
      </c>
      <c r="M371" s="105" t="str">
        <f t="shared" si="34"/>
        <v/>
      </c>
      <c r="N371" s="144" t="str">
        <f t="shared" si="35"/>
        <v/>
      </c>
      <c r="O371" s="144" t="str">
        <f>IF(NOT(ISERROR(VLOOKUP(C371,Deflatores!G$42:H$64,2,FALSE))),VLOOKUP(C371,Deflatores!G$42:H$64,2,FALSE),IF(OR(ISBLANK(D371),ISBLANK(C371)),"",VLOOKUP(D371,Deflatores!G$4:H$38,2,FALSE)*K371+VLOOKUP(D371,Deflatores!G$4:I$38,3,FALSE)))</f>
        <v/>
      </c>
      <c r="P371" s="115"/>
      <c r="Q371" s="115"/>
      <c r="R371" s="115"/>
      <c r="S371" s="115"/>
      <c r="T371" s="168"/>
      <c r="U371" s="133"/>
    </row>
    <row r="372" spans="1:21" ht="12" customHeight="1" x14ac:dyDescent="0.2">
      <c r="A372" s="115"/>
      <c r="B372" s="115"/>
      <c r="C372" s="105"/>
      <c r="D372" s="105"/>
      <c r="E372" s="105"/>
      <c r="F372" s="105"/>
      <c r="G372" s="105"/>
      <c r="H372" s="105"/>
      <c r="I372" s="142" t="str">
        <f t="shared" si="30"/>
        <v/>
      </c>
      <c r="J372" s="105" t="str">
        <f t="shared" si="31"/>
        <v/>
      </c>
      <c r="K372" s="143" t="str">
        <f t="shared" si="32"/>
        <v/>
      </c>
      <c r="L372" s="106" t="str">
        <f t="shared" si="33"/>
        <v/>
      </c>
      <c r="M372" s="105" t="str">
        <f t="shared" si="34"/>
        <v/>
      </c>
      <c r="N372" s="144" t="str">
        <f t="shared" si="35"/>
        <v/>
      </c>
      <c r="O372" s="144" t="str">
        <f>IF(NOT(ISERROR(VLOOKUP(C372,Deflatores!G$42:H$64,2,FALSE))),VLOOKUP(C372,Deflatores!G$42:H$64,2,FALSE),IF(OR(ISBLANK(D372),ISBLANK(C372)),"",VLOOKUP(D372,Deflatores!G$4:H$38,2,FALSE)*K372+VLOOKUP(D372,Deflatores!G$4:I$38,3,FALSE)))</f>
        <v/>
      </c>
      <c r="P372" s="115"/>
      <c r="Q372" s="115"/>
      <c r="R372" s="115"/>
      <c r="S372" s="115"/>
      <c r="T372" s="168"/>
      <c r="U372" s="133"/>
    </row>
    <row r="373" spans="1:21" ht="12" customHeight="1" x14ac:dyDescent="0.2">
      <c r="A373" s="115"/>
      <c r="B373" s="115"/>
      <c r="C373" s="105"/>
      <c r="D373" s="105"/>
      <c r="E373" s="105"/>
      <c r="F373" s="105"/>
      <c r="G373" s="105"/>
      <c r="H373" s="105"/>
      <c r="I373" s="142" t="str">
        <f t="shared" si="30"/>
        <v/>
      </c>
      <c r="J373" s="105" t="str">
        <f t="shared" si="31"/>
        <v/>
      </c>
      <c r="K373" s="143" t="str">
        <f t="shared" si="32"/>
        <v/>
      </c>
      <c r="L373" s="106" t="str">
        <f t="shared" si="33"/>
        <v/>
      </c>
      <c r="M373" s="105" t="str">
        <f t="shared" si="34"/>
        <v/>
      </c>
      <c r="N373" s="144" t="str">
        <f t="shared" si="35"/>
        <v/>
      </c>
      <c r="O373" s="144" t="str">
        <f>IF(NOT(ISERROR(VLOOKUP(C373,Deflatores!G$42:H$64,2,FALSE))),VLOOKUP(C373,Deflatores!G$42:H$64,2,FALSE),IF(OR(ISBLANK(D373),ISBLANK(C373)),"",VLOOKUP(D373,Deflatores!G$4:H$38,2,FALSE)*K373+VLOOKUP(D373,Deflatores!G$4:I$38,3,FALSE)))</f>
        <v/>
      </c>
      <c r="P373" s="115"/>
      <c r="Q373" s="115"/>
      <c r="R373" s="115"/>
      <c r="S373" s="115"/>
      <c r="T373" s="168"/>
      <c r="U373" s="133"/>
    </row>
    <row r="374" spans="1:21" ht="12" customHeight="1" x14ac:dyDescent="0.2">
      <c r="A374" s="115"/>
      <c r="B374" s="115"/>
      <c r="C374" s="105"/>
      <c r="D374" s="105"/>
      <c r="E374" s="105"/>
      <c r="F374" s="105"/>
      <c r="G374" s="105"/>
      <c r="H374" s="105"/>
      <c r="I374" s="142" t="str">
        <f t="shared" si="30"/>
        <v/>
      </c>
      <c r="J374" s="105" t="str">
        <f t="shared" si="31"/>
        <v/>
      </c>
      <c r="K374" s="143" t="str">
        <f t="shared" si="32"/>
        <v/>
      </c>
      <c r="L374" s="106" t="str">
        <f t="shared" si="33"/>
        <v/>
      </c>
      <c r="M374" s="105" t="str">
        <f t="shared" si="34"/>
        <v/>
      </c>
      <c r="N374" s="144" t="str">
        <f t="shared" si="35"/>
        <v/>
      </c>
      <c r="O374" s="144" t="str">
        <f>IF(NOT(ISERROR(VLOOKUP(C374,Deflatores!G$42:H$64,2,FALSE))),VLOOKUP(C374,Deflatores!G$42:H$64,2,FALSE),IF(OR(ISBLANK(D374),ISBLANK(C374)),"",VLOOKUP(D374,Deflatores!G$4:H$38,2,FALSE)*K374+VLOOKUP(D374,Deflatores!G$4:I$38,3,FALSE)))</f>
        <v/>
      </c>
      <c r="P374" s="115"/>
      <c r="Q374" s="115"/>
      <c r="R374" s="115"/>
      <c r="S374" s="115"/>
      <c r="T374" s="168"/>
      <c r="U374" s="133"/>
    </row>
    <row r="375" spans="1:21" ht="12" customHeight="1" x14ac:dyDescent="0.2">
      <c r="A375" s="115"/>
      <c r="B375" s="115"/>
      <c r="C375" s="105"/>
      <c r="D375" s="105"/>
      <c r="E375" s="105"/>
      <c r="F375" s="105"/>
      <c r="G375" s="105"/>
      <c r="H375" s="105"/>
      <c r="I375" s="142" t="str">
        <f t="shared" si="30"/>
        <v/>
      </c>
      <c r="J375" s="105" t="str">
        <f t="shared" si="31"/>
        <v/>
      </c>
      <c r="K375" s="143" t="str">
        <f t="shared" si="32"/>
        <v/>
      </c>
      <c r="L375" s="106" t="str">
        <f t="shared" si="33"/>
        <v/>
      </c>
      <c r="M375" s="105" t="str">
        <f t="shared" si="34"/>
        <v/>
      </c>
      <c r="N375" s="144" t="str">
        <f t="shared" si="35"/>
        <v/>
      </c>
      <c r="O375" s="144" t="str">
        <f>IF(NOT(ISERROR(VLOOKUP(C375,Deflatores!G$42:H$64,2,FALSE))),VLOOKUP(C375,Deflatores!G$42:H$64,2,FALSE),IF(OR(ISBLANK(D375),ISBLANK(C375)),"",VLOOKUP(D375,Deflatores!G$4:H$38,2,FALSE)*K375+VLOOKUP(D375,Deflatores!G$4:I$38,3,FALSE)))</f>
        <v/>
      </c>
      <c r="P375" s="115"/>
      <c r="Q375" s="115"/>
      <c r="R375" s="115"/>
      <c r="S375" s="115"/>
      <c r="T375" s="168"/>
      <c r="U375" s="133"/>
    </row>
    <row r="376" spans="1:21" ht="12" customHeight="1" x14ac:dyDescent="0.2">
      <c r="A376" s="115"/>
      <c r="B376" s="115"/>
      <c r="C376" s="105"/>
      <c r="D376" s="105"/>
      <c r="E376" s="105"/>
      <c r="F376" s="105"/>
      <c r="G376" s="105"/>
      <c r="H376" s="105"/>
      <c r="I376" s="142" t="str">
        <f t="shared" si="30"/>
        <v/>
      </c>
      <c r="J376" s="105" t="str">
        <f t="shared" si="31"/>
        <v/>
      </c>
      <c r="K376" s="143" t="str">
        <f t="shared" si="32"/>
        <v/>
      </c>
      <c r="L376" s="106" t="str">
        <f t="shared" si="33"/>
        <v/>
      </c>
      <c r="M376" s="105" t="str">
        <f t="shared" si="34"/>
        <v/>
      </c>
      <c r="N376" s="144" t="str">
        <f t="shared" si="35"/>
        <v/>
      </c>
      <c r="O376" s="144" t="str">
        <f>IF(NOT(ISERROR(VLOOKUP(C376,Deflatores!G$42:H$64,2,FALSE))),VLOOKUP(C376,Deflatores!G$42:H$64,2,FALSE),IF(OR(ISBLANK(D376),ISBLANK(C376)),"",VLOOKUP(D376,Deflatores!G$4:H$38,2,FALSE)*K376+VLOOKUP(D376,Deflatores!G$4:I$38,3,FALSE)))</f>
        <v/>
      </c>
      <c r="P376" s="115"/>
      <c r="Q376" s="115"/>
      <c r="R376" s="115"/>
      <c r="S376" s="115"/>
      <c r="T376" s="168"/>
      <c r="U376" s="133"/>
    </row>
    <row r="377" spans="1:21" ht="12" customHeight="1" x14ac:dyDescent="0.2">
      <c r="A377" s="115"/>
      <c r="B377" s="115"/>
      <c r="C377" s="105"/>
      <c r="D377" s="105"/>
      <c r="E377" s="105"/>
      <c r="F377" s="105"/>
      <c r="G377" s="105"/>
      <c r="H377" s="105"/>
      <c r="I377" s="142" t="str">
        <f t="shared" si="30"/>
        <v/>
      </c>
      <c r="J377" s="105" t="str">
        <f t="shared" si="31"/>
        <v/>
      </c>
      <c r="K377" s="143" t="str">
        <f t="shared" si="32"/>
        <v/>
      </c>
      <c r="L377" s="106" t="str">
        <f t="shared" si="33"/>
        <v/>
      </c>
      <c r="M377" s="105" t="str">
        <f t="shared" si="34"/>
        <v/>
      </c>
      <c r="N377" s="144" t="str">
        <f t="shared" si="35"/>
        <v/>
      </c>
      <c r="O377" s="144" t="str">
        <f>IF(NOT(ISERROR(VLOOKUP(C377,Deflatores!G$42:H$64,2,FALSE))),VLOOKUP(C377,Deflatores!G$42:H$64,2,FALSE),IF(OR(ISBLANK(D377),ISBLANK(C377)),"",VLOOKUP(D377,Deflatores!G$4:H$38,2,FALSE)*K377+VLOOKUP(D377,Deflatores!G$4:I$38,3,FALSE)))</f>
        <v/>
      </c>
      <c r="P377" s="115"/>
      <c r="Q377" s="115"/>
      <c r="R377" s="115"/>
      <c r="S377" s="115"/>
      <c r="T377" s="168"/>
      <c r="U377" s="133"/>
    </row>
    <row r="378" spans="1:21" ht="12" customHeight="1" x14ac:dyDescent="0.2">
      <c r="A378" s="115"/>
      <c r="B378" s="115"/>
      <c r="C378" s="105"/>
      <c r="D378" s="105"/>
      <c r="E378" s="105"/>
      <c r="F378" s="105"/>
      <c r="G378" s="105"/>
      <c r="H378" s="105"/>
      <c r="I378" s="142" t="str">
        <f t="shared" si="30"/>
        <v/>
      </c>
      <c r="J378" s="105" t="str">
        <f t="shared" si="31"/>
        <v/>
      </c>
      <c r="K378" s="143" t="str">
        <f t="shared" si="32"/>
        <v/>
      </c>
      <c r="L378" s="106" t="str">
        <f t="shared" si="33"/>
        <v/>
      </c>
      <c r="M378" s="105" t="str">
        <f t="shared" si="34"/>
        <v/>
      </c>
      <c r="N378" s="144" t="str">
        <f t="shared" si="35"/>
        <v/>
      </c>
      <c r="O378" s="144" t="str">
        <f>IF(NOT(ISERROR(VLOOKUP(C378,Deflatores!G$42:H$64,2,FALSE))),VLOOKUP(C378,Deflatores!G$42:H$64,2,FALSE),IF(OR(ISBLANK(D378),ISBLANK(C378)),"",VLOOKUP(D378,Deflatores!G$4:H$38,2,FALSE)*K378+VLOOKUP(D378,Deflatores!G$4:I$38,3,FALSE)))</f>
        <v/>
      </c>
      <c r="P378" s="115"/>
      <c r="Q378" s="115"/>
      <c r="R378" s="115"/>
      <c r="S378" s="115"/>
      <c r="T378" s="168"/>
      <c r="U378" s="133"/>
    </row>
    <row r="379" spans="1:21" ht="12" customHeight="1" x14ac:dyDescent="0.2">
      <c r="A379" s="115"/>
      <c r="B379" s="115"/>
      <c r="C379" s="105"/>
      <c r="D379" s="105"/>
      <c r="E379" s="105"/>
      <c r="F379" s="105"/>
      <c r="G379" s="105"/>
      <c r="H379" s="105"/>
      <c r="I379" s="142" t="str">
        <f t="shared" si="30"/>
        <v/>
      </c>
      <c r="J379" s="105" t="str">
        <f t="shared" si="31"/>
        <v/>
      </c>
      <c r="K379" s="143" t="str">
        <f t="shared" si="32"/>
        <v/>
      </c>
      <c r="L379" s="106" t="str">
        <f t="shared" si="33"/>
        <v/>
      </c>
      <c r="M379" s="105" t="str">
        <f t="shared" si="34"/>
        <v/>
      </c>
      <c r="N379" s="144" t="str">
        <f t="shared" si="35"/>
        <v/>
      </c>
      <c r="O379" s="144" t="str">
        <f>IF(NOT(ISERROR(VLOOKUP(C379,Deflatores!G$42:H$64,2,FALSE))),VLOOKUP(C379,Deflatores!G$42:H$64,2,FALSE),IF(OR(ISBLANK(D379),ISBLANK(C379)),"",VLOOKUP(D379,Deflatores!G$4:H$38,2,FALSE)*K379+VLOOKUP(D379,Deflatores!G$4:I$38,3,FALSE)))</f>
        <v/>
      </c>
      <c r="P379" s="115"/>
      <c r="Q379" s="115"/>
      <c r="R379" s="115"/>
      <c r="S379" s="115"/>
      <c r="T379" s="168"/>
      <c r="U379" s="133"/>
    </row>
    <row r="380" spans="1:21" ht="12" customHeight="1" x14ac:dyDescent="0.2">
      <c r="A380" s="115"/>
      <c r="B380" s="115"/>
      <c r="C380" s="105"/>
      <c r="D380" s="105"/>
      <c r="E380" s="105"/>
      <c r="F380" s="105"/>
      <c r="G380" s="105"/>
      <c r="H380" s="105"/>
      <c r="I380" s="142" t="str">
        <f t="shared" si="30"/>
        <v/>
      </c>
      <c r="J380" s="105" t="str">
        <f t="shared" si="31"/>
        <v/>
      </c>
      <c r="K380" s="143" t="str">
        <f t="shared" si="32"/>
        <v/>
      </c>
      <c r="L380" s="106" t="str">
        <f t="shared" si="33"/>
        <v/>
      </c>
      <c r="M380" s="105" t="str">
        <f t="shared" si="34"/>
        <v/>
      </c>
      <c r="N380" s="144" t="str">
        <f t="shared" si="35"/>
        <v/>
      </c>
      <c r="O380" s="144" t="str">
        <f>IF(NOT(ISERROR(VLOOKUP(C380,Deflatores!G$42:H$64,2,FALSE))),VLOOKUP(C380,Deflatores!G$42:H$64,2,FALSE),IF(OR(ISBLANK(D380),ISBLANK(C380)),"",VLOOKUP(D380,Deflatores!G$4:H$38,2,FALSE)*K380+VLOOKUP(D380,Deflatores!G$4:I$38,3,FALSE)))</f>
        <v/>
      </c>
      <c r="P380" s="115"/>
      <c r="Q380" s="115"/>
      <c r="R380" s="115"/>
      <c r="S380" s="115"/>
      <c r="T380" s="168"/>
      <c r="U380" s="133"/>
    </row>
    <row r="381" spans="1:21" ht="12" customHeight="1" x14ac:dyDescent="0.2">
      <c r="A381" s="115"/>
      <c r="B381" s="115"/>
      <c r="C381" s="105"/>
      <c r="D381" s="105"/>
      <c r="E381" s="105"/>
      <c r="F381" s="105"/>
      <c r="G381" s="105"/>
      <c r="H381" s="105"/>
      <c r="I381" s="142" t="str">
        <f t="shared" si="30"/>
        <v/>
      </c>
      <c r="J381" s="105" t="str">
        <f t="shared" si="31"/>
        <v/>
      </c>
      <c r="K381" s="143" t="str">
        <f t="shared" si="32"/>
        <v/>
      </c>
      <c r="L381" s="106" t="str">
        <f t="shared" si="33"/>
        <v/>
      </c>
      <c r="M381" s="105" t="str">
        <f t="shared" si="34"/>
        <v/>
      </c>
      <c r="N381" s="144" t="str">
        <f t="shared" si="35"/>
        <v/>
      </c>
      <c r="O381" s="144" t="str">
        <f>IF(NOT(ISERROR(VLOOKUP(C381,Deflatores!G$42:H$64,2,FALSE))),VLOOKUP(C381,Deflatores!G$42:H$64,2,FALSE),IF(OR(ISBLANK(D381),ISBLANK(C381)),"",VLOOKUP(D381,Deflatores!G$4:H$38,2,FALSE)*K381+VLOOKUP(D381,Deflatores!G$4:I$38,3,FALSE)))</f>
        <v/>
      </c>
      <c r="P381" s="115"/>
      <c r="Q381" s="115"/>
      <c r="R381" s="115"/>
      <c r="S381" s="115"/>
      <c r="T381" s="168"/>
      <c r="U381" s="133"/>
    </row>
    <row r="382" spans="1:21" ht="12" customHeight="1" x14ac:dyDescent="0.2">
      <c r="A382" s="115"/>
      <c r="B382" s="115"/>
      <c r="C382" s="105"/>
      <c r="D382" s="105"/>
      <c r="E382" s="105"/>
      <c r="F382" s="105"/>
      <c r="G382" s="105"/>
      <c r="H382" s="105"/>
      <c r="I382" s="142" t="str">
        <f t="shared" si="30"/>
        <v/>
      </c>
      <c r="J382" s="105" t="str">
        <f t="shared" si="31"/>
        <v/>
      </c>
      <c r="K382" s="143" t="str">
        <f t="shared" si="32"/>
        <v/>
      </c>
      <c r="L382" s="106" t="str">
        <f t="shared" si="33"/>
        <v/>
      </c>
      <c r="M382" s="105" t="str">
        <f t="shared" si="34"/>
        <v/>
      </c>
      <c r="N382" s="144" t="str">
        <f t="shared" si="35"/>
        <v/>
      </c>
      <c r="O382" s="144" t="str">
        <f>IF(NOT(ISERROR(VLOOKUP(C382,Deflatores!G$42:H$64,2,FALSE))),VLOOKUP(C382,Deflatores!G$42:H$64,2,FALSE),IF(OR(ISBLANK(D382),ISBLANK(C382)),"",VLOOKUP(D382,Deflatores!G$4:H$38,2,FALSE)*K382+VLOOKUP(D382,Deflatores!G$4:I$38,3,FALSE)))</f>
        <v/>
      </c>
      <c r="P382" s="115"/>
      <c r="Q382" s="115"/>
      <c r="R382" s="115"/>
      <c r="S382" s="115"/>
      <c r="T382" s="168"/>
      <c r="U382" s="133"/>
    </row>
    <row r="383" spans="1:21" ht="12" customHeight="1" x14ac:dyDescent="0.2">
      <c r="A383" s="115"/>
      <c r="B383" s="115"/>
      <c r="C383" s="105"/>
      <c r="D383" s="105"/>
      <c r="E383" s="105"/>
      <c r="F383" s="105"/>
      <c r="G383" s="105"/>
      <c r="H383" s="105"/>
      <c r="I383" s="142" t="str">
        <f t="shared" si="30"/>
        <v/>
      </c>
      <c r="J383" s="105" t="str">
        <f t="shared" si="31"/>
        <v/>
      </c>
      <c r="K383" s="143" t="str">
        <f t="shared" si="32"/>
        <v/>
      </c>
      <c r="L383" s="106" t="str">
        <f t="shared" si="33"/>
        <v/>
      </c>
      <c r="M383" s="105" t="str">
        <f t="shared" si="34"/>
        <v/>
      </c>
      <c r="N383" s="144" t="str">
        <f t="shared" si="35"/>
        <v/>
      </c>
      <c r="O383" s="144" t="str">
        <f>IF(NOT(ISERROR(VLOOKUP(C383,Deflatores!G$42:H$64,2,FALSE))),VLOOKUP(C383,Deflatores!G$42:H$64,2,FALSE),IF(OR(ISBLANK(D383),ISBLANK(C383)),"",VLOOKUP(D383,Deflatores!G$4:H$38,2,FALSE)*K383+VLOOKUP(D383,Deflatores!G$4:I$38,3,FALSE)))</f>
        <v/>
      </c>
      <c r="P383" s="115"/>
      <c r="Q383" s="115"/>
      <c r="R383" s="115"/>
      <c r="S383" s="115"/>
      <c r="T383" s="168"/>
      <c r="U383" s="133"/>
    </row>
    <row r="384" spans="1:21" ht="12" customHeight="1" x14ac:dyDescent="0.2">
      <c r="A384" s="115"/>
      <c r="B384" s="115"/>
      <c r="C384" s="105"/>
      <c r="D384" s="105"/>
      <c r="E384" s="105"/>
      <c r="F384" s="105"/>
      <c r="G384" s="105"/>
      <c r="H384" s="105"/>
      <c r="I384" s="142" t="str">
        <f t="shared" si="30"/>
        <v/>
      </c>
      <c r="J384" s="105" t="str">
        <f t="shared" si="31"/>
        <v/>
      </c>
      <c r="K384" s="143" t="str">
        <f t="shared" si="32"/>
        <v/>
      </c>
      <c r="L384" s="106" t="str">
        <f t="shared" si="33"/>
        <v/>
      </c>
      <c r="M384" s="105" t="str">
        <f t="shared" si="34"/>
        <v/>
      </c>
      <c r="N384" s="144" t="str">
        <f t="shared" si="35"/>
        <v/>
      </c>
      <c r="O384" s="144" t="str">
        <f>IF(NOT(ISERROR(VLOOKUP(C384,Deflatores!G$42:H$64,2,FALSE))),VLOOKUP(C384,Deflatores!G$42:H$64,2,FALSE),IF(OR(ISBLANK(D384),ISBLANK(C384)),"",VLOOKUP(D384,Deflatores!G$4:H$38,2,FALSE)*K384+VLOOKUP(D384,Deflatores!G$4:I$38,3,FALSE)))</f>
        <v/>
      </c>
      <c r="P384" s="115"/>
      <c r="Q384" s="115"/>
      <c r="R384" s="115"/>
      <c r="S384" s="115"/>
      <c r="T384" s="168"/>
      <c r="U384" s="133"/>
    </row>
    <row r="385" spans="1:21" ht="12" customHeight="1" x14ac:dyDescent="0.2">
      <c r="A385" s="115"/>
      <c r="B385" s="115"/>
      <c r="C385" s="105"/>
      <c r="D385" s="105"/>
      <c r="E385" s="105"/>
      <c r="F385" s="105"/>
      <c r="G385" s="105"/>
      <c r="H385" s="105"/>
      <c r="I385" s="142" t="str">
        <f t="shared" si="30"/>
        <v/>
      </c>
      <c r="J385" s="105" t="str">
        <f t="shared" si="31"/>
        <v/>
      </c>
      <c r="K385" s="143" t="str">
        <f t="shared" si="32"/>
        <v/>
      </c>
      <c r="L385" s="106" t="str">
        <f t="shared" si="33"/>
        <v/>
      </c>
      <c r="M385" s="105" t="str">
        <f t="shared" si="34"/>
        <v/>
      </c>
      <c r="N385" s="144" t="str">
        <f t="shared" si="35"/>
        <v/>
      </c>
      <c r="O385" s="144" t="str">
        <f>IF(NOT(ISERROR(VLOOKUP(C385,Deflatores!G$42:H$64,2,FALSE))),VLOOKUP(C385,Deflatores!G$42:H$64,2,FALSE),IF(OR(ISBLANK(D385),ISBLANK(C385)),"",VLOOKUP(D385,Deflatores!G$4:H$38,2,FALSE)*K385+VLOOKUP(D385,Deflatores!G$4:I$38,3,FALSE)))</f>
        <v/>
      </c>
      <c r="P385" s="115"/>
      <c r="Q385" s="115"/>
      <c r="R385" s="115"/>
      <c r="S385" s="115"/>
      <c r="T385" s="168"/>
      <c r="U385" s="133"/>
    </row>
    <row r="386" spans="1:21" ht="12" customHeight="1" x14ac:dyDescent="0.2">
      <c r="A386" s="115"/>
      <c r="B386" s="115"/>
      <c r="C386" s="105"/>
      <c r="D386" s="105"/>
      <c r="E386" s="105"/>
      <c r="F386" s="105"/>
      <c r="G386" s="105"/>
      <c r="H386" s="105"/>
      <c r="I386" s="142" t="str">
        <f t="shared" si="30"/>
        <v/>
      </c>
      <c r="J386" s="105" t="str">
        <f t="shared" si="31"/>
        <v/>
      </c>
      <c r="K386" s="143" t="str">
        <f t="shared" si="32"/>
        <v/>
      </c>
      <c r="L386" s="106" t="str">
        <f t="shared" si="33"/>
        <v/>
      </c>
      <c r="M386" s="105" t="str">
        <f t="shared" si="34"/>
        <v/>
      </c>
      <c r="N386" s="144" t="str">
        <f t="shared" si="35"/>
        <v/>
      </c>
      <c r="O386" s="144" t="str">
        <f>IF(NOT(ISERROR(VLOOKUP(C386,Deflatores!G$42:H$64,2,FALSE))),VLOOKUP(C386,Deflatores!G$42:H$64,2,FALSE),IF(OR(ISBLANK(D386),ISBLANK(C386)),"",VLOOKUP(D386,Deflatores!G$4:H$38,2,FALSE)*K386+VLOOKUP(D386,Deflatores!G$4:I$38,3,FALSE)))</f>
        <v/>
      </c>
      <c r="P386" s="115"/>
      <c r="Q386" s="115"/>
      <c r="R386" s="115"/>
      <c r="S386" s="115"/>
      <c r="T386" s="168"/>
      <c r="U386" s="133"/>
    </row>
    <row r="387" spans="1:21" ht="12" customHeight="1" x14ac:dyDescent="0.2">
      <c r="A387" s="115"/>
      <c r="B387" s="115"/>
      <c r="C387" s="105"/>
      <c r="D387" s="105"/>
      <c r="E387" s="105"/>
      <c r="F387" s="105"/>
      <c r="G387" s="105"/>
      <c r="H387" s="105"/>
      <c r="I387" s="142" t="str">
        <f t="shared" si="30"/>
        <v/>
      </c>
      <c r="J387" s="105" t="str">
        <f t="shared" si="31"/>
        <v/>
      </c>
      <c r="K387" s="143" t="str">
        <f t="shared" si="32"/>
        <v/>
      </c>
      <c r="L387" s="106" t="str">
        <f t="shared" si="33"/>
        <v/>
      </c>
      <c r="M387" s="105" t="str">
        <f t="shared" si="34"/>
        <v/>
      </c>
      <c r="N387" s="144" t="str">
        <f t="shared" si="35"/>
        <v/>
      </c>
      <c r="O387" s="144" t="str">
        <f>IF(NOT(ISERROR(VLOOKUP(C387,Deflatores!G$42:H$64,2,FALSE))),VLOOKUP(C387,Deflatores!G$42:H$64,2,FALSE),IF(OR(ISBLANK(D387),ISBLANK(C387)),"",VLOOKUP(D387,Deflatores!G$4:H$38,2,FALSE)*K387+VLOOKUP(D387,Deflatores!G$4:I$38,3,FALSE)))</f>
        <v/>
      </c>
      <c r="P387" s="115"/>
      <c r="Q387" s="115"/>
      <c r="R387" s="115"/>
      <c r="S387" s="115"/>
      <c r="T387" s="168"/>
      <c r="U387" s="133"/>
    </row>
    <row r="388" spans="1:21" ht="12" customHeight="1" x14ac:dyDescent="0.2">
      <c r="A388" s="115"/>
      <c r="B388" s="115"/>
      <c r="C388" s="105"/>
      <c r="D388" s="105"/>
      <c r="E388" s="105"/>
      <c r="F388" s="105"/>
      <c r="G388" s="105"/>
      <c r="H388" s="105"/>
      <c r="I388" s="142" t="str">
        <f t="shared" si="30"/>
        <v/>
      </c>
      <c r="J388" s="105" t="str">
        <f t="shared" si="31"/>
        <v/>
      </c>
      <c r="K388" s="143" t="str">
        <f t="shared" si="32"/>
        <v/>
      </c>
      <c r="L388" s="106" t="str">
        <f t="shared" si="33"/>
        <v/>
      </c>
      <c r="M388" s="105" t="str">
        <f t="shared" si="34"/>
        <v/>
      </c>
      <c r="N388" s="144" t="str">
        <f t="shared" si="35"/>
        <v/>
      </c>
      <c r="O388" s="144" t="str">
        <f>IF(NOT(ISERROR(VLOOKUP(C388,Deflatores!G$42:H$64,2,FALSE))),VLOOKUP(C388,Deflatores!G$42:H$64,2,FALSE),IF(OR(ISBLANK(D388),ISBLANK(C388)),"",VLOOKUP(D388,Deflatores!G$4:H$38,2,FALSE)*K388+VLOOKUP(D388,Deflatores!G$4:I$38,3,FALSE)))</f>
        <v/>
      </c>
      <c r="P388" s="115"/>
      <c r="Q388" s="115"/>
      <c r="R388" s="115"/>
      <c r="S388" s="115"/>
      <c r="T388" s="168"/>
      <c r="U388" s="133"/>
    </row>
    <row r="389" spans="1:21" ht="12" customHeight="1" x14ac:dyDescent="0.2">
      <c r="A389" s="115"/>
      <c r="B389" s="115"/>
      <c r="C389" s="105"/>
      <c r="D389" s="105"/>
      <c r="E389" s="105"/>
      <c r="F389" s="105"/>
      <c r="G389" s="105"/>
      <c r="H389" s="105"/>
      <c r="I389" s="142" t="str">
        <f t="shared" si="30"/>
        <v/>
      </c>
      <c r="J389" s="105" t="str">
        <f t="shared" si="31"/>
        <v/>
      </c>
      <c r="K389" s="143" t="str">
        <f t="shared" si="32"/>
        <v/>
      </c>
      <c r="L389" s="106" t="str">
        <f t="shared" si="33"/>
        <v/>
      </c>
      <c r="M389" s="105" t="str">
        <f t="shared" si="34"/>
        <v/>
      </c>
      <c r="N389" s="144" t="str">
        <f t="shared" si="35"/>
        <v/>
      </c>
      <c r="O389" s="144" t="str">
        <f>IF(NOT(ISERROR(VLOOKUP(C389,Deflatores!G$42:H$64,2,FALSE))),VLOOKUP(C389,Deflatores!G$42:H$64,2,FALSE),IF(OR(ISBLANK(D389),ISBLANK(C389)),"",VLOOKUP(D389,Deflatores!G$4:H$38,2,FALSE)*K389+VLOOKUP(D389,Deflatores!G$4:I$38,3,FALSE)))</f>
        <v/>
      </c>
      <c r="P389" s="115"/>
      <c r="Q389" s="115"/>
      <c r="R389" s="115"/>
      <c r="S389" s="115"/>
      <c r="T389" s="168"/>
      <c r="U389" s="133"/>
    </row>
    <row r="390" spans="1:21" ht="12" customHeight="1" x14ac:dyDescent="0.2">
      <c r="A390" s="115"/>
      <c r="B390" s="115"/>
      <c r="C390" s="105"/>
      <c r="D390" s="105"/>
      <c r="E390" s="105"/>
      <c r="F390" s="105"/>
      <c r="G390" s="105"/>
      <c r="H390" s="105"/>
      <c r="I390" s="142" t="str">
        <f t="shared" si="30"/>
        <v/>
      </c>
      <c r="J390" s="105" t="str">
        <f t="shared" si="31"/>
        <v/>
      </c>
      <c r="K390" s="143" t="str">
        <f t="shared" si="32"/>
        <v/>
      </c>
      <c r="L390" s="106" t="str">
        <f t="shared" si="33"/>
        <v/>
      </c>
      <c r="M390" s="105" t="str">
        <f t="shared" si="34"/>
        <v/>
      </c>
      <c r="N390" s="144" t="str">
        <f t="shared" si="35"/>
        <v/>
      </c>
      <c r="O390" s="144" t="str">
        <f>IF(NOT(ISERROR(VLOOKUP(C390,Deflatores!G$42:H$64,2,FALSE))),VLOOKUP(C390,Deflatores!G$42:H$64,2,FALSE),IF(OR(ISBLANK(D390),ISBLANK(C390)),"",VLOOKUP(D390,Deflatores!G$4:H$38,2,FALSE)*K390+VLOOKUP(D390,Deflatores!G$4:I$38,3,FALSE)))</f>
        <v/>
      </c>
      <c r="P390" s="115"/>
      <c r="Q390" s="115"/>
      <c r="R390" s="115"/>
      <c r="S390" s="115"/>
      <c r="T390" s="168"/>
      <c r="U390" s="133"/>
    </row>
    <row r="391" spans="1:21" ht="12" customHeight="1" x14ac:dyDescent="0.2">
      <c r="A391" s="115"/>
      <c r="B391" s="115"/>
      <c r="C391" s="105"/>
      <c r="D391" s="105"/>
      <c r="E391" s="105"/>
      <c r="F391" s="105"/>
      <c r="G391" s="105"/>
      <c r="H391" s="105"/>
      <c r="I391" s="142" t="str">
        <f t="shared" si="30"/>
        <v/>
      </c>
      <c r="J391" s="105" t="str">
        <f t="shared" si="31"/>
        <v/>
      </c>
      <c r="K391" s="143" t="str">
        <f t="shared" si="32"/>
        <v/>
      </c>
      <c r="L391" s="106" t="str">
        <f t="shared" si="33"/>
        <v/>
      </c>
      <c r="M391" s="105" t="str">
        <f t="shared" si="34"/>
        <v/>
      </c>
      <c r="N391" s="144" t="str">
        <f t="shared" si="35"/>
        <v/>
      </c>
      <c r="O391" s="144" t="str">
        <f>IF(NOT(ISERROR(VLOOKUP(C391,Deflatores!G$42:H$64,2,FALSE))),VLOOKUP(C391,Deflatores!G$42:H$64,2,FALSE),IF(OR(ISBLANK(D391),ISBLANK(C391)),"",VLOOKUP(D391,Deflatores!G$4:H$38,2,FALSE)*K391+VLOOKUP(D391,Deflatores!G$4:I$38,3,FALSE)))</f>
        <v/>
      </c>
      <c r="P391" s="115"/>
      <c r="Q391" s="115"/>
      <c r="R391" s="115"/>
      <c r="S391" s="115"/>
      <c r="T391" s="168"/>
      <c r="U391" s="133"/>
    </row>
    <row r="392" spans="1:21" ht="12" customHeight="1" x14ac:dyDescent="0.2">
      <c r="A392" s="115"/>
      <c r="B392" s="115"/>
      <c r="C392" s="105"/>
      <c r="D392" s="105"/>
      <c r="E392" s="105"/>
      <c r="F392" s="105"/>
      <c r="G392" s="105"/>
      <c r="H392" s="105"/>
      <c r="I392" s="142" t="str">
        <f t="shared" si="30"/>
        <v/>
      </c>
      <c r="J392" s="105" t="str">
        <f t="shared" si="31"/>
        <v/>
      </c>
      <c r="K392" s="143" t="str">
        <f t="shared" si="32"/>
        <v/>
      </c>
      <c r="L392" s="106" t="str">
        <f t="shared" si="33"/>
        <v/>
      </c>
      <c r="M392" s="105" t="str">
        <f t="shared" si="34"/>
        <v/>
      </c>
      <c r="N392" s="144" t="str">
        <f t="shared" si="35"/>
        <v/>
      </c>
      <c r="O392" s="144" t="str">
        <f>IF(NOT(ISERROR(VLOOKUP(C392,Deflatores!G$42:H$64,2,FALSE))),VLOOKUP(C392,Deflatores!G$42:H$64,2,FALSE),IF(OR(ISBLANK(D392),ISBLANK(C392)),"",VLOOKUP(D392,Deflatores!G$4:H$38,2,FALSE)*K392+VLOOKUP(D392,Deflatores!G$4:I$38,3,FALSE)))</f>
        <v/>
      </c>
      <c r="P392" s="115"/>
      <c r="Q392" s="115"/>
      <c r="R392" s="115"/>
      <c r="S392" s="115"/>
      <c r="T392" s="168"/>
      <c r="U392" s="133"/>
    </row>
    <row r="393" spans="1:21" ht="12" customHeight="1" x14ac:dyDescent="0.2">
      <c r="A393" s="115"/>
      <c r="B393" s="115"/>
      <c r="C393" s="105"/>
      <c r="D393" s="105"/>
      <c r="E393" s="105"/>
      <c r="F393" s="105"/>
      <c r="G393" s="105"/>
      <c r="H393" s="105"/>
      <c r="I393" s="142" t="str">
        <f t="shared" si="30"/>
        <v/>
      </c>
      <c r="J393" s="105" t="str">
        <f t="shared" si="31"/>
        <v/>
      </c>
      <c r="K393" s="143" t="str">
        <f t="shared" si="32"/>
        <v/>
      </c>
      <c r="L393" s="106" t="str">
        <f t="shared" si="33"/>
        <v/>
      </c>
      <c r="M393" s="105" t="str">
        <f t="shared" si="34"/>
        <v/>
      </c>
      <c r="N393" s="144" t="str">
        <f t="shared" si="35"/>
        <v/>
      </c>
      <c r="O393" s="144" t="str">
        <f>IF(NOT(ISERROR(VLOOKUP(C393,Deflatores!G$42:H$64,2,FALSE))),VLOOKUP(C393,Deflatores!G$42:H$64,2,FALSE),IF(OR(ISBLANK(D393),ISBLANK(C393)),"",VLOOKUP(D393,Deflatores!G$4:H$38,2,FALSE)*K393+VLOOKUP(D393,Deflatores!G$4:I$38,3,FALSE)))</f>
        <v/>
      </c>
      <c r="P393" s="115"/>
      <c r="Q393" s="115"/>
      <c r="R393" s="115"/>
      <c r="S393" s="115"/>
      <c r="T393" s="168"/>
      <c r="U393" s="133"/>
    </row>
    <row r="394" spans="1:21" ht="12" customHeight="1" x14ac:dyDescent="0.2">
      <c r="A394" s="115"/>
      <c r="B394" s="115"/>
      <c r="C394" s="105"/>
      <c r="D394" s="105"/>
      <c r="E394" s="105"/>
      <c r="F394" s="105"/>
      <c r="G394" s="105"/>
      <c r="H394" s="105"/>
      <c r="I394" s="142" t="str">
        <f t="shared" si="30"/>
        <v/>
      </c>
      <c r="J394" s="105" t="str">
        <f t="shared" si="31"/>
        <v/>
      </c>
      <c r="K394" s="143" t="str">
        <f t="shared" si="32"/>
        <v/>
      </c>
      <c r="L394" s="106" t="str">
        <f t="shared" si="33"/>
        <v/>
      </c>
      <c r="M394" s="105" t="str">
        <f t="shared" si="34"/>
        <v/>
      </c>
      <c r="N394" s="144" t="str">
        <f t="shared" si="35"/>
        <v/>
      </c>
      <c r="O394" s="144" t="str">
        <f>IF(NOT(ISERROR(VLOOKUP(C394,Deflatores!G$42:H$64,2,FALSE))),VLOOKUP(C394,Deflatores!G$42:H$64,2,FALSE),IF(OR(ISBLANK(D394),ISBLANK(C394)),"",VLOOKUP(D394,Deflatores!G$4:H$38,2,FALSE)*K394+VLOOKUP(D394,Deflatores!G$4:I$38,3,FALSE)))</f>
        <v/>
      </c>
      <c r="P394" s="115"/>
      <c r="Q394" s="115"/>
      <c r="R394" s="115"/>
      <c r="S394" s="115"/>
      <c r="T394" s="168"/>
      <c r="U394" s="133"/>
    </row>
    <row r="395" spans="1:21" ht="12" customHeight="1" x14ac:dyDescent="0.2">
      <c r="A395" s="115"/>
      <c r="B395" s="115"/>
      <c r="C395" s="105"/>
      <c r="D395" s="105"/>
      <c r="E395" s="105"/>
      <c r="F395" s="105"/>
      <c r="G395" s="105"/>
      <c r="H395" s="105"/>
      <c r="I395" s="142" t="str">
        <f t="shared" si="30"/>
        <v/>
      </c>
      <c r="J395" s="105" t="str">
        <f t="shared" si="31"/>
        <v/>
      </c>
      <c r="K395" s="143" t="str">
        <f t="shared" si="32"/>
        <v/>
      </c>
      <c r="L395" s="106" t="str">
        <f t="shared" si="33"/>
        <v/>
      </c>
      <c r="M395" s="105" t="str">
        <f t="shared" si="34"/>
        <v/>
      </c>
      <c r="N395" s="144" t="str">
        <f t="shared" si="35"/>
        <v/>
      </c>
      <c r="O395" s="144" t="str">
        <f>IF(NOT(ISERROR(VLOOKUP(C395,Deflatores!G$42:H$64,2,FALSE))),VLOOKUP(C395,Deflatores!G$42:H$64,2,FALSE),IF(OR(ISBLANK(D395),ISBLANK(C395)),"",VLOOKUP(D395,Deflatores!G$4:H$38,2,FALSE)*K395+VLOOKUP(D395,Deflatores!G$4:I$38,3,FALSE)))</f>
        <v/>
      </c>
      <c r="P395" s="115"/>
      <c r="Q395" s="115"/>
      <c r="R395" s="115"/>
      <c r="S395" s="115"/>
      <c r="T395" s="168"/>
      <c r="U395" s="133"/>
    </row>
    <row r="396" spans="1:21" ht="12" customHeight="1" x14ac:dyDescent="0.2">
      <c r="A396" s="115"/>
      <c r="B396" s="115"/>
      <c r="C396" s="105"/>
      <c r="D396" s="105"/>
      <c r="E396" s="105"/>
      <c r="F396" s="105"/>
      <c r="G396" s="105"/>
      <c r="H396" s="105"/>
      <c r="I396" s="142" t="str">
        <f t="shared" si="30"/>
        <v/>
      </c>
      <c r="J396" s="105" t="str">
        <f t="shared" si="31"/>
        <v/>
      </c>
      <c r="K396" s="143" t="str">
        <f t="shared" si="32"/>
        <v/>
      </c>
      <c r="L396" s="106" t="str">
        <f t="shared" si="33"/>
        <v/>
      </c>
      <c r="M396" s="105" t="str">
        <f t="shared" si="34"/>
        <v/>
      </c>
      <c r="N396" s="144" t="str">
        <f t="shared" si="35"/>
        <v/>
      </c>
      <c r="O396" s="144" t="str">
        <f>IF(NOT(ISERROR(VLOOKUP(C396,Deflatores!G$42:H$64,2,FALSE))),VLOOKUP(C396,Deflatores!G$42:H$64,2,FALSE),IF(OR(ISBLANK(D396),ISBLANK(C396)),"",VLOOKUP(D396,Deflatores!G$4:H$38,2,FALSE)*K396+VLOOKUP(D396,Deflatores!G$4:I$38,3,FALSE)))</f>
        <v/>
      </c>
      <c r="P396" s="115"/>
      <c r="Q396" s="115"/>
      <c r="R396" s="115"/>
      <c r="S396" s="115"/>
      <c r="T396" s="168"/>
      <c r="U396" s="133"/>
    </row>
    <row r="397" spans="1:21" ht="12" customHeight="1" x14ac:dyDescent="0.2">
      <c r="A397" s="115"/>
      <c r="B397" s="115"/>
      <c r="C397" s="105"/>
      <c r="D397" s="105"/>
      <c r="E397" s="105"/>
      <c r="F397" s="105"/>
      <c r="G397" s="105"/>
      <c r="H397" s="105"/>
      <c r="I397" s="142" t="str">
        <f t="shared" si="30"/>
        <v/>
      </c>
      <c r="J397" s="105" t="str">
        <f t="shared" si="31"/>
        <v/>
      </c>
      <c r="K397" s="143" t="str">
        <f t="shared" si="32"/>
        <v/>
      </c>
      <c r="L397" s="106" t="str">
        <f t="shared" si="33"/>
        <v/>
      </c>
      <c r="M397" s="105" t="str">
        <f t="shared" si="34"/>
        <v/>
      </c>
      <c r="N397" s="144" t="str">
        <f t="shared" si="35"/>
        <v/>
      </c>
      <c r="O397" s="144" t="str">
        <f>IF(NOT(ISERROR(VLOOKUP(C397,Deflatores!G$42:H$64,2,FALSE))),VLOOKUP(C397,Deflatores!G$42:H$64,2,FALSE),IF(OR(ISBLANK(D397),ISBLANK(C397)),"",VLOOKUP(D397,Deflatores!G$4:H$38,2,FALSE)*K397+VLOOKUP(D397,Deflatores!G$4:I$38,3,FALSE)))</f>
        <v/>
      </c>
      <c r="P397" s="115"/>
      <c r="Q397" s="115"/>
      <c r="R397" s="115"/>
      <c r="S397" s="115"/>
      <c r="T397" s="168"/>
      <c r="U397" s="133"/>
    </row>
    <row r="398" spans="1:21" ht="12" customHeight="1" x14ac:dyDescent="0.2">
      <c r="A398" s="115"/>
      <c r="B398" s="115"/>
      <c r="C398" s="105"/>
      <c r="D398" s="105"/>
      <c r="E398" s="105"/>
      <c r="F398" s="105"/>
      <c r="G398" s="105"/>
      <c r="H398" s="105"/>
      <c r="I398" s="142" t="str">
        <f t="shared" ref="I398:I461" si="36">IF(ISBLANK(C398),"",IF(L398="L","Baixa",IF(L398="A","Média",IF(L398="","","Alta"))))</f>
        <v/>
      </c>
      <c r="J398" s="105" t="str">
        <f t="shared" ref="J398:J461" si="37">CONCATENATE(C398,L398)</f>
        <v/>
      </c>
      <c r="K398" s="143" t="str">
        <f t="shared" ref="K398:K461" si="38">IF(ISBLANK(C398),"",IF(C398="ALI",IF(L398="L",7,IF(L398="A",10,15)),IF(C398="AIE",IF(L398="L",5,IF(L398="A",7,10)),IF(C398="SE",IF(L398="L",4,IF(L398="A",5,7)),IF(OR(C398="EE",C398="CE"),IF(L398="L",3,IF(L398="A",4,6)),0)))))</f>
        <v/>
      </c>
      <c r="L398" s="106" t="str">
        <f t="shared" ref="L398:L461" si="39">IF(OR(ISBLANK(E398),ISBLANK(G398)),IF(OR(C398="ALI",C398="AIE"),"L",IF(OR(C398="EE",C398="SE",C398="CE"),"A","")),IF(C398="EE",IF(G398&gt;=3,IF(E398&gt;=5,"H","A"),IF(G398&gt;=2,IF(E398&gt;=16,"H",IF(E398&lt;=4,"L","A")),IF(E398&lt;=15,"L","A"))),IF(OR(C398="SE",C398="CE"),IF(G398&gt;=4,IF(E398&gt;=6,"H","A"),IF(G398&gt;=2,IF(E398&gt;=20,"H",IF(E398&lt;=5,"L","A")),IF(E398&lt;=19,"L","A"))),IF(OR(C398="ALI",C398="AIE"),IF(G398&gt;=6,IF(E398&gt;=20,"H","A"),IF(G398&gt;=2,IF(E398&gt;=51,"H",IF(E398&lt;=19,"L","A")),IF(E398&lt;=50,"L","A"))),""))))</f>
        <v/>
      </c>
      <c r="M398" s="105" t="str">
        <f t="shared" ref="M398:M461" si="40">CONCATENATE(C398,D398)</f>
        <v/>
      </c>
      <c r="N398" s="144" t="str">
        <f t="shared" ref="N398:N461" si="41">IF(OR(K398="",K398=0),O398,K398)</f>
        <v/>
      </c>
      <c r="O398" s="144" t="str">
        <f>IF(NOT(ISERROR(VLOOKUP(C398,Deflatores!G$42:H$64,2,FALSE))),VLOOKUP(C398,Deflatores!G$42:H$64,2,FALSE),IF(OR(ISBLANK(D398),ISBLANK(C398)),"",VLOOKUP(D398,Deflatores!G$4:H$38,2,FALSE)*K398+VLOOKUP(D398,Deflatores!G$4:I$38,3,FALSE)))</f>
        <v/>
      </c>
      <c r="P398" s="115"/>
      <c r="Q398" s="115"/>
      <c r="R398" s="115"/>
      <c r="S398" s="115"/>
      <c r="T398" s="168"/>
      <c r="U398" s="133"/>
    </row>
    <row r="399" spans="1:21" ht="12" customHeight="1" x14ac:dyDescent="0.2">
      <c r="A399" s="115"/>
      <c r="B399" s="115"/>
      <c r="C399" s="105"/>
      <c r="D399" s="105"/>
      <c r="E399" s="105"/>
      <c r="F399" s="105"/>
      <c r="G399" s="105"/>
      <c r="H399" s="105"/>
      <c r="I399" s="142" t="str">
        <f t="shared" si="36"/>
        <v/>
      </c>
      <c r="J399" s="105" t="str">
        <f t="shared" si="37"/>
        <v/>
      </c>
      <c r="K399" s="143" t="str">
        <f t="shared" si="38"/>
        <v/>
      </c>
      <c r="L399" s="106" t="str">
        <f t="shared" si="39"/>
        <v/>
      </c>
      <c r="M399" s="105" t="str">
        <f t="shared" si="40"/>
        <v/>
      </c>
      <c r="N399" s="144" t="str">
        <f t="shared" si="41"/>
        <v/>
      </c>
      <c r="O399" s="144" t="str">
        <f>IF(NOT(ISERROR(VLOOKUP(C399,Deflatores!G$42:H$64,2,FALSE))),VLOOKUP(C399,Deflatores!G$42:H$64,2,FALSE),IF(OR(ISBLANK(D399),ISBLANK(C399)),"",VLOOKUP(D399,Deflatores!G$4:H$38,2,FALSE)*K399+VLOOKUP(D399,Deflatores!G$4:I$38,3,FALSE)))</f>
        <v/>
      </c>
      <c r="P399" s="115"/>
      <c r="Q399" s="115"/>
      <c r="R399" s="115"/>
      <c r="S399" s="115"/>
      <c r="T399" s="168"/>
      <c r="U399" s="133"/>
    </row>
    <row r="400" spans="1:21" ht="12" customHeight="1" x14ac:dyDescent="0.2">
      <c r="A400" s="115"/>
      <c r="B400" s="115"/>
      <c r="C400" s="105"/>
      <c r="D400" s="105"/>
      <c r="E400" s="105"/>
      <c r="F400" s="105"/>
      <c r="G400" s="105"/>
      <c r="H400" s="105"/>
      <c r="I400" s="142" t="str">
        <f t="shared" si="36"/>
        <v/>
      </c>
      <c r="J400" s="105" t="str">
        <f t="shared" si="37"/>
        <v/>
      </c>
      <c r="K400" s="143" t="str">
        <f t="shared" si="38"/>
        <v/>
      </c>
      <c r="L400" s="106" t="str">
        <f t="shared" si="39"/>
        <v/>
      </c>
      <c r="M400" s="105" t="str">
        <f t="shared" si="40"/>
        <v/>
      </c>
      <c r="N400" s="144" t="str">
        <f t="shared" si="41"/>
        <v/>
      </c>
      <c r="O400" s="144" t="str">
        <f>IF(NOT(ISERROR(VLOOKUP(C400,Deflatores!G$42:H$64,2,FALSE))),VLOOKUP(C400,Deflatores!G$42:H$64,2,FALSE),IF(OR(ISBLANK(D400),ISBLANK(C400)),"",VLOOKUP(D400,Deflatores!G$4:H$38,2,FALSE)*K400+VLOOKUP(D400,Deflatores!G$4:I$38,3,FALSE)))</f>
        <v/>
      </c>
      <c r="P400" s="115"/>
      <c r="Q400" s="115"/>
      <c r="R400" s="115"/>
      <c r="S400" s="115"/>
      <c r="T400" s="168"/>
      <c r="U400" s="133"/>
    </row>
    <row r="401" spans="1:21" ht="12" customHeight="1" x14ac:dyDescent="0.2">
      <c r="A401" s="115"/>
      <c r="B401" s="115"/>
      <c r="C401" s="105"/>
      <c r="D401" s="105"/>
      <c r="E401" s="105"/>
      <c r="F401" s="105"/>
      <c r="G401" s="105"/>
      <c r="H401" s="105"/>
      <c r="I401" s="142" t="str">
        <f t="shared" si="36"/>
        <v/>
      </c>
      <c r="J401" s="105" t="str">
        <f t="shared" si="37"/>
        <v/>
      </c>
      <c r="K401" s="143" t="str">
        <f t="shared" si="38"/>
        <v/>
      </c>
      <c r="L401" s="106" t="str">
        <f t="shared" si="39"/>
        <v/>
      </c>
      <c r="M401" s="105" t="str">
        <f t="shared" si="40"/>
        <v/>
      </c>
      <c r="N401" s="144" t="str">
        <f t="shared" si="41"/>
        <v/>
      </c>
      <c r="O401" s="144" t="str">
        <f>IF(NOT(ISERROR(VLOOKUP(C401,Deflatores!G$42:H$64,2,FALSE))),VLOOKUP(C401,Deflatores!G$42:H$64,2,FALSE),IF(OR(ISBLANK(D401),ISBLANK(C401)),"",VLOOKUP(D401,Deflatores!G$4:H$38,2,FALSE)*K401+VLOOKUP(D401,Deflatores!G$4:I$38,3,FALSE)))</f>
        <v/>
      </c>
      <c r="P401" s="115"/>
      <c r="Q401" s="115"/>
      <c r="R401" s="115"/>
      <c r="S401" s="115"/>
      <c r="T401" s="168"/>
      <c r="U401" s="133"/>
    </row>
    <row r="402" spans="1:21" ht="12" customHeight="1" x14ac:dyDescent="0.2">
      <c r="A402" s="115"/>
      <c r="B402" s="115"/>
      <c r="C402" s="105"/>
      <c r="D402" s="105"/>
      <c r="E402" s="105"/>
      <c r="F402" s="105"/>
      <c r="G402" s="105"/>
      <c r="H402" s="105"/>
      <c r="I402" s="142" t="str">
        <f t="shared" si="36"/>
        <v/>
      </c>
      <c r="J402" s="105" t="str">
        <f t="shared" si="37"/>
        <v/>
      </c>
      <c r="K402" s="143" t="str">
        <f t="shared" si="38"/>
        <v/>
      </c>
      <c r="L402" s="106" t="str">
        <f t="shared" si="39"/>
        <v/>
      </c>
      <c r="M402" s="105" t="str">
        <f t="shared" si="40"/>
        <v/>
      </c>
      <c r="N402" s="144" t="str">
        <f t="shared" si="41"/>
        <v/>
      </c>
      <c r="O402" s="144" t="str">
        <f>IF(NOT(ISERROR(VLOOKUP(C402,Deflatores!G$42:H$64,2,FALSE))),VLOOKUP(C402,Deflatores!G$42:H$64,2,FALSE),IF(OR(ISBLANK(D402),ISBLANK(C402)),"",VLOOKUP(D402,Deflatores!G$4:H$38,2,FALSE)*K402+VLOOKUP(D402,Deflatores!G$4:I$38,3,FALSE)))</f>
        <v/>
      </c>
      <c r="P402" s="115"/>
      <c r="Q402" s="115"/>
      <c r="R402" s="115"/>
      <c r="S402" s="115"/>
      <c r="T402" s="168"/>
      <c r="U402" s="133"/>
    </row>
    <row r="403" spans="1:21" ht="12" customHeight="1" x14ac:dyDescent="0.2">
      <c r="A403" s="115"/>
      <c r="B403" s="115"/>
      <c r="C403" s="105"/>
      <c r="D403" s="105"/>
      <c r="E403" s="105"/>
      <c r="F403" s="105"/>
      <c r="G403" s="105"/>
      <c r="H403" s="105"/>
      <c r="I403" s="142" t="str">
        <f t="shared" si="36"/>
        <v/>
      </c>
      <c r="J403" s="105" t="str">
        <f t="shared" si="37"/>
        <v/>
      </c>
      <c r="K403" s="143" t="str">
        <f t="shared" si="38"/>
        <v/>
      </c>
      <c r="L403" s="106" t="str">
        <f t="shared" si="39"/>
        <v/>
      </c>
      <c r="M403" s="105" t="str">
        <f t="shared" si="40"/>
        <v/>
      </c>
      <c r="N403" s="144" t="str">
        <f t="shared" si="41"/>
        <v/>
      </c>
      <c r="O403" s="144" t="str">
        <f>IF(NOT(ISERROR(VLOOKUP(C403,Deflatores!G$42:H$64,2,FALSE))),VLOOKUP(C403,Deflatores!G$42:H$64,2,FALSE),IF(OR(ISBLANK(D403),ISBLANK(C403)),"",VLOOKUP(D403,Deflatores!G$4:H$38,2,FALSE)*K403+VLOOKUP(D403,Deflatores!G$4:I$38,3,FALSE)))</f>
        <v/>
      </c>
      <c r="P403" s="115"/>
      <c r="Q403" s="115"/>
      <c r="R403" s="115"/>
      <c r="S403" s="115"/>
      <c r="T403" s="168"/>
      <c r="U403" s="133"/>
    </row>
    <row r="404" spans="1:21" ht="12" customHeight="1" x14ac:dyDescent="0.2">
      <c r="A404" s="115"/>
      <c r="B404" s="115"/>
      <c r="C404" s="105"/>
      <c r="D404" s="105"/>
      <c r="E404" s="105"/>
      <c r="F404" s="105"/>
      <c r="G404" s="105"/>
      <c r="H404" s="105"/>
      <c r="I404" s="142" t="str">
        <f t="shared" si="36"/>
        <v/>
      </c>
      <c r="J404" s="105" t="str">
        <f t="shared" si="37"/>
        <v/>
      </c>
      <c r="K404" s="143" t="str">
        <f t="shared" si="38"/>
        <v/>
      </c>
      <c r="L404" s="106" t="str">
        <f t="shared" si="39"/>
        <v/>
      </c>
      <c r="M404" s="105" t="str">
        <f t="shared" si="40"/>
        <v/>
      </c>
      <c r="N404" s="144" t="str">
        <f t="shared" si="41"/>
        <v/>
      </c>
      <c r="O404" s="144" t="str">
        <f>IF(NOT(ISERROR(VLOOKUP(C404,Deflatores!G$42:H$64,2,FALSE))),VLOOKUP(C404,Deflatores!G$42:H$64,2,FALSE),IF(OR(ISBLANK(D404),ISBLANK(C404)),"",VLOOKUP(D404,Deflatores!G$4:H$38,2,FALSE)*K404+VLOOKUP(D404,Deflatores!G$4:I$38,3,FALSE)))</f>
        <v/>
      </c>
      <c r="P404" s="115"/>
      <c r="Q404" s="115"/>
      <c r="R404" s="115"/>
      <c r="S404" s="115"/>
      <c r="T404" s="168"/>
      <c r="U404" s="133"/>
    </row>
    <row r="405" spans="1:21" ht="12" customHeight="1" x14ac:dyDescent="0.2">
      <c r="A405" s="115"/>
      <c r="B405" s="115"/>
      <c r="C405" s="105"/>
      <c r="D405" s="105"/>
      <c r="E405" s="105"/>
      <c r="F405" s="105"/>
      <c r="G405" s="105"/>
      <c r="H405" s="105"/>
      <c r="I405" s="142" t="str">
        <f t="shared" si="36"/>
        <v/>
      </c>
      <c r="J405" s="105" t="str">
        <f t="shared" si="37"/>
        <v/>
      </c>
      <c r="K405" s="143" t="str">
        <f t="shared" si="38"/>
        <v/>
      </c>
      <c r="L405" s="106" t="str">
        <f t="shared" si="39"/>
        <v/>
      </c>
      <c r="M405" s="105" t="str">
        <f t="shared" si="40"/>
        <v/>
      </c>
      <c r="N405" s="144" t="str">
        <f t="shared" si="41"/>
        <v/>
      </c>
      <c r="O405" s="144" t="str">
        <f>IF(NOT(ISERROR(VLOOKUP(C405,Deflatores!G$42:H$64,2,FALSE))),VLOOKUP(C405,Deflatores!G$42:H$64,2,FALSE),IF(OR(ISBLANK(D405),ISBLANK(C405)),"",VLOOKUP(D405,Deflatores!G$4:H$38,2,FALSE)*K405+VLOOKUP(D405,Deflatores!G$4:I$38,3,FALSE)))</f>
        <v/>
      </c>
      <c r="P405" s="115"/>
      <c r="Q405" s="115"/>
      <c r="R405" s="115"/>
      <c r="S405" s="115"/>
      <c r="T405" s="168"/>
      <c r="U405" s="133"/>
    </row>
    <row r="406" spans="1:21" ht="12" customHeight="1" x14ac:dyDescent="0.2">
      <c r="A406" s="115"/>
      <c r="B406" s="115"/>
      <c r="C406" s="105"/>
      <c r="D406" s="105"/>
      <c r="E406" s="105"/>
      <c r="F406" s="105"/>
      <c r="G406" s="105"/>
      <c r="H406" s="105"/>
      <c r="I406" s="142" t="str">
        <f t="shared" si="36"/>
        <v/>
      </c>
      <c r="J406" s="105" t="str">
        <f t="shared" si="37"/>
        <v/>
      </c>
      <c r="K406" s="143" t="str">
        <f t="shared" si="38"/>
        <v/>
      </c>
      <c r="L406" s="106" t="str">
        <f t="shared" si="39"/>
        <v/>
      </c>
      <c r="M406" s="105" t="str">
        <f t="shared" si="40"/>
        <v/>
      </c>
      <c r="N406" s="144" t="str">
        <f t="shared" si="41"/>
        <v/>
      </c>
      <c r="O406" s="144" t="str">
        <f>IF(NOT(ISERROR(VLOOKUP(C406,Deflatores!G$42:H$64,2,FALSE))),VLOOKUP(C406,Deflatores!G$42:H$64,2,FALSE),IF(OR(ISBLANK(D406),ISBLANK(C406)),"",VLOOKUP(D406,Deflatores!G$4:H$38,2,FALSE)*K406+VLOOKUP(D406,Deflatores!G$4:I$38,3,FALSE)))</f>
        <v/>
      </c>
      <c r="P406" s="115"/>
      <c r="Q406" s="115"/>
      <c r="R406" s="115"/>
      <c r="S406" s="115"/>
      <c r="T406" s="168"/>
      <c r="U406" s="133"/>
    </row>
    <row r="407" spans="1:21" ht="12" customHeight="1" x14ac:dyDescent="0.2">
      <c r="A407" s="115"/>
      <c r="B407" s="115"/>
      <c r="C407" s="105"/>
      <c r="D407" s="105"/>
      <c r="E407" s="105"/>
      <c r="F407" s="105"/>
      <c r="G407" s="105"/>
      <c r="H407" s="105"/>
      <c r="I407" s="142" t="str">
        <f t="shared" si="36"/>
        <v/>
      </c>
      <c r="J407" s="105" t="str">
        <f t="shared" si="37"/>
        <v/>
      </c>
      <c r="K407" s="143" t="str">
        <f t="shared" si="38"/>
        <v/>
      </c>
      <c r="L407" s="106" t="str">
        <f t="shared" si="39"/>
        <v/>
      </c>
      <c r="M407" s="105" t="str">
        <f t="shared" si="40"/>
        <v/>
      </c>
      <c r="N407" s="144" t="str">
        <f t="shared" si="41"/>
        <v/>
      </c>
      <c r="O407" s="144" t="str">
        <f>IF(NOT(ISERROR(VLOOKUP(C407,Deflatores!G$42:H$64,2,FALSE))),VLOOKUP(C407,Deflatores!G$42:H$64,2,FALSE),IF(OR(ISBLANK(D407),ISBLANK(C407)),"",VLOOKUP(D407,Deflatores!G$4:H$38,2,FALSE)*K407+VLOOKUP(D407,Deflatores!G$4:I$38,3,FALSE)))</f>
        <v/>
      </c>
      <c r="P407" s="115"/>
      <c r="Q407" s="115"/>
      <c r="R407" s="115"/>
      <c r="S407" s="115"/>
      <c r="T407" s="168"/>
      <c r="U407" s="133"/>
    </row>
    <row r="408" spans="1:21" x14ac:dyDescent="0.2">
      <c r="A408" s="115"/>
      <c r="B408" s="115"/>
      <c r="C408" s="105"/>
      <c r="D408" s="105"/>
      <c r="E408" s="105"/>
      <c r="F408" s="105"/>
      <c r="G408" s="105"/>
      <c r="H408" s="105"/>
      <c r="I408" s="142" t="str">
        <f t="shared" si="36"/>
        <v/>
      </c>
      <c r="J408" s="105" t="str">
        <f t="shared" si="37"/>
        <v/>
      </c>
      <c r="K408" s="143" t="str">
        <f t="shared" si="38"/>
        <v/>
      </c>
      <c r="L408" s="106" t="str">
        <f t="shared" si="39"/>
        <v/>
      </c>
      <c r="M408" s="105" t="str">
        <f t="shared" si="40"/>
        <v/>
      </c>
      <c r="N408" s="144" t="str">
        <f t="shared" si="41"/>
        <v/>
      </c>
      <c r="O408" s="144" t="str">
        <f>IF(NOT(ISERROR(VLOOKUP(C408,Deflatores!G$42:H$64,2,FALSE))),VLOOKUP(C408,Deflatores!G$42:H$64,2,FALSE),IF(OR(ISBLANK(D408),ISBLANK(C408)),"",VLOOKUP(D408,Deflatores!G$4:H$38,2,FALSE)*K408+VLOOKUP(D408,Deflatores!G$4:I$38,3,FALSE)))</f>
        <v/>
      </c>
      <c r="P408" s="115"/>
      <c r="Q408" s="115"/>
      <c r="R408" s="115"/>
      <c r="S408" s="115"/>
      <c r="T408" s="168"/>
      <c r="U408" s="133"/>
    </row>
    <row r="409" spans="1:21" x14ac:dyDescent="0.2">
      <c r="A409" s="115"/>
      <c r="B409" s="115"/>
      <c r="C409" s="105"/>
      <c r="D409" s="105"/>
      <c r="E409" s="105"/>
      <c r="F409" s="105"/>
      <c r="G409" s="105"/>
      <c r="H409" s="105"/>
      <c r="I409" s="142" t="str">
        <f t="shared" si="36"/>
        <v/>
      </c>
      <c r="J409" s="105" t="str">
        <f t="shared" si="37"/>
        <v/>
      </c>
      <c r="K409" s="143" t="str">
        <f t="shared" si="38"/>
        <v/>
      </c>
      <c r="L409" s="106" t="str">
        <f t="shared" si="39"/>
        <v/>
      </c>
      <c r="M409" s="105" t="str">
        <f t="shared" si="40"/>
        <v/>
      </c>
      <c r="N409" s="144" t="str">
        <f t="shared" si="41"/>
        <v/>
      </c>
      <c r="O409" s="144" t="str">
        <f>IF(NOT(ISERROR(VLOOKUP(C409,Deflatores!G$42:H$64,2,FALSE))),VLOOKUP(C409,Deflatores!G$42:H$64,2,FALSE),IF(OR(ISBLANK(D409),ISBLANK(C409)),"",VLOOKUP(D409,Deflatores!G$4:H$38,2,FALSE)*K409+VLOOKUP(D409,Deflatores!G$4:I$38,3,FALSE)))</f>
        <v/>
      </c>
      <c r="P409" s="115"/>
      <c r="Q409" s="115"/>
      <c r="R409" s="115"/>
      <c r="S409" s="115"/>
      <c r="T409" s="168"/>
      <c r="U409" s="133"/>
    </row>
    <row r="410" spans="1:21" x14ac:dyDescent="0.2">
      <c r="A410" s="115"/>
      <c r="B410" s="115"/>
      <c r="C410" s="105"/>
      <c r="D410" s="105"/>
      <c r="E410" s="105"/>
      <c r="F410" s="105"/>
      <c r="G410" s="105"/>
      <c r="H410" s="105"/>
      <c r="I410" s="142" t="str">
        <f t="shared" si="36"/>
        <v/>
      </c>
      <c r="J410" s="105" t="str">
        <f t="shared" si="37"/>
        <v/>
      </c>
      <c r="K410" s="143" t="str">
        <f t="shared" si="38"/>
        <v/>
      </c>
      <c r="L410" s="106" t="str">
        <f t="shared" si="39"/>
        <v/>
      </c>
      <c r="M410" s="105" t="str">
        <f t="shared" si="40"/>
        <v/>
      </c>
      <c r="N410" s="144" t="str">
        <f t="shared" si="41"/>
        <v/>
      </c>
      <c r="O410" s="144" t="str">
        <f>IF(NOT(ISERROR(VLOOKUP(C410,Deflatores!G$42:H$64,2,FALSE))),VLOOKUP(C410,Deflatores!G$42:H$64,2,FALSE),IF(OR(ISBLANK(D410),ISBLANK(C410)),"",VLOOKUP(D410,Deflatores!G$4:H$38,2,FALSE)*K410+VLOOKUP(D410,Deflatores!G$4:I$38,3,FALSE)))</f>
        <v/>
      </c>
      <c r="P410" s="115"/>
      <c r="Q410" s="115"/>
      <c r="R410" s="115"/>
      <c r="S410" s="115"/>
      <c r="T410" s="168"/>
      <c r="U410" s="133"/>
    </row>
    <row r="411" spans="1:21" x14ac:dyDescent="0.2">
      <c r="A411" s="115"/>
      <c r="B411" s="115"/>
      <c r="C411" s="105"/>
      <c r="D411" s="105"/>
      <c r="E411" s="105"/>
      <c r="F411" s="105"/>
      <c r="G411" s="105"/>
      <c r="H411" s="105"/>
      <c r="I411" s="142" t="str">
        <f t="shared" si="36"/>
        <v/>
      </c>
      <c r="J411" s="105" t="str">
        <f t="shared" si="37"/>
        <v/>
      </c>
      <c r="K411" s="143" t="str">
        <f t="shared" si="38"/>
        <v/>
      </c>
      <c r="L411" s="106" t="str">
        <f t="shared" si="39"/>
        <v/>
      </c>
      <c r="M411" s="105" t="str">
        <f t="shared" si="40"/>
        <v/>
      </c>
      <c r="N411" s="144" t="str">
        <f t="shared" si="41"/>
        <v/>
      </c>
      <c r="O411" s="144" t="str">
        <f>IF(NOT(ISERROR(VLOOKUP(C411,Deflatores!G$42:H$64,2,FALSE))),VLOOKUP(C411,Deflatores!G$42:H$64,2,FALSE),IF(OR(ISBLANK(D411),ISBLANK(C411)),"",VLOOKUP(D411,Deflatores!G$4:H$38,2,FALSE)*K411+VLOOKUP(D411,Deflatores!G$4:I$38,3,FALSE)))</f>
        <v/>
      </c>
      <c r="P411" s="115"/>
      <c r="Q411" s="115"/>
      <c r="R411" s="115"/>
      <c r="S411" s="115"/>
      <c r="T411" s="168"/>
      <c r="U411" s="133"/>
    </row>
    <row r="412" spans="1:21" x14ac:dyDescent="0.2">
      <c r="A412" s="115"/>
      <c r="B412" s="115"/>
      <c r="C412" s="105"/>
      <c r="D412" s="105"/>
      <c r="E412" s="105"/>
      <c r="F412" s="105"/>
      <c r="G412" s="105"/>
      <c r="H412" s="105"/>
      <c r="I412" s="142" t="str">
        <f t="shared" si="36"/>
        <v/>
      </c>
      <c r="J412" s="105" t="str">
        <f t="shared" si="37"/>
        <v/>
      </c>
      <c r="K412" s="143" t="str">
        <f t="shared" si="38"/>
        <v/>
      </c>
      <c r="L412" s="106" t="str">
        <f t="shared" si="39"/>
        <v/>
      </c>
      <c r="M412" s="105" t="str">
        <f t="shared" si="40"/>
        <v/>
      </c>
      <c r="N412" s="144" t="str">
        <f t="shared" si="41"/>
        <v/>
      </c>
      <c r="O412" s="144" t="str">
        <f>IF(NOT(ISERROR(VLOOKUP(C412,Deflatores!G$42:H$64,2,FALSE))),VLOOKUP(C412,Deflatores!G$42:H$64,2,FALSE),IF(OR(ISBLANK(D412),ISBLANK(C412)),"",VLOOKUP(D412,Deflatores!G$4:H$38,2,FALSE)*K412+VLOOKUP(D412,Deflatores!G$4:I$38,3,FALSE)))</f>
        <v/>
      </c>
      <c r="P412" s="115"/>
      <c r="Q412" s="115"/>
      <c r="R412" s="115"/>
      <c r="S412" s="115"/>
      <c r="T412" s="168"/>
      <c r="U412" s="133"/>
    </row>
    <row r="413" spans="1:21" x14ac:dyDescent="0.2">
      <c r="A413" s="115"/>
      <c r="B413" s="115"/>
      <c r="C413" s="105"/>
      <c r="D413" s="105"/>
      <c r="E413" s="105"/>
      <c r="F413" s="105"/>
      <c r="G413" s="105"/>
      <c r="H413" s="105"/>
      <c r="I413" s="142" t="str">
        <f t="shared" si="36"/>
        <v/>
      </c>
      <c r="J413" s="105" t="str">
        <f t="shared" si="37"/>
        <v/>
      </c>
      <c r="K413" s="143" t="str">
        <f t="shared" si="38"/>
        <v/>
      </c>
      <c r="L413" s="106" t="str">
        <f t="shared" si="39"/>
        <v/>
      </c>
      <c r="M413" s="105" t="str">
        <f t="shared" si="40"/>
        <v/>
      </c>
      <c r="N413" s="144" t="str">
        <f t="shared" si="41"/>
        <v/>
      </c>
      <c r="O413" s="144" t="str">
        <f>IF(NOT(ISERROR(VLOOKUP(C413,Deflatores!G$42:H$64,2,FALSE))),VLOOKUP(C413,Deflatores!G$42:H$64,2,FALSE),IF(OR(ISBLANK(D413),ISBLANK(C413)),"",VLOOKUP(D413,Deflatores!G$4:H$38,2,FALSE)*K413+VLOOKUP(D413,Deflatores!G$4:I$38,3,FALSE)))</f>
        <v/>
      </c>
      <c r="P413" s="115"/>
      <c r="Q413" s="115"/>
      <c r="R413" s="115"/>
      <c r="S413" s="115"/>
      <c r="T413" s="168"/>
      <c r="U413" s="133"/>
    </row>
    <row r="414" spans="1:21" x14ac:dyDescent="0.2">
      <c r="A414" s="115"/>
      <c r="B414" s="115"/>
      <c r="C414" s="105"/>
      <c r="D414" s="105"/>
      <c r="E414" s="105"/>
      <c r="F414" s="105"/>
      <c r="G414" s="105"/>
      <c r="H414" s="105"/>
      <c r="I414" s="142" t="str">
        <f t="shared" si="36"/>
        <v/>
      </c>
      <c r="J414" s="105" t="str">
        <f t="shared" si="37"/>
        <v/>
      </c>
      <c r="K414" s="143" t="str">
        <f t="shared" si="38"/>
        <v/>
      </c>
      <c r="L414" s="106" t="str">
        <f t="shared" si="39"/>
        <v/>
      </c>
      <c r="M414" s="105" t="str">
        <f t="shared" si="40"/>
        <v/>
      </c>
      <c r="N414" s="144" t="str">
        <f t="shared" si="41"/>
        <v/>
      </c>
      <c r="O414" s="144" t="str">
        <f>IF(NOT(ISERROR(VLOOKUP(C414,Deflatores!G$42:H$64,2,FALSE))),VLOOKUP(C414,Deflatores!G$42:H$64,2,FALSE),IF(OR(ISBLANK(D414),ISBLANK(C414)),"",VLOOKUP(D414,Deflatores!G$4:H$38,2,FALSE)*K414+VLOOKUP(D414,Deflatores!G$4:I$38,3,FALSE)))</f>
        <v/>
      </c>
      <c r="P414" s="115"/>
      <c r="Q414" s="115"/>
      <c r="R414" s="115"/>
      <c r="S414" s="115"/>
      <c r="T414" s="168"/>
      <c r="U414" s="133"/>
    </row>
    <row r="415" spans="1:21" x14ac:dyDescent="0.2">
      <c r="A415" s="115"/>
      <c r="B415" s="115"/>
      <c r="C415" s="105"/>
      <c r="D415" s="105"/>
      <c r="E415" s="105"/>
      <c r="F415" s="105"/>
      <c r="G415" s="105"/>
      <c r="H415" s="105"/>
      <c r="I415" s="142" t="str">
        <f t="shared" si="36"/>
        <v/>
      </c>
      <c r="J415" s="105" t="str">
        <f t="shared" si="37"/>
        <v/>
      </c>
      <c r="K415" s="143" t="str">
        <f t="shared" si="38"/>
        <v/>
      </c>
      <c r="L415" s="106" t="str">
        <f t="shared" si="39"/>
        <v/>
      </c>
      <c r="M415" s="105" t="str">
        <f t="shared" si="40"/>
        <v/>
      </c>
      <c r="N415" s="144" t="str">
        <f t="shared" si="41"/>
        <v/>
      </c>
      <c r="O415" s="144" t="str">
        <f>IF(NOT(ISERROR(VLOOKUP(C415,Deflatores!G$42:H$64,2,FALSE))),VLOOKUP(C415,Deflatores!G$42:H$64,2,FALSE),IF(OR(ISBLANK(D415),ISBLANK(C415)),"",VLOOKUP(D415,Deflatores!G$4:H$38,2,FALSE)*K415+VLOOKUP(D415,Deflatores!G$4:I$38,3,FALSE)))</f>
        <v/>
      </c>
      <c r="P415" s="115"/>
      <c r="Q415" s="115"/>
      <c r="R415" s="115"/>
      <c r="S415" s="115"/>
      <c r="T415" s="168"/>
      <c r="U415" s="133"/>
    </row>
    <row r="416" spans="1:21" x14ac:dyDescent="0.2">
      <c r="A416" s="115"/>
      <c r="B416" s="115"/>
      <c r="C416" s="105"/>
      <c r="D416" s="105"/>
      <c r="E416" s="105"/>
      <c r="F416" s="105"/>
      <c r="G416" s="105"/>
      <c r="H416" s="105"/>
      <c r="I416" s="142" t="str">
        <f t="shared" si="36"/>
        <v/>
      </c>
      <c r="J416" s="105" t="str">
        <f t="shared" si="37"/>
        <v/>
      </c>
      <c r="K416" s="143" t="str">
        <f t="shared" si="38"/>
        <v/>
      </c>
      <c r="L416" s="106" t="str">
        <f t="shared" si="39"/>
        <v/>
      </c>
      <c r="M416" s="105" t="str">
        <f t="shared" si="40"/>
        <v/>
      </c>
      <c r="N416" s="144" t="str">
        <f t="shared" si="41"/>
        <v/>
      </c>
      <c r="O416" s="144" t="str">
        <f>IF(NOT(ISERROR(VLOOKUP(C416,Deflatores!G$42:H$64,2,FALSE))),VLOOKUP(C416,Deflatores!G$42:H$64,2,FALSE),IF(OR(ISBLANK(D416),ISBLANK(C416)),"",VLOOKUP(D416,Deflatores!G$4:H$38,2,FALSE)*K416+VLOOKUP(D416,Deflatores!G$4:I$38,3,FALSE)))</f>
        <v/>
      </c>
      <c r="P416" s="115"/>
      <c r="Q416" s="115"/>
      <c r="R416" s="115"/>
      <c r="S416" s="115"/>
      <c r="T416" s="168"/>
      <c r="U416" s="133"/>
    </row>
    <row r="417" spans="1:21" x14ac:dyDescent="0.2">
      <c r="A417" s="115"/>
      <c r="B417" s="115"/>
      <c r="C417" s="105"/>
      <c r="D417" s="105"/>
      <c r="E417" s="105"/>
      <c r="F417" s="105"/>
      <c r="G417" s="105"/>
      <c r="H417" s="105"/>
      <c r="I417" s="142" t="str">
        <f t="shared" si="36"/>
        <v/>
      </c>
      <c r="J417" s="105" t="str">
        <f t="shared" si="37"/>
        <v/>
      </c>
      <c r="K417" s="143" t="str">
        <f t="shared" si="38"/>
        <v/>
      </c>
      <c r="L417" s="106" t="str">
        <f t="shared" si="39"/>
        <v/>
      </c>
      <c r="M417" s="105" t="str">
        <f t="shared" si="40"/>
        <v/>
      </c>
      <c r="N417" s="144" t="str">
        <f t="shared" si="41"/>
        <v/>
      </c>
      <c r="O417" s="144" t="str">
        <f>IF(NOT(ISERROR(VLOOKUP(C417,Deflatores!G$42:H$64,2,FALSE))),VLOOKUP(C417,Deflatores!G$42:H$64,2,FALSE),IF(OR(ISBLANK(D417),ISBLANK(C417)),"",VLOOKUP(D417,Deflatores!G$4:H$38,2,FALSE)*K417+VLOOKUP(D417,Deflatores!G$4:I$38,3,FALSE)))</f>
        <v/>
      </c>
      <c r="P417" s="115"/>
      <c r="Q417" s="115"/>
      <c r="R417" s="115"/>
      <c r="S417" s="115"/>
      <c r="T417" s="168"/>
      <c r="U417" s="133"/>
    </row>
    <row r="418" spans="1:21" x14ac:dyDescent="0.2">
      <c r="A418" s="115"/>
      <c r="B418" s="115"/>
      <c r="C418" s="105"/>
      <c r="D418" s="105"/>
      <c r="E418" s="105"/>
      <c r="F418" s="105"/>
      <c r="G418" s="105"/>
      <c r="H418" s="105"/>
      <c r="I418" s="142" t="str">
        <f t="shared" si="36"/>
        <v/>
      </c>
      <c r="J418" s="105" t="str">
        <f t="shared" si="37"/>
        <v/>
      </c>
      <c r="K418" s="143" t="str">
        <f t="shared" si="38"/>
        <v/>
      </c>
      <c r="L418" s="106" t="str">
        <f t="shared" si="39"/>
        <v/>
      </c>
      <c r="M418" s="105" t="str">
        <f t="shared" si="40"/>
        <v/>
      </c>
      <c r="N418" s="144" t="str">
        <f t="shared" si="41"/>
        <v/>
      </c>
      <c r="O418" s="144" t="str">
        <f>IF(NOT(ISERROR(VLOOKUP(C418,Deflatores!G$42:H$64,2,FALSE))),VLOOKUP(C418,Deflatores!G$42:H$64,2,FALSE),IF(OR(ISBLANK(D418),ISBLANK(C418)),"",VLOOKUP(D418,Deflatores!G$4:H$38,2,FALSE)*K418+VLOOKUP(D418,Deflatores!G$4:I$38,3,FALSE)))</f>
        <v/>
      </c>
      <c r="P418" s="115"/>
      <c r="Q418" s="115"/>
      <c r="R418" s="115"/>
      <c r="S418" s="115"/>
      <c r="T418" s="168"/>
      <c r="U418" s="133"/>
    </row>
    <row r="419" spans="1:21" x14ac:dyDescent="0.2">
      <c r="A419" s="115"/>
      <c r="B419" s="115"/>
      <c r="C419" s="105"/>
      <c r="D419" s="105"/>
      <c r="E419" s="105"/>
      <c r="F419" s="105"/>
      <c r="G419" s="105"/>
      <c r="H419" s="105"/>
      <c r="I419" s="142" t="str">
        <f t="shared" si="36"/>
        <v/>
      </c>
      <c r="J419" s="105" t="str">
        <f t="shared" si="37"/>
        <v/>
      </c>
      <c r="K419" s="143" t="str">
        <f t="shared" si="38"/>
        <v/>
      </c>
      <c r="L419" s="106" t="str">
        <f t="shared" si="39"/>
        <v/>
      </c>
      <c r="M419" s="105" t="str">
        <f t="shared" si="40"/>
        <v/>
      </c>
      <c r="N419" s="144" t="str">
        <f t="shared" si="41"/>
        <v/>
      </c>
      <c r="O419" s="144" t="str">
        <f>IF(NOT(ISERROR(VLOOKUP(C419,Deflatores!G$42:H$64,2,FALSE))),VLOOKUP(C419,Deflatores!G$42:H$64,2,FALSE),IF(OR(ISBLANK(D419),ISBLANK(C419)),"",VLOOKUP(D419,Deflatores!G$4:H$38,2,FALSE)*K419+VLOOKUP(D419,Deflatores!G$4:I$38,3,FALSE)))</f>
        <v/>
      </c>
      <c r="P419" s="115"/>
      <c r="Q419" s="115"/>
      <c r="R419" s="115"/>
      <c r="S419" s="115"/>
      <c r="T419" s="168"/>
      <c r="U419" s="133"/>
    </row>
    <row r="420" spans="1:21" x14ac:dyDescent="0.2">
      <c r="A420" s="115"/>
      <c r="B420" s="115"/>
      <c r="C420" s="105"/>
      <c r="D420" s="105"/>
      <c r="E420" s="105"/>
      <c r="F420" s="105"/>
      <c r="G420" s="105"/>
      <c r="H420" s="105"/>
      <c r="I420" s="142" t="str">
        <f t="shared" si="36"/>
        <v/>
      </c>
      <c r="J420" s="105" t="str">
        <f t="shared" si="37"/>
        <v/>
      </c>
      <c r="K420" s="143" t="str">
        <f t="shared" si="38"/>
        <v/>
      </c>
      <c r="L420" s="106" t="str">
        <f t="shared" si="39"/>
        <v/>
      </c>
      <c r="M420" s="105" t="str">
        <f t="shared" si="40"/>
        <v/>
      </c>
      <c r="N420" s="144" t="str">
        <f t="shared" si="41"/>
        <v/>
      </c>
      <c r="O420" s="144" t="str">
        <f>IF(NOT(ISERROR(VLOOKUP(C420,Deflatores!G$42:H$64,2,FALSE))),VLOOKUP(C420,Deflatores!G$42:H$64,2,FALSE),IF(OR(ISBLANK(D420),ISBLANK(C420)),"",VLOOKUP(D420,Deflatores!G$4:H$38,2,FALSE)*K420+VLOOKUP(D420,Deflatores!G$4:I$38,3,FALSE)))</f>
        <v/>
      </c>
      <c r="P420" s="115"/>
      <c r="Q420" s="115"/>
      <c r="R420" s="115"/>
      <c r="S420" s="115"/>
      <c r="T420" s="168"/>
      <c r="U420" s="133"/>
    </row>
    <row r="421" spans="1:21" x14ac:dyDescent="0.2">
      <c r="A421" s="115"/>
      <c r="B421" s="115"/>
      <c r="C421" s="105"/>
      <c r="D421" s="105"/>
      <c r="E421" s="105"/>
      <c r="F421" s="105"/>
      <c r="G421" s="105"/>
      <c r="H421" s="105"/>
      <c r="I421" s="142" t="str">
        <f t="shared" si="36"/>
        <v/>
      </c>
      <c r="J421" s="105" t="str">
        <f t="shared" si="37"/>
        <v/>
      </c>
      <c r="K421" s="143" t="str">
        <f t="shared" si="38"/>
        <v/>
      </c>
      <c r="L421" s="106" t="str">
        <f t="shared" si="39"/>
        <v/>
      </c>
      <c r="M421" s="105" t="str">
        <f t="shared" si="40"/>
        <v/>
      </c>
      <c r="N421" s="144" t="str">
        <f t="shared" si="41"/>
        <v/>
      </c>
      <c r="O421" s="144" t="str">
        <f>IF(NOT(ISERROR(VLOOKUP(C421,Deflatores!G$42:H$64,2,FALSE))),VLOOKUP(C421,Deflatores!G$42:H$64,2,FALSE),IF(OR(ISBLANK(D421),ISBLANK(C421)),"",VLOOKUP(D421,Deflatores!G$4:H$38,2,FALSE)*K421+VLOOKUP(D421,Deflatores!G$4:I$38,3,FALSE)))</f>
        <v/>
      </c>
      <c r="P421" s="115"/>
      <c r="Q421" s="115"/>
      <c r="R421" s="115"/>
      <c r="S421" s="115"/>
      <c r="T421" s="168"/>
      <c r="U421" s="133"/>
    </row>
    <row r="422" spans="1:21" x14ac:dyDescent="0.2">
      <c r="A422" s="115"/>
      <c r="B422" s="115"/>
      <c r="C422" s="105"/>
      <c r="D422" s="105"/>
      <c r="E422" s="105"/>
      <c r="F422" s="105"/>
      <c r="G422" s="105"/>
      <c r="H422" s="105"/>
      <c r="I422" s="142" t="str">
        <f t="shared" si="36"/>
        <v/>
      </c>
      <c r="J422" s="105" t="str">
        <f t="shared" si="37"/>
        <v/>
      </c>
      <c r="K422" s="143" t="str">
        <f t="shared" si="38"/>
        <v/>
      </c>
      <c r="L422" s="106" t="str">
        <f t="shared" si="39"/>
        <v/>
      </c>
      <c r="M422" s="105" t="str">
        <f t="shared" si="40"/>
        <v/>
      </c>
      <c r="N422" s="144" t="str">
        <f t="shared" si="41"/>
        <v/>
      </c>
      <c r="O422" s="144" t="str">
        <f>IF(NOT(ISERROR(VLOOKUP(C422,Deflatores!G$42:H$64,2,FALSE))),VLOOKUP(C422,Deflatores!G$42:H$64,2,FALSE),IF(OR(ISBLANK(D422),ISBLANK(C422)),"",VLOOKUP(D422,Deflatores!G$4:H$38,2,FALSE)*K422+VLOOKUP(D422,Deflatores!G$4:I$38,3,FALSE)))</f>
        <v/>
      </c>
      <c r="P422" s="115"/>
      <c r="Q422" s="115"/>
      <c r="R422" s="115"/>
      <c r="S422" s="115"/>
      <c r="T422" s="168"/>
      <c r="U422" s="133"/>
    </row>
    <row r="423" spans="1:21" x14ac:dyDescent="0.2">
      <c r="A423" s="115"/>
      <c r="B423" s="115"/>
      <c r="C423" s="105"/>
      <c r="D423" s="105"/>
      <c r="E423" s="105"/>
      <c r="F423" s="105"/>
      <c r="G423" s="105"/>
      <c r="H423" s="105"/>
      <c r="I423" s="142" t="str">
        <f t="shared" si="36"/>
        <v/>
      </c>
      <c r="J423" s="105" t="str">
        <f t="shared" si="37"/>
        <v/>
      </c>
      <c r="K423" s="143" t="str">
        <f t="shared" si="38"/>
        <v/>
      </c>
      <c r="L423" s="106" t="str">
        <f t="shared" si="39"/>
        <v/>
      </c>
      <c r="M423" s="105" t="str">
        <f t="shared" si="40"/>
        <v/>
      </c>
      <c r="N423" s="144" t="str">
        <f t="shared" si="41"/>
        <v/>
      </c>
      <c r="O423" s="144" t="str">
        <f>IF(NOT(ISERROR(VLOOKUP(C423,Deflatores!G$42:H$64,2,FALSE))),VLOOKUP(C423,Deflatores!G$42:H$64,2,FALSE),IF(OR(ISBLANK(D423),ISBLANK(C423)),"",VLOOKUP(D423,Deflatores!G$4:H$38,2,FALSE)*K423+VLOOKUP(D423,Deflatores!G$4:I$38,3,FALSE)))</f>
        <v/>
      </c>
      <c r="P423" s="115"/>
      <c r="Q423" s="115"/>
      <c r="R423" s="115"/>
      <c r="S423" s="115"/>
      <c r="T423" s="168"/>
      <c r="U423" s="133"/>
    </row>
    <row r="424" spans="1:21" x14ac:dyDescent="0.2">
      <c r="A424" s="115"/>
      <c r="B424" s="115"/>
      <c r="C424" s="105"/>
      <c r="D424" s="105"/>
      <c r="E424" s="105"/>
      <c r="F424" s="105"/>
      <c r="G424" s="105"/>
      <c r="H424" s="105"/>
      <c r="I424" s="142" t="str">
        <f t="shared" si="36"/>
        <v/>
      </c>
      <c r="J424" s="105" t="str">
        <f t="shared" si="37"/>
        <v/>
      </c>
      <c r="K424" s="143" t="str">
        <f t="shared" si="38"/>
        <v/>
      </c>
      <c r="L424" s="106" t="str">
        <f t="shared" si="39"/>
        <v/>
      </c>
      <c r="M424" s="105" t="str">
        <f t="shared" si="40"/>
        <v/>
      </c>
      <c r="N424" s="144" t="str">
        <f t="shared" si="41"/>
        <v/>
      </c>
      <c r="O424" s="144" t="str">
        <f>IF(NOT(ISERROR(VLOOKUP(C424,Deflatores!G$42:H$64,2,FALSE))),VLOOKUP(C424,Deflatores!G$42:H$64,2,FALSE),IF(OR(ISBLANK(D424),ISBLANK(C424)),"",VLOOKUP(D424,Deflatores!G$4:H$38,2,FALSE)*K424+VLOOKUP(D424,Deflatores!G$4:I$38,3,FALSE)))</f>
        <v/>
      </c>
      <c r="P424" s="115"/>
      <c r="Q424" s="115"/>
      <c r="R424" s="115"/>
      <c r="S424" s="115"/>
      <c r="T424" s="168"/>
      <c r="U424" s="133"/>
    </row>
    <row r="425" spans="1:21" x14ac:dyDescent="0.2">
      <c r="A425" s="115"/>
      <c r="B425" s="115"/>
      <c r="C425" s="105"/>
      <c r="D425" s="105"/>
      <c r="E425" s="105"/>
      <c r="F425" s="105"/>
      <c r="G425" s="105"/>
      <c r="H425" s="105"/>
      <c r="I425" s="142" t="str">
        <f t="shared" si="36"/>
        <v/>
      </c>
      <c r="J425" s="105" t="str">
        <f t="shared" si="37"/>
        <v/>
      </c>
      <c r="K425" s="143" t="str">
        <f t="shared" si="38"/>
        <v/>
      </c>
      <c r="L425" s="106" t="str">
        <f t="shared" si="39"/>
        <v/>
      </c>
      <c r="M425" s="105" t="str">
        <f t="shared" si="40"/>
        <v/>
      </c>
      <c r="N425" s="144" t="str">
        <f t="shared" si="41"/>
        <v/>
      </c>
      <c r="O425" s="144" t="str">
        <f>IF(NOT(ISERROR(VLOOKUP(C425,Deflatores!G$42:H$64,2,FALSE))),VLOOKUP(C425,Deflatores!G$42:H$64,2,FALSE),IF(OR(ISBLANK(D425),ISBLANK(C425)),"",VLOOKUP(D425,Deflatores!G$4:H$38,2,FALSE)*K425+VLOOKUP(D425,Deflatores!G$4:I$38,3,FALSE)))</f>
        <v/>
      </c>
      <c r="P425" s="115"/>
      <c r="Q425" s="115"/>
      <c r="R425" s="115"/>
      <c r="S425" s="115"/>
      <c r="T425" s="168"/>
      <c r="U425" s="133"/>
    </row>
    <row r="426" spans="1:21" x14ac:dyDescent="0.2">
      <c r="A426" s="115"/>
      <c r="B426" s="115"/>
      <c r="C426" s="105"/>
      <c r="D426" s="105"/>
      <c r="E426" s="105"/>
      <c r="F426" s="105"/>
      <c r="G426" s="105"/>
      <c r="H426" s="105"/>
      <c r="I426" s="142" t="str">
        <f t="shared" si="36"/>
        <v/>
      </c>
      <c r="J426" s="105" t="str">
        <f t="shared" si="37"/>
        <v/>
      </c>
      <c r="K426" s="143" t="str">
        <f t="shared" si="38"/>
        <v/>
      </c>
      <c r="L426" s="106" t="str">
        <f t="shared" si="39"/>
        <v/>
      </c>
      <c r="M426" s="105" t="str">
        <f t="shared" si="40"/>
        <v/>
      </c>
      <c r="N426" s="144" t="str">
        <f t="shared" si="41"/>
        <v/>
      </c>
      <c r="O426" s="144" t="str">
        <f>IF(NOT(ISERROR(VLOOKUP(C426,Deflatores!G$42:H$64,2,FALSE))),VLOOKUP(C426,Deflatores!G$42:H$64,2,FALSE),IF(OR(ISBLANK(D426),ISBLANK(C426)),"",VLOOKUP(D426,Deflatores!G$4:H$38,2,FALSE)*K426+VLOOKUP(D426,Deflatores!G$4:I$38,3,FALSE)))</f>
        <v/>
      </c>
      <c r="P426" s="115"/>
      <c r="Q426" s="115"/>
      <c r="R426" s="115"/>
      <c r="S426" s="115"/>
      <c r="T426" s="168"/>
      <c r="U426" s="133"/>
    </row>
    <row r="427" spans="1:21" x14ac:dyDescent="0.2">
      <c r="A427" s="115"/>
      <c r="B427" s="115"/>
      <c r="C427" s="105"/>
      <c r="D427" s="105"/>
      <c r="E427" s="105"/>
      <c r="F427" s="105"/>
      <c r="G427" s="105"/>
      <c r="H427" s="105"/>
      <c r="I427" s="142" t="str">
        <f t="shared" si="36"/>
        <v/>
      </c>
      <c r="J427" s="105" t="str">
        <f t="shared" si="37"/>
        <v/>
      </c>
      <c r="K427" s="143" t="str">
        <f t="shared" si="38"/>
        <v/>
      </c>
      <c r="L427" s="106" t="str">
        <f t="shared" si="39"/>
        <v/>
      </c>
      <c r="M427" s="105" t="str">
        <f t="shared" si="40"/>
        <v/>
      </c>
      <c r="N427" s="144" t="str">
        <f t="shared" si="41"/>
        <v/>
      </c>
      <c r="O427" s="144" t="str">
        <f>IF(NOT(ISERROR(VLOOKUP(C427,Deflatores!G$42:H$64,2,FALSE))),VLOOKUP(C427,Deflatores!G$42:H$64,2,FALSE),IF(OR(ISBLANK(D427),ISBLANK(C427)),"",VLOOKUP(D427,Deflatores!G$4:H$38,2,FALSE)*K427+VLOOKUP(D427,Deflatores!G$4:I$38,3,FALSE)))</f>
        <v/>
      </c>
      <c r="P427" s="115"/>
      <c r="Q427" s="115"/>
      <c r="R427" s="115"/>
      <c r="S427" s="115"/>
      <c r="T427" s="168"/>
      <c r="U427" s="133"/>
    </row>
    <row r="428" spans="1:21" x14ac:dyDescent="0.2">
      <c r="A428" s="115"/>
      <c r="B428" s="115"/>
      <c r="C428" s="105"/>
      <c r="D428" s="105"/>
      <c r="E428" s="105"/>
      <c r="F428" s="105"/>
      <c r="G428" s="105"/>
      <c r="H428" s="105"/>
      <c r="I428" s="142" t="str">
        <f t="shared" si="36"/>
        <v/>
      </c>
      <c r="J428" s="105" t="str">
        <f t="shared" si="37"/>
        <v/>
      </c>
      <c r="K428" s="143" t="str">
        <f t="shared" si="38"/>
        <v/>
      </c>
      <c r="L428" s="106" t="str">
        <f t="shared" si="39"/>
        <v/>
      </c>
      <c r="M428" s="105" t="str">
        <f t="shared" si="40"/>
        <v/>
      </c>
      <c r="N428" s="144" t="str">
        <f t="shared" si="41"/>
        <v/>
      </c>
      <c r="O428" s="144" t="str">
        <f>IF(NOT(ISERROR(VLOOKUP(C428,Deflatores!G$42:H$64,2,FALSE))),VLOOKUP(C428,Deflatores!G$42:H$64,2,FALSE),IF(OR(ISBLANK(D428),ISBLANK(C428)),"",VLOOKUP(D428,Deflatores!G$4:H$38,2,FALSE)*K428+VLOOKUP(D428,Deflatores!G$4:I$38,3,FALSE)))</f>
        <v/>
      </c>
      <c r="P428" s="115"/>
      <c r="Q428" s="115"/>
      <c r="R428" s="115"/>
      <c r="S428" s="115"/>
      <c r="T428" s="168"/>
      <c r="U428" s="133"/>
    </row>
    <row r="429" spans="1:21" x14ac:dyDescent="0.2">
      <c r="A429" s="115"/>
      <c r="B429" s="115"/>
      <c r="C429" s="105"/>
      <c r="D429" s="105"/>
      <c r="E429" s="105"/>
      <c r="F429" s="105"/>
      <c r="G429" s="105"/>
      <c r="H429" s="105"/>
      <c r="I429" s="142" t="str">
        <f t="shared" si="36"/>
        <v/>
      </c>
      <c r="J429" s="105" t="str">
        <f t="shared" si="37"/>
        <v/>
      </c>
      <c r="K429" s="143" t="str">
        <f t="shared" si="38"/>
        <v/>
      </c>
      <c r="L429" s="106" t="str">
        <f t="shared" si="39"/>
        <v/>
      </c>
      <c r="M429" s="105" t="str">
        <f t="shared" si="40"/>
        <v/>
      </c>
      <c r="N429" s="144" t="str">
        <f t="shared" si="41"/>
        <v/>
      </c>
      <c r="O429" s="144" t="str">
        <f>IF(NOT(ISERROR(VLOOKUP(C429,Deflatores!G$42:H$64,2,FALSE))),VLOOKUP(C429,Deflatores!G$42:H$64,2,FALSE),IF(OR(ISBLANK(D429),ISBLANK(C429)),"",VLOOKUP(D429,Deflatores!G$4:H$38,2,FALSE)*K429+VLOOKUP(D429,Deflatores!G$4:I$38,3,FALSE)))</f>
        <v/>
      </c>
      <c r="P429" s="115"/>
      <c r="Q429" s="115"/>
      <c r="R429" s="115"/>
      <c r="S429" s="115"/>
      <c r="T429" s="168"/>
      <c r="U429" s="133"/>
    </row>
    <row r="430" spans="1:21" x14ac:dyDescent="0.2">
      <c r="A430" s="115"/>
      <c r="B430" s="115"/>
      <c r="C430" s="105"/>
      <c r="D430" s="105"/>
      <c r="E430" s="105"/>
      <c r="F430" s="105"/>
      <c r="G430" s="105"/>
      <c r="H430" s="105"/>
      <c r="I430" s="142" t="str">
        <f t="shared" si="36"/>
        <v/>
      </c>
      <c r="J430" s="105" t="str">
        <f t="shared" si="37"/>
        <v/>
      </c>
      <c r="K430" s="143" t="str">
        <f t="shared" si="38"/>
        <v/>
      </c>
      <c r="L430" s="106" t="str">
        <f t="shared" si="39"/>
        <v/>
      </c>
      <c r="M430" s="105" t="str">
        <f t="shared" si="40"/>
        <v/>
      </c>
      <c r="N430" s="144" t="str">
        <f t="shared" si="41"/>
        <v/>
      </c>
      <c r="O430" s="144" t="str">
        <f>IF(NOT(ISERROR(VLOOKUP(C430,Deflatores!G$42:H$64,2,FALSE))),VLOOKUP(C430,Deflatores!G$42:H$64,2,FALSE),IF(OR(ISBLANK(D430),ISBLANK(C430)),"",VLOOKUP(D430,Deflatores!G$4:H$38,2,FALSE)*K430+VLOOKUP(D430,Deflatores!G$4:I$38,3,FALSE)))</f>
        <v/>
      </c>
      <c r="P430" s="115"/>
      <c r="Q430" s="115"/>
      <c r="R430" s="115"/>
      <c r="S430" s="115"/>
      <c r="T430" s="168"/>
      <c r="U430" s="133"/>
    </row>
    <row r="431" spans="1:21" x14ac:dyDescent="0.2">
      <c r="A431" s="115"/>
      <c r="B431" s="115"/>
      <c r="C431" s="105"/>
      <c r="D431" s="105"/>
      <c r="E431" s="105"/>
      <c r="F431" s="105"/>
      <c r="G431" s="105"/>
      <c r="H431" s="105"/>
      <c r="I431" s="142" t="str">
        <f t="shared" si="36"/>
        <v/>
      </c>
      <c r="J431" s="105" t="str">
        <f t="shared" si="37"/>
        <v/>
      </c>
      <c r="K431" s="143" t="str">
        <f t="shared" si="38"/>
        <v/>
      </c>
      <c r="L431" s="106" t="str">
        <f t="shared" si="39"/>
        <v/>
      </c>
      <c r="M431" s="105" t="str">
        <f t="shared" si="40"/>
        <v/>
      </c>
      <c r="N431" s="144" t="str">
        <f t="shared" si="41"/>
        <v/>
      </c>
      <c r="O431" s="144" t="str">
        <f>IF(NOT(ISERROR(VLOOKUP(C431,Deflatores!G$42:H$64,2,FALSE))),VLOOKUP(C431,Deflatores!G$42:H$64,2,FALSE),IF(OR(ISBLANK(D431),ISBLANK(C431)),"",VLOOKUP(D431,Deflatores!G$4:H$38,2,FALSE)*K431+VLOOKUP(D431,Deflatores!G$4:I$38,3,FALSE)))</f>
        <v/>
      </c>
      <c r="P431" s="115"/>
      <c r="Q431" s="115"/>
      <c r="R431" s="115"/>
      <c r="S431" s="115"/>
      <c r="T431" s="168"/>
      <c r="U431" s="133"/>
    </row>
    <row r="432" spans="1:21" x14ac:dyDescent="0.2">
      <c r="A432" s="115"/>
      <c r="B432" s="115"/>
      <c r="C432" s="105"/>
      <c r="D432" s="105"/>
      <c r="E432" s="105"/>
      <c r="F432" s="105"/>
      <c r="G432" s="105"/>
      <c r="H432" s="105"/>
      <c r="I432" s="142" t="str">
        <f t="shared" si="36"/>
        <v/>
      </c>
      <c r="J432" s="105" t="str">
        <f t="shared" si="37"/>
        <v/>
      </c>
      <c r="K432" s="143" t="str">
        <f t="shared" si="38"/>
        <v/>
      </c>
      <c r="L432" s="106" t="str">
        <f t="shared" si="39"/>
        <v/>
      </c>
      <c r="M432" s="105" t="str">
        <f t="shared" si="40"/>
        <v/>
      </c>
      <c r="N432" s="144" t="str">
        <f t="shared" si="41"/>
        <v/>
      </c>
      <c r="O432" s="144" t="str">
        <f>IF(NOT(ISERROR(VLOOKUP(C432,Deflatores!G$42:H$64,2,FALSE))),VLOOKUP(C432,Deflatores!G$42:H$64,2,FALSE),IF(OR(ISBLANK(D432),ISBLANK(C432)),"",VLOOKUP(D432,Deflatores!G$4:H$38,2,FALSE)*K432+VLOOKUP(D432,Deflatores!G$4:I$38,3,FALSE)))</f>
        <v/>
      </c>
      <c r="P432" s="115"/>
      <c r="Q432" s="115"/>
      <c r="R432" s="115"/>
      <c r="S432" s="115"/>
      <c r="T432" s="168"/>
      <c r="U432" s="133"/>
    </row>
    <row r="433" spans="1:21" x14ac:dyDescent="0.2">
      <c r="A433" s="115"/>
      <c r="B433" s="115"/>
      <c r="C433" s="105"/>
      <c r="D433" s="105"/>
      <c r="E433" s="105"/>
      <c r="F433" s="105"/>
      <c r="G433" s="105"/>
      <c r="H433" s="105"/>
      <c r="I433" s="142" t="str">
        <f t="shared" si="36"/>
        <v/>
      </c>
      <c r="J433" s="105" t="str">
        <f t="shared" si="37"/>
        <v/>
      </c>
      <c r="K433" s="143" t="str">
        <f t="shared" si="38"/>
        <v/>
      </c>
      <c r="L433" s="106" t="str">
        <f t="shared" si="39"/>
        <v/>
      </c>
      <c r="M433" s="105" t="str">
        <f t="shared" si="40"/>
        <v/>
      </c>
      <c r="N433" s="144" t="str">
        <f t="shared" si="41"/>
        <v/>
      </c>
      <c r="O433" s="144" t="str">
        <f>IF(NOT(ISERROR(VLOOKUP(C433,Deflatores!G$42:H$64,2,FALSE))),VLOOKUP(C433,Deflatores!G$42:H$64,2,FALSE),IF(OR(ISBLANK(D433),ISBLANK(C433)),"",VLOOKUP(D433,Deflatores!G$4:H$38,2,FALSE)*K433+VLOOKUP(D433,Deflatores!G$4:I$38,3,FALSE)))</f>
        <v/>
      </c>
      <c r="P433" s="115"/>
      <c r="Q433" s="115"/>
      <c r="R433" s="115"/>
      <c r="S433" s="115"/>
      <c r="T433" s="168"/>
      <c r="U433" s="133"/>
    </row>
    <row r="434" spans="1:21" x14ac:dyDescent="0.2">
      <c r="A434" s="115"/>
      <c r="B434" s="115"/>
      <c r="C434" s="105"/>
      <c r="D434" s="105"/>
      <c r="E434" s="105"/>
      <c r="F434" s="105"/>
      <c r="G434" s="105"/>
      <c r="H434" s="105"/>
      <c r="I434" s="142" t="str">
        <f t="shared" si="36"/>
        <v/>
      </c>
      <c r="J434" s="105" t="str">
        <f t="shared" si="37"/>
        <v/>
      </c>
      <c r="K434" s="143" t="str">
        <f t="shared" si="38"/>
        <v/>
      </c>
      <c r="L434" s="106" t="str">
        <f t="shared" si="39"/>
        <v/>
      </c>
      <c r="M434" s="105" t="str">
        <f t="shared" si="40"/>
        <v/>
      </c>
      <c r="N434" s="144" t="str">
        <f t="shared" si="41"/>
        <v/>
      </c>
      <c r="O434" s="144" t="str">
        <f>IF(NOT(ISERROR(VLOOKUP(C434,Deflatores!G$42:H$64,2,FALSE))),VLOOKUP(C434,Deflatores!G$42:H$64,2,FALSE),IF(OR(ISBLANK(D434),ISBLANK(C434)),"",VLOOKUP(D434,Deflatores!G$4:H$38,2,FALSE)*K434+VLOOKUP(D434,Deflatores!G$4:I$38,3,FALSE)))</f>
        <v/>
      </c>
      <c r="P434" s="115"/>
      <c r="Q434" s="115"/>
      <c r="R434" s="115"/>
      <c r="S434" s="115"/>
      <c r="T434" s="168"/>
      <c r="U434" s="133"/>
    </row>
    <row r="435" spans="1:21" x14ac:dyDescent="0.2">
      <c r="A435" s="115"/>
      <c r="B435" s="115"/>
      <c r="C435" s="105"/>
      <c r="D435" s="105"/>
      <c r="E435" s="105"/>
      <c r="F435" s="105"/>
      <c r="G435" s="105"/>
      <c r="H435" s="105"/>
      <c r="I435" s="142" t="str">
        <f t="shared" si="36"/>
        <v/>
      </c>
      <c r="J435" s="105" t="str">
        <f t="shared" si="37"/>
        <v/>
      </c>
      <c r="K435" s="143" t="str">
        <f t="shared" si="38"/>
        <v/>
      </c>
      <c r="L435" s="106" t="str">
        <f t="shared" si="39"/>
        <v/>
      </c>
      <c r="M435" s="105" t="str">
        <f t="shared" si="40"/>
        <v/>
      </c>
      <c r="N435" s="144" t="str">
        <f t="shared" si="41"/>
        <v/>
      </c>
      <c r="O435" s="144" t="str">
        <f>IF(NOT(ISERROR(VLOOKUP(C435,Deflatores!G$42:H$64,2,FALSE))),VLOOKUP(C435,Deflatores!G$42:H$64,2,FALSE),IF(OR(ISBLANK(D435),ISBLANK(C435)),"",VLOOKUP(D435,Deflatores!G$4:H$38,2,FALSE)*K435+VLOOKUP(D435,Deflatores!G$4:I$38,3,FALSE)))</f>
        <v/>
      </c>
      <c r="P435" s="115"/>
      <c r="Q435" s="115"/>
      <c r="R435" s="115"/>
      <c r="S435" s="115"/>
      <c r="T435" s="168"/>
      <c r="U435" s="133"/>
    </row>
    <row r="436" spans="1:21" x14ac:dyDescent="0.2">
      <c r="A436" s="115"/>
      <c r="B436" s="115"/>
      <c r="C436" s="105"/>
      <c r="D436" s="105"/>
      <c r="E436" s="105"/>
      <c r="F436" s="105"/>
      <c r="G436" s="105"/>
      <c r="H436" s="105"/>
      <c r="I436" s="142" t="str">
        <f t="shared" si="36"/>
        <v/>
      </c>
      <c r="J436" s="105" t="str">
        <f t="shared" si="37"/>
        <v/>
      </c>
      <c r="K436" s="143" t="str">
        <f t="shared" si="38"/>
        <v/>
      </c>
      <c r="L436" s="106" t="str">
        <f t="shared" si="39"/>
        <v/>
      </c>
      <c r="M436" s="105" t="str">
        <f t="shared" si="40"/>
        <v/>
      </c>
      <c r="N436" s="144" t="str">
        <f t="shared" si="41"/>
        <v/>
      </c>
      <c r="O436" s="144" t="str">
        <f>IF(NOT(ISERROR(VLOOKUP(C436,Deflatores!G$42:H$64,2,FALSE))),VLOOKUP(C436,Deflatores!G$42:H$64,2,FALSE),IF(OR(ISBLANK(D436),ISBLANK(C436)),"",VLOOKUP(D436,Deflatores!G$4:H$38,2,FALSE)*K436+VLOOKUP(D436,Deflatores!G$4:I$38,3,FALSE)))</f>
        <v/>
      </c>
      <c r="P436" s="115"/>
      <c r="Q436" s="115"/>
      <c r="R436" s="115"/>
      <c r="S436" s="115"/>
      <c r="T436" s="168"/>
      <c r="U436" s="133"/>
    </row>
    <row r="437" spans="1:21" x14ac:dyDescent="0.2">
      <c r="A437" s="115"/>
      <c r="B437" s="115"/>
      <c r="C437" s="105"/>
      <c r="D437" s="105"/>
      <c r="E437" s="105"/>
      <c r="F437" s="105"/>
      <c r="G437" s="105"/>
      <c r="H437" s="105"/>
      <c r="I437" s="142" t="str">
        <f t="shared" si="36"/>
        <v/>
      </c>
      <c r="J437" s="105" t="str">
        <f t="shared" si="37"/>
        <v/>
      </c>
      <c r="K437" s="143" t="str">
        <f t="shared" si="38"/>
        <v/>
      </c>
      <c r="L437" s="106" t="str">
        <f t="shared" si="39"/>
        <v/>
      </c>
      <c r="M437" s="105" t="str">
        <f t="shared" si="40"/>
        <v/>
      </c>
      <c r="N437" s="144" t="str">
        <f t="shared" si="41"/>
        <v/>
      </c>
      <c r="O437" s="144" t="str">
        <f>IF(NOT(ISERROR(VLOOKUP(C437,Deflatores!G$42:H$64,2,FALSE))),VLOOKUP(C437,Deflatores!G$42:H$64,2,FALSE),IF(OR(ISBLANK(D437),ISBLANK(C437)),"",VLOOKUP(D437,Deflatores!G$4:H$38,2,FALSE)*K437+VLOOKUP(D437,Deflatores!G$4:I$38,3,FALSE)))</f>
        <v/>
      </c>
      <c r="P437" s="115"/>
      <c r="Q437" s="115"/>
      <c r="R437" s="115"/>
      <c r="S437" s="115"/>
      <c r="T437" s="168"/>
      <c r="U437" s="133"/>
    </row>
    <row r="438" spans="1:21" x14ac:dyDescent="0.2">
      <c r="A438" s="115"/>
      <c r="B438" s="115"/>
      <c r="C438" s="105"/>
      <c r="D438" s="105"/>
      <c r="E438" s="105"/>
      <c r="F438" s="105"/>
      <c r="G438" s="105"/>
      <c r="H438" s="105"/>
      <c r="I438" s="142" t="str">
        <f t="shared" si="36"/>
        <v/>
      </c>
      <c r="J438" s="105" t="str">
        <f t="shared" si="37"/>
        <v/>
      </c>
      <c r="K438" s="143" t="str">
        <f t="shared" si="38"/>
        <v/>
      </c>
      <c r="L438" s="106" t="str">
        <f t="shared" si="39"/>
        <v/>
      </c>
      <c r="M438" s="105" t="str">
        <f t="shared" si="40"/>
        <v/>
      </c>
      <c r="N438" s="144" t="str">
        <f t="shared" si="41"/>
        <v/>
      </c>
      <c r="O438" s="144" t="str">
        <f>IF(NOT(ISERROR(VLOOKUP(C438,Deflatores!G$42:H$64,2,FALSE))),VLOOKUP(C438,Deflatores!G$42:H$64,2,FALSE),IF(OR(ISBLANK(D438),ISBLANK(C438)),"",VLOOKUP(D438,Deflatores!G$4:H$38,2,FALSE)*K438+VLOOKUP(D438,Deflatores!G$4:I$38,3,FALSE)))</f>
        <v/>
      </c>
      <c r="P438" s="115"/>
      <c r="Q438" s="115"/>
      <c r="R438" s="115"/>
      <c r="S438" s="115"/>
      <c r="T438" s="168"/>
      <c r="U438" s="133"/>
    </row>
    <row r="439" spans="1:21" x14ac:dyDescent="0.2">
      <c r="A439" s="115"/>
      <c r="B439" s="115"/>
      <c r="C439" s="105"/>
      <c r="D439" s="105"/>
      <c r="E439" s="105"/>
      <c r="F439" s="105"/>
      <c r="G439" s="105"/>
      <c r="H439" s="105"/>
      <c r="I439" s="142" t="str">
        <f t="shared" si="36"/>
        <v/>
      </c>
      <c r="J439" s="105" t="str">
        <f t="shared" si="37"/>
        <v/>
      </c>
      <c r="K439" s="143" t="str">
        <f t="shared" si="38"/>
        <v/>
      </c>
      <c r="L439" s="106" t="str">
        <f t="shared" si="39"/>
        <v/>
      </c>
      <c r="M439" s="105" t="str">
        <f t="shared" si="40"/>
        <v/>
      </c>
      <c r="N439" s="144" t="str">
        <f t="shared" si="41"/>
        <v/>
      </c>
      <c r="O439" s="144" t="str">
        <f>IF(NOT(ISERROR(VLOOKUP(C439,Deflatores!G$42:H$64,2,FALSE))),VLOOKUP(C439,Deflatores!G$42:H$64,2,FALSE),IF(OR(ISBLANK(D439),ISBLANK(C439)),"",VLOOKUP(D439,Deflatores!G$4:H$38,2,FALSE)*K439+VLOOKUP(D439,Deflatores!G$4:I$38,3,FALSE)))</f>
        <v/>
      </c>
      <c r="P439" s="115"/>
      <c r="Q439" s="115"/>
      <c r="R439" s="115"/>
      <c r="S439" s="115"/>
      <c r="T439" s="168"/>
      <c r="U439" s="133"/>
    </row>
    <row r="440" spans="1:21" x14ac:dyDescent="0.2">
      <c r="A440" s="115"/>
      <c r="B440" s="115"/>
      <c r="C440" s="105"/>
      <c r="D440" s="105"/>
      <c r="E440" s="105"/>
      <c r="F440" s="105"/>
      <c r="G440" s="105"/>
      <c r="H440" s="105"/>
      <c r="I440" s="142" t="str">
        <f t="shared" si="36"/>
        <v/>
      </c>
      <c r="J440" s="105" t="str">
        <f t="shared" si="37"/>
        <v/>
      </c>
      <c r="K440" s="143" t="str">
        <f t="shared" si="38"/>
        <v/>
      </c>
      <c r="L440" s="106" t="str">
        <f t="shared" si="39"/>
        <v/>
      </c>
      <c r="M440" s="105" t="str">
        <f t="shared" si="40"/>
        <v/>
      </c>
      <c r="N440" s="144" t="str">
        <f t="shared" si="41"/>
        <v/>
      </c>
      <c r="O440" s="144" t="str">
        <f>IF(NOT(ISERROR(VLOOKUP(C440,Deflatores!G$42:H$64,2,FALSE))),VLOOKUP(C440,Deflatores!G$42:H$64,2,FALSE),IF(OR(ISBLANK(D440),ISBLANK(C440)),"",VLOOKUP(D440,Deflatores!G$4:H$38,2,FALSE)*K440+VLOOKUP(D440,Deflatores!G$4:I$38,3,FALSE)))</f>
        <v/>
      </c>
      <c r="P440" s="115"/>
      <c r="Q440" s="115"/>
      <c r="R440" s="115"/>
      <c r="S440" s="115"/>
      <c r="T440" s="168"/>
      <c r="U440" s="133"/>
    </row>
    <row r="441" spans="1:21" x14ac:dyDescent="0.2">
      <c r="A441" s="115"/>
      <c r="B441" s="115"/>
      <c r="C441" s="105"/>
      <c r="D441" s="105"/>
      <c r="E441" s="105"/>
      <c r="F441" s="105"/>
      <c r="G441" s="105"/>
      <c r="H441" s="105"/>
      <c r="I441" s="142" t="str">
        <f t="shared" si="36"/>
        <v/>
      </c>
      <c r="J441" s="105" t="str">
        <f t="shared" si="37"/>
        <v/>
      </c>
      <c r="K441" s="143" t="str">
        <f t="shared" si="38"/>
        <v/>
      </c>
      <c r="L441" s="106" t="str">
        <f t="shared" si="39"/>
        <v/>
      </c>
      <c r="M441" s="105" t="str">
        <f t="shared" si="40"/>
        <v/>
      </c>
      <c r="N441" s="144" t="str">
        <f t="shared" si="41"/>
        <v/>
      </c>
      <c r="O441" s="144" t="str">
        <f>IF(NOT(ISERROR(VLOOKUP(C441,Deflatores!G$42:H$64,2,FALSE))),VLOOKUP(C441,Deflatores!G$42:H$64,2,FALSE),IF(OR(ISBLANK(D441),ISBLANK(C441)),"",VLOOKUP(D441,Deflatores!G$4:H$38,2,FALSE)*K441+VLOOKUP(D441,Deflatores!G$4:I$38,3,FALSE)))</f>
        <v/>
      </c>
      <c r="P441" s="115"/>
      <c r="Q441" s="115"/>
      <c r="R441" s="115"/>
      <c r="S441" s="115"/>
      <c r="T441" s="168"/>
      <c r="U441" s="133"/>
    </row>
    <row r="442" spans="1:21" x14ac:dyDescent="0.2">
      <c r="A442" s="115"/>
      <c r="B442" s="115"/>
      <c r="C442" s="105"/>
      <c r="D442" s="105"/>
      <c r="E442" s="105"/>
      <c r="F442" s="105"/>
      <c r="G442" s="105"/>
      <c r="H442" s="105"/>
      <c r="I442" s="142" t="str">
        <f t="shared" si="36"/>
        <v/>
      </c>
      <c r="J442" s="105" t="str">
        <f t="shared" si="37"/>
        <v/>
      </c>
      <c r="K442" s="143" t="str">
        <f t="shared" si="38"/>
        <v/>
      </c>
      <c r="L442" s="106" t="str">
        <f t="shared" si="39"/>
        <v/>
      </c>
      <c r="M442" s="105" t="str">
        <f t="shared" si="40"/>
        <v/>
      </c>
      <c r="N442" s="144" t="str">
        <f t="shared" si="41"/>
        <v/>
      </c>
      <c r="O442" s="144" t="str">
        <f>IF(NOT(ISERROR(VLOOKUP(C442,Deflatores!G$42:H$64,2,FALSE))),VLOOKUP(C442,Deflatores!G$42:H$64,2,FALSE),IF(OR(ISBLANK(D442),ISBLANK(C442)),"",VLOOKUP(D442,Deflatores!G$4:H$38,2,FALSE)*K442+VLOOKUP(D442,Deflatores!G$4:I$38,3,FALSE)))</f>
        <v/>
      </c>
      <c r="P442" s="115"/>
      <c r="Q442" s="115"/>
      <c r="R442" s="115"/>
      <c r="S442" s="115"/>
      <c r="T442" s="168"/>
      <c r="U442" s="133"/>
    </row>
    <row r="443" spans="1:21" x14ac:dyDescent="0.2">
      <c r="A443" s="115"/>
      <c r="B443" s="115"/>
      <c r="C443" s="105"/>
      <c r="D443" s="105"/>
      <c r="E443" s="105"/>
      <c r="F443" s="105"/>
      <c r="G443" s="105"/>
      <c r="H443" s="105"/>
      <c r="I443" s="142" t="str">
        <f t="shared" si="36"/>
        <v/>
      </c>
      <c r="J443" s="105" t="str">
        <f t="shared" si="37"/>
        <v/>
      </c>
      <c r="K443" s="143" t="str">
        <f t="shared" si="38"/>
        <v/>
      </c>
      <c r="L443" s="106" t="str">
        <f t="shared" si="39"/>
        <v/>
      </c>
      <c r="M443" s="105" t="str">
        <f t="shared" si="40"/>
        <v/>
      </c>
      <c r="N443" s="144" t="str">
        <f t="shared" si="41"/>
        <v/>
      </c>
      <c r="O443" s="144" t="str">
        <f>IF(NOT(ISERROR(VLOOKUP(C443,Deflatores!G$42:H$64,2,FALSE))),VLOOKUP(C443,Deflatores!G$42:H$64,2,FALSE),IF(OR(ISBLANK(D443),ISBLANK(C443)),"",VLOOKUP(D443,Deflatores!G$4:H$38,2,FALSE)*K443+VLOOKUP(D443,Deflatores!G$4:I$38,3,FALSE)))</f>
        <v/>
      </c>
      <c r="P443" s="115"/>
      <c r="Q443" s="115"/>
      <c r="R443" s="115"/>
      <c r="S443" s="115"/>
      <c r="T443" s="168"/>
      <c r="U443" s="133"/>
    </row>
    <row r="444" spans="1:21" x14ac:dyDescent="0.2">
      <c r="A444" s="115"/>
      <c r="B444" s="115"/>
      <c r="C444" s="105"/>
      <c r="D444" s="105"/>
      <c r="E444" s="105"/>
      <c r="F444" s="105"/>
      <c r="G444" s="105"/>
      <c r="H444" s="105"/>
      <c r="I444" s="142" t="str">
        <f t="shared" si="36"/>
        <v/>
      </c>
      <c r="J444" s="105" t="str">
        <f t="shared" si="37"/>
        <v/>
      </c>
      <c r="K444" s="143" t="str">
        <f t="shared" si="38"/>
        <v/>
      </c>
      <c r="L444" s="106" t="str">
        <f t="shared" si="39"/>
        <v/>
      </c>
      <c r="M444" s="105" t="str">
        <f t="shared" si="40"/>
        <v/>
      </c>
      <c r="N444" s="144" t="str">
        <f t="shared" si="41"/>
        <v/>
      </c>
      <c r="O444" s="144" t="str">
        <f>IF(NOT(ISERROR(VLOOKUP(C444,Deflatores!G$42:H$64,2,FALSE))),VLOOKUP(C444,Deflatores!G$42:H$64,2,FALSE),IF(OR(ISBLANK(D444),ISBLANK(C444)),"",VLOOKUP(D444,Deflatores!G$4:H$38,2,FALSE)*K444+VLOOKUP(D444,Deflatores!G$4:I$38,3,FALSE)))</f>
        <v/>
      </c>
      <c r="P444" s="115"/>
      <c r="Q444" s="115"/>
      <c r="R444" s="115"/>
      <c r="S444" s="115"/>
      <c r="T444" s="168"/>
      <c r="U444" s="133"/>
    </row>
    <row r="445" spans="1:21" x14ac:dyDescent="0.2">
      <c r="A445" s="115"/>
      <c r="B445" s="115"/>
      <c r="C445" s="105"/>
      <c r="D445" s="105"/>
      <c r="E445" s="105"/>
      <c r="F445" s="105"/>
      <c r="G445" s="105"/>
      <c r="H445" s="105"/>
      <c r="I445" s="142" t="str">
        <f t="shared" si="36"/>
        <v/>
      </c>
      <c r="J445" s="105" t="str">
        <f t="shared" si="37"/>
        <v/>
      </c>
      <c r="K445" s="143" t="str">
        <f t="shared" si="38"/>
        <v/>
      </c>
      <c r="L445" s="106" t="str">
        <f t="shared" si="39"/>
        <v/>
      </c>
      <c r="M445" s="105" t="str">
        <f t="shared" si="40"/>
        <v/>
      </c>
      <c r="N445" s="144" t="str">
        <f t="shared" si="41"/>
        <v/>
      </c>
      <c r="O445" s="144" t="str">
        <f>IF(NOT(ISERROR(VLOOKUP(C445,Deflatores!G$42:H$64,2,FALSE))),VLOOKUP(C445,Deflatores!G$42:H$64,2,FALSE),IF(OR(ISBLANK(D445),ISBLANK(C445)),"",VLOOKUP(D445,Deflatores!G$4:H$38,2,FALSE)*K445+VLOOKUP(D445,Deflatores!G$4:I$38,3,FALSE)))</f>
        <v/>
      </c>
      <c r="P445" s="115"/>
      <c r="Q445" s="115"/>
      <c r="R445" s="115"/>
      <c r="S445" s="115"/>
      <c r="T445" s="168"/>
      <c r="U445" s="133"/>
    </row>
    <row r="446" spans="1:21" x14ac:dyDescent="0.2">
      <c r="A446" s="115"/>
      <c r="B446" s="115"/>
      <c r="C446" s="105"/>
      <c r="D446" s="105"/>
      <c r="E446" s="105"/>
      <c r="F446" s="105"/>
      <c r="G446" s="105"/>
      <c r="H446" s="105"/>
      <c r="I446" s="142" t="str">
        <f t="shared" si="36"/>
        <v/>
      </c>
      <c r="J446" s="105" t="str">
        <f t="shared" si="37"/>
        <v/>
      </c>
      <c r="K446" s="143" t="str">
        <f t="shared" si="38"/>
        <v/>
      </c>
      <c r="L446" s="106" t="str">
        <f t="shared" si="39"/>
        <v/>
      </c>
      <c r="M446" s="105" t="str">
        <f t="shared" si="40"/>
        <v/>
      </c>
      <c r="N446" s="144" t="str">
        <f t="shared" si="41"/>
        <v/>
      </c>
      <c r="O446" s="144" t="str">
        <f>IF(NOT(ISERROR(VLOOKUP(C446,Deflatores!G$42:H$64,2,FALSE))),VLOOKUP(C446,Deflatores!G$42:H$64,2,FALSE),IF(OR(ISBLANK(D446),ISBLANK(C446)),"",VLOOKUP(D446,Deflatores!G$4:H$38,2,FALSE)*K446+VLOOKUP(D446,Deflatores!G$4:I$38,3,FALSE)))</f>
        <v/>
      </c>
      <c r="P446" s="115"/>
      <c r="Q446" s="115"/>
      <c r="R446" s="115"/>
      <c r="S446" s="115"/>
      <c r="T446" s="168"/>
      <c r="U446" s="133"/>
    </row>
    <row r="447" spans="1:21" x14ac:dyDescent="0.2">
      <c r="A447" s="115"/>
      <c r="B447" s="115"/>
      <c r="C447" s="105"/>
      <c r="D447" s="105"/>
      <c r="E447" s="105"/>
      <c r="F447" s="105"/>
      <c r="G447" s="105"/>
      <c r="H447" s="105"/>
      <c r="I447" s="142" t="str">
        <f t="shared" si="36"/>
        <v/>
      </c>
      <c r="J447" s="105" t="str">
        <f t="shared" si="37"/>
        <v/>
      </c>
      <c r="K447" s="143" t="str">
        <f t="shared" si="38"/>
        <v/>
      </c>
      <c r="L447" s="106" t="str">
        <f t="shared" si="39"/>
        <v/>
      </c>
      <c r="M447" s="105" t="str">
        <f t="shared" si="40"/>
        <v/>
      </c>
      <c r="N447" s="144" t="str">
        <f t="shared" si="41"/>
        <v/>
      </c>
      <c r="O447" s="144" t="str">
        <f>IF(NOT(ISERROR(VLOOKUP(C447,Deflatores!G$42:H$64,2,FALSE))),VLOOKUP(C447,Deflatores!G$42:H$64,2,FALSE),IF(OR(ISBLANK(D447),ISBLANK(C447)),"",VLOOKUP(D447,Deflatores!G$4:H$38,2,FALSE)*K447+VLOOKUP(D447,Deflatores!G$4:I$38,3,FALSE)))</f>
        <v/>
      </c>
      <c r="P447" s="115"/>
      <c r="Q447" s="115"/>
      <c r="R447" s="115"/>
      <c r="S447" s="115"/>
      <c r="T447" s="168"/>
      <c r="U447" s="133"/>
    </row>
    <row r="448" spans="1:21" x14ac:dyDescent="0.2">
      <c r="A448" s="115"/>
      <c r="B448" s="115"/>
      <c r="C448" s="105"/>
      <c r="D448" s="105"/>
      <c r="E448" s="105"/>
      <c r="F448" s="105"/>
      <c r="G448" s="105"/>
      <c r="H448" s="105"/>
      <c r="I448" s="142" t="str">
        <f t="shared" si="36"/>
        <v/>
      </c>
      <c r="J448" s="105" t="str">
        <f t="shared" si="37"/>
        <v/>
      </c>
      <c r="K448" s="143" t="str">
        <f t="shared" si="38"/>
        <v/>
      </c>
      <c r="L448" s="106" t="str">
        <f t="shared" si="39"/>
        <v/>
      </c>
      <c r="M448" s="105" t="str">
        <f t="shared" si="40"/>
        <v/>
      </c>
      <c r="N448" s="144" t="str">
        <f t="shared" si="41"/>
        <v/>
      </c>
      <c r="O448" s="144" t="str">
        <f>IF(NOT(ISERROR(VLOOKUP(C448,Deflatores!G$42:H$64,2,FALSE))),VLOOKUP(C448,Deflatores!G$42:H$64,2,FALSE),IF(OR(ISBLANK(D448),ISBLANK(C448)),"",VLOOKUP(D448,Deflatores!G$4:H$38,2,FALSE)*K448+VLOOKUP(D448,Deflatores!G$4:I$38,3,FALSE)))</f>
        <v/>
      </c>
      <c r="P448" s="115"/>
      <c r="Q448" s="115"/>
      <c r="R448" s="115"/>
      <c r="S448" s="115"/>
      <c r="T448" s="168"/>
      <c r="U448" s="133"/>
    </row>
    <row r="449" spans="1:21" x14ac:dyDescent="0.2">
      <c r="A449" s="115"/>
      <c r="B449" s="115"/>
      <c r="C449" s="105"/>
      <c r="D449" s="105"/>
      <c r="E449" s="105"/>
      <c r="F449" s="105"/>
      <c r="G449" s="105"/>
      <c r="H449" s="105"/>
      <c r="I449" s="142" t="str">
        <f t="shared" si="36"/>
        <v/>
      </c>
      <c r="J449" s="105" t="str">
        <f t="shared" si="37"/>
        <v/>
      </c>
      <c r="K449" s="143" t="str">
        <f t="shared" si="38"/>
        <v/>
      </c>
      <c r="L449" s="106" t="str">
        <f t="shared" si="39"/>
        <v/>
      </c>
      <c r="M449" s="105" t="str">
        <f t="shared" si="40"/>
        <v/>
      </c>
      <c r="N449" s="144" t="str">
        <f t="shared" si="41"/>
        <v/>
      </c>
      <c r="O449" s="144" t="str">
        <f>IF(NOT(ISERROR(VLOOKUP(C449,Deflatores!G$42:H$64,2,FALSE))),VLOOKUP(C449,Deflatores!G$42:H$64,2,FALSE),IF(OR(ISBLANK(D449),ISBLANK(C449)),"",VLOOKUP(D449,Deflatores!G$4:H$38,2,FALSE)*K449+VLOOKUP(D449,Deflatores!G$4:I$38,3,FALSE)))</f>
        <v/>
      </c>
      <c r="P449" s="115"/>
      <c r="Q449" s="115"/>
      <c r="R449" s="115"/>
      <c r="S449" s="115"/>
      <c r="T449" s="168"/>
      <c r="U449" s="133"/>
    </row>
    <row r="450" spans="1:21" x14ac:dyDescent="0.2">
      <c r="A450" s="115"/>
      <c r="B450" s="115"/>
      <c r="C450" s="105"/>
      <c r="D450" s="105"/>
      <c r="E450" s="105"/>
      <c r="F450" s="105"/>
      <c r="G450" s="105"/>
      <c r="H450" s="105"/>
      <c r="I450" s="142" t="str">
        <f t="shared" si="36"/>
        <v/>
      </c>
      <c r="J450" s="105" t="str">
        <f t="shared" si="37"/>
        <v/>
      </c>
      <c r="K450" s="143" t="str">
        <f t="shared" si="38"/>
        <v/>
      </c>
      <c r="L450" s="106" t="str">
        <f t="shared" si="39"/>
        <v/>
      </c>
      <c r="M450" s="105" t="str">
        <f t="shared" si="40"/>
        <v/>
      </c>
      <c r="N450" s="144" t="str">
        <f t="shared" si="41"/>
        <v/>
      </c>
      <c r="O450" s="144" t="str">
        <f>IF(NOT(ISERROR(VLOOKUP(C450,Deflatores!G$42:H$64,2,FALSE))),VLOOKUP(C450,Deflatores!G$42:H$64,2,FALSE),IF(OR(ISBLANK(D450),ISBLANK(C450)),"",VLOOKUP(D450,Deflatores!G$4:H$38,2,FALSE)*K450+VLOOKUP(D450,Deflatores!G$4:I$38,3,FALSE)))</f>
        <v/>
      </c>
      <c r="P450" s="115"/>
      <c r="Q450" s="115"/>
      <c r="R450" s="115"/>
      <c r="S450" s="115"/>
      <c r="T450" s="168"/>
      <c r="U450" s="133"/>
    </row>
    <row r="451" spans="1:21" x14ac:dyDescent="0.2">
      <c r="A451" s="115"/>
      <c r="B451" s="115"/>
      <c r="C451" s="105"/>
      <c r="D451" s="105"/>
      <c r="E451" s="105"/>
      <c r="F451" s="105"/>
      <c r="G451" s="105"/>
      <c r="H451" s="105"/>
      <c r="I451" s="142" t="str">
        <f t="shared" si="36"/>
        <v/>
      </c>
      <c r="J451" s="105" t="str">
        <f t="shared" si="37"/>
        <v/>
      </c>
      <c r="K451" s="143" t="str">
        <f t="shared" si="38"/>
        <v/>
      </c>
      <c r="L451" s="106" t="str">
        <f t="shared" si="39"/>
        <v/>
      </c>
      <c r="M451" s="105" t="str">
        <f t="shared" si="40"/>
        <v/>
      </c>
      <c r="N451" s="144" t="str">
        <f t="shared" si="41"/>
        <v/>
      </c>
      <c r="O451" s="144" t="str">
        <f>IF(NOT(ISERROR(VLOOKUP(C451,Deflatores!G$42:H$64,2,FALSE))),VLOOKUP(C451,Deflatores!G$42:H$64,2,FALSE),IF(OR(ISBLANK(D451),ISBLANK(C451)),"",VLOOKUP(D451,Deflatores!G$4:H$38,2,FALSE)*K451+VLOOKUP(D451,Deflatores!G$4:I$38,3,FALSE)))</f>
        <v/>
      </c>
      <c r="P451" s="115"/>
      <c r="Q451" s="115"/>
      <c r="R451" s="115"/>
      <c r="S451" s="115"/>
      <c r="T451" s="168"/>
      <c r="U451" s="133"/>
    </row>
    <row r="452" spans="1:21" x14ac:dyDescent="0.2">
      <c r="A452" s="115"/>
      <c r="B452" s="115"/>
      <c r="C452" s="105"/>
      <c r="D452" s="105"/>
      <c r="E452" s="105"/>
      <c r="F452" s="105"/>
      <c r="G452" s="105"/>
      <c r="H452" s="105"/>
      <c r="I452" s="142" t="str">
        <f t="shared" si="36"/>
        <v/>
      </c>
      <c r="J452" s="105" t="str">
        <f t="shared" si="37"/>
        <v/>
      </c>
      <c r="K452" s="143" t="str">
        <f t="shared" si="38"/>
        <v/>
      </c>
      <c r="L452" s="106" t="str">
        <f t="shared" si="39"/>
        <v/>
      </c>
      <c r="M452" s="105" t="str">
        <f t="shared" si="40"/>
        <v/>
      </c>
      <c r="N452" s="144" t="str">
        <f t="shared" si="41"/>
        <v/>
      </c>
      <c r="O452" s="144" t="str">
        <f>IF(NOT(ISERROR(VLOOKUP(C452,Deflatores!G$42:H$64,2,FALSE))),VLOOKUP(C452,Deflatores!G$42:H$64,2,FALSE),IF(OR(ISBLANK(D452),ISBLANK(C452)),"",VLOOKUP(D452,Deflatores!G$4:H$38,2,FALSE)*K452+VLOOKUP(D452,Deflatores!G$4:I$38,3,FALSE)))</f>
        <v/>
      </c>
      <c r="P452" s="115"/>
      <c r="Q452" s="115"/>
      <c r="R452" s="115"/>
      <c r="S452" s="115"/>
      <c r="T452" s="168"/>
      <c r="U452" s="133"/>
    </row>
    <row r="453" spans="1:21" x14ac:dyDescent="0.2">
      <c r="A453" s="115"/>
      <c r="B453" s="115"/>
      <c r="C453" s="105"/>
      <c r="D453" s="105"/>
      <c r="E453" s="105"/>
      <c r="F453" s="105"/>
      <c r="G453" s="105"/>
      <c r="H453" s="105"/>
      <c r="I453" s="142" t="str">
        <f t="shared" si="36"/>
        <v/>
      </c>
      <c r="J453" s="105" t="str">
        <f t="shared" si="37"/>
        <v/>
      </c>
      <c r="K453" s="143" t="str">
        <f t="shared" si="38"/>
        <v/>
      </c>
      <c r="L453" s="106" t="str">
        <f t="shared" si="39"/>
        <v/>
      </c>
      <c r="M453" s="105" t="str">
        <f t="shared" si="40"/>
        <v/>
      </c>
      <c r="N453" s="144" t="str">
        <f t="shared" si="41"/>
        <v/>
      </c>
      <c r="O453" s="144" t="str">
        <f>IF(NOT(ISERROR(VLOOKUP(C453,Deflatores!G$42:H$64,2,FALSE))),VLOOKUP(C453,Deflatores!G$42:H$64,2,FALSE),IF(OR(ISBLANK(D453),ISBLANK(C453)),"",VLOOKUP(D453,Deflatores!G$4:H$38,2,FALSE)*K453+VLOOKUP(D453,Deflatores!G$4:I$38,3,FALSE)))</f>
        <v/>
      </c>
      <c r="P453" s="115"/>
      <c r="Q453" s="115"/>
      <c r="R453" s="115"/>
      <c r="S453" s="115"/>
      <c r="T453" s="168"/>
      <c r="U453" s="133"/>
    </row>
    <row r="454" spans="1:21" x14ac:dyDescent="0.2">
      <c r="A454" s="115"/>
      <c r="B454" s="115"/>
      <c r="C454" s="105"/>
      <c r="D454" s="105"/>
      <c r="E454" s="105"/>
      <c r="F454" s="105"/>
      <c r="G454" s="105"/>
      <c r="H454" s="105"/>
      <c r="I454" s="142" t="str">
        <f t="shared" si="36"/>
        <v/>
      </c>
      <c r="J454" s="105" t="str">
        <f t="shared" si="37"/>
        <v/>
      </c>
      <c r="K454" s="143" t="str">
        <f t="shared" si="38"/>
        <v/>
      </c>
      <c r="L454" s="106" t="str">
        <f t="shared" si="39"/>
        <v/>
      </c>
      <c r="M454" s="105" t="str">
        <f t="shared" si="40"/>
        <v/>
      </c>
      <c r="N454" s="144" t="str">
        <f t="shared" si="41"/>
        <v/>
      </c>
      <c r="O454" s="144" t="str">
        <f>IF(NOT(ISERROR(VLOOKUP(C454,Deflatores!G$42:H$64,2,FALSE))),VLOOKUP(C454,Deflatores!G$42:H$64,2,FALSE),IF(OR(ISBLANK(D454),ISBLANK(C454)),"",VLOOKUP(D454,Deflatores!G$4:H$38,2,FALSE)*K454+VLOOKUP(D454,Deflatores!G$4:I$38,3,FALSE)))</f>
        <v/>
      </c>
      <c r="P454" s="115"/>
      <c r="Q454" s="115"/>
      <c r="R454" s="115"/>
      <c r="S454" s="115"/>
      <c r="T454" s="168"/>
      <c r="U454" s="133"/>
    </row>
    <row r="455" spans="1:21" x14ac:dyDescent="0.2">
      <c r="A455" s="115"/>
      <c r="B455" s="115"/>
      <c r="C455" s="105"/>
      <c r="D455" s="105"/>
      <c r="E455" s="105"/>
      <c r="F455" s="105"/>
      <c r="G455" s="105"/>
      <c r="H455" s="105"/>
      <c r="I455" s="142" t="str">
        <f t="shared" si="36"/>
        <v/>
      </c>
      <c r="J455" s="105" t="str">
        <f t="shared" si="37"/>
        <v/>
      </c>
      <c r="K455" s="143" t="str">
        <f t="shared" si="38"/>
        <v/>
      </c>
      <c r="L455" s="106" t="str">
        <f t="shared" si="39"/>
        <v/>
      </c>
      <c r="M455" s="105" t="str">
        <f t="shared" si="40"/>
        <v/>
      </c>
      <c r="N455" s="144" t="str">
        <f t="shared" si="41"/>
        <v/>
      </c>
      <c r="O455" s="144" t="str">
        <f>IF(NOT(ISERROR(VLOOKUP(C455,Deflatores!G$42:H$64,2,FALSE))),VLOOKUP(C455,Deflatores!G$42:H$64,2,FALSE),IF(OR(ISBLANK(D455),ISBLANK(C455)),"",VLOOKUP(D455,Deflatores!G$4:H$38,2,FALSE)*K455+VLOOKUP(D455,Deflatores!G$4:I$38,3,FALSE)))</f>
        <v/>
      </c>
      <c r="P455" s="115"/>
      <c r="Q455" s="115"/>
      <c r="R455" s="115"/>
      <c r="S455" s="115"/>
      <c r="T455" s="168"/>
      <c r="U455" s="133"/>
    </row>
    <row r="456" spans="1:21" x14ac:dyDescent="0.2">
      <c r="A456" s="115"/>
      <c r="B456" s="115"/>
      <c r="C456" s="105"/>
      <c r="D456" s="105"/>
      <c r="E456" s="105"/>
      <c r="F456" s="105"/>
      <c r="G456" s="105"/>
      <c r="H456" s="105"/>
      <c r="I456" s="142" t="str">
        <f t="shared" si="36"/>
        <v/>
      </c>
      <c r="J456" s="105" t="str">
        <f t="shared" si="37"/>
        <v/>
      </c>
      <c r="K456" s="143" t="str">
        <f t="shared" si="38"/>
        <v/>
      </c>
      <c r="L456" s="106" t="str">
        <f t="shared" si="39"/>
        <v/>
      </c>
      <c r="M456" s="105" t="str">
        <f t="shared" si="40"/>
        <v/>
      </c>
      <c r="N456" s="144" t="str">
        <f t="shared" si="41"/>
        <v/>
      </c>
      <c r="O456" s="144" t="str">
        <f>IF(NOT(ISERROR(VLOOKUP(C456,Deflatores!G$42:H$64,2,FALSE))),VLOOKUP(C456,Deflatores!G$42:H$64,2,FALSE),IF(OR(ISBLANK(D456),ISBLANK(C456)),"",VLOOKUP(D456,Deflatores!G$4:H$38,2,FALSE)*K456+VLOOKUP(D456,Deflatores!G$4:I$38,3,FALSE)))</f>
        <v/>
      </c>
      <c r="P456" s="115"/>
      <c r="Q456" s="115"/>
      <c r="R456" s="115"/>
      <c r="S456" s="115"/>
      <c r="T456" s="168"/>
      <c r="U456" s="133"/>
    </row>
    <row r="457" spans="1:21" x14ac:dyDescent="0.2">
      <c r="A457" s="115"/>
      <c r="B457" s="115"/>
      <c r="C457" s="105"/>
      <c r="D457" s="105"/>
      <c r="E457" s="105"/>
      <c r="F457" s="105"/>
      <c r="G457" s="105"/>
      <c r="H457" s="105"/>
      <c r="I457" s="142" t="str">
        <f t="shared" si="36"/>
        <v/>
      </c>
      <c r="J457" s="105" t="str">
        <f t="shared" si="37"/>
        <v/>
      </c>
      <c r="K457" s="143" t="str">
        <f t="shared" si="38"/>
        <v/>
      </c>
      <c r="L457" s="106" t="str">
        <f t="shared" si="39"/>
        <v/>
      </c>
      <c r="M457" s="105" t="str">
        <f t="shared" si="40"/>
        <v/>
      </c>
      <c r="N457" s="144" t="str">
        <f t="shared" si="41"/>
        <v/>
      </c>
      <c r="O457" s="144" t="str">
        <f>IF(NOT(ISERROR(VLOOKUP(C457,Deflatores!G$42:H$64,2,FALSE))),VLOOKUP(C457,Deflatores!G$42:H$64,2,FALSE),IF(OR(ISBLANK(D457),ISBLANK(C457)),"",VLOOKUP(D457,Deflatores!G$4:H$38,2,FALSE)*K457+VLOOKUP(D457,Deflatores!G$4:I$38,3,FALSE)))</f>
        <v/>
      </c>
      <c r="P457" s="115"/>
      <c r="Q457" s="115"/>
      <c r="R457" s="115"/>
      <c r="S457" s="115"/>
      <c r="T457" s="168"/>
      <c r="U457" s="133"/>
    </row>
    <row r="458" spans="1:21" x14ac:dyDescent="0.2">
      <c r="A458" s="115"/>
      <c r="B458" s="115"/>
      <c r="C458" s="105"/>
      <c r="D458" s="105"/>
      <c r="E458" s="105"/>
      <c r="F458" s="105"/>
      <c r="G458" s="105"/>
      <c r="H458" s="105"/>
      <c r="I458" s="142" t="str">
        <f t="shared" si="36"/>
        <v/>
      </c>
      <c r="J458" s="105" t="str">
        <f t="shared" si="37"/>
        <v/>
      </c>
      <c r="K458" s="143" t="str">
        <f t="shared" si="38"/>
        <v/>
      </c>
      <c r="L458" s="106" t="str">
        <f t="shared" si="39"/>
        <v/>
      </c>
      <c r="M458" s="105" t="str">
        <f t="shared" si="40"/>
        <v/>
      </c>
      <c r="N458" s="144" t="str">
        <f t="shared" si="41"/>
        <v/>
      </c>
      <c r="O458" s="144" t="str">
        <f>IF(NOT(ISERROR(VLOOKUP(C458,Deflatores!G$42:H$64,2,FALSE))),VLOOKUP(C458,Deflatores!G$42:H$64,2,FALSE),IF(OR(ISBLANK(D458),ISBLANK(C458)),"",VLOOKUP(D458,Deflatores!G$4:H$38,2,FALSE)*K458+VLOOKUP(D458,Deflatores!G$4:I$38,3,FALSE)))</f>
        <v/>
      </c>
      <c r="P458" s="115"/>
      <c r="Q458" s="115"/>
      <c r="R458" s="115"/>
      <c r="S458" s="115"/>
      <c r="T458" s="168"/>
      <c r="U458" s="133"/>
    </row>
    <row r="459" spans="1:21" x14ac:dyDescent="0.2">
      <c r="A459" s="115"/>
      <c r="B459" s="115"/>
      <c r="C459" s="105"/>
      <c r="D459" s="105"/>
      <c r="E459" s="105"/>
      <c r="F459" s="105"/>
      <c r="G459" s="105"/>
      <c r="H459" s="105"/>
      <c r="I459" s="142" t="str">
        <f t="shared" si="36"/>
        <v/>
      </c>
      <c r="J459" s="105" t="str">
        <f t="shared" si="37"/>
        <v/>
      </c>
      <c r="K459" s="143" t="str">
        <f t="shared" si="38"/>
        <v/>
      </c>
      <c r="L459" s="106" t="str">
        <f t="shared" si="39"/>
        <v/>
      </c>
      <c r="M459" s="105" t="str">
        <f t="shared" si="40"/>
        <v/>
      </c>
      <c r="N459" s="144" t="str">
        <f t="shared" si="41"/>
        <v/>
      </c>
      <c r="O459" s="144" t="str">
        <f>IF(NOT(ISERROR(VLOOKUP(C459,Deflatores!G$42:H$64,2,FALSE))),VLOOKUP(C459,Deflatores!G$42:H$64,2,FALSE),IF(OR(ISBLANK(D459),ISBLANK(C459)),"",VLOOKUP(D459,Deflatores!G$4:H$38,2,FALSE)*K459+VLOOKUP(D459,Deflatores!G$4:I$38,3,FALSE)))</f>
        <v/>
      </c>
      <c r="P459" s="115"/>
      <c r="Q459" s="115"/>
      <c r="R459" s="115"/>
      <c r="S459" s="115"/>
      <c r="T459" s="168"/>
      <c r="U459" s="133"/>
    </row>
    <row r="460" spans="1:21" x14ac:dyDescent="0.2">
      <c r="A460" s="115"/>
      <c r="B460" s="115"/>
      <c r="C460" s="105"/>
      <c r="D460" s="105"/>
      <c r="E460" s="105"/>
      <c r="F460" s="105"/>
      <c r="G460" s="105"/>
      <c r="H460" s="105"/>
      <c r="I460" s="142" t="str">
        <f t="shared" si="36"/>
        <v/>
      </c>
      <c r="J460" s="105" t="str">
        <f t="shared" si="37"/>
        <v/>
      </c>
      <c r="K460" s="143" t="str">
        <f t="shared" si="38"/>
        <v/>
      </c>
      <c r="L460" s="106" t="str">
        <f t="shared" si="39"/>
        <v/>
      </c>
      <c r="M460" s="105" t="str">
        <f t="shared" si="40"/>
        <v/>
      </c>
      <c r="N460" s="144" t="str">
        <f t="shared" si="41"/>
        <v/>
      </c>
      <c r="O460" s="144" t="str">
        <f>IF(NOT(ISERROR(VLOOKUP(C460,Deflatores!G$42:H$64,2,FALSE))),VLOOKUP(C460,Deflatores!G$42:H$64,2,FALSE),IF(OR(ISBLANK(D460),ISBLANK(C460)),"",VLOOKUP(D460,Deflatores!G$4:H$38,2,FALSE)*K460+VLOOKUP(D460,Deflatores!G$4:I$38,3,FALSE)))</f>
        <v/>
      </c>
      <c r="P460" s="115"/>
      <c r="Q460" s="115"/>
      <c r="R460" s="115"/>
      <c r="S460" s="115"/>
      <c r="T460" s="168"/>
      <c r="U460" s="133"/>
    </row>
    <row r="461" spans="1:21" x14ac:dyDescent="0.2">
      <c r="A461" s="115"/>
      <c r="B461" s="115"/>
      <c r="C461" s="105"/>
      <c r="D461" s="105"/>
      <c r="E461" s="105"/>
      <c r="F461" s="105"/>
      <c r="G461" s="105"/>
      <c r="H461" s="105"/>
      <c r="I461" s="142" t="str">
        <f t="shared" si="36"/>
        <v/>
      </c>
      <c r="J461" s="105" t="str">
        <f t="shared" si="37"/>
        <v/>
      </c>
      <c r="K461" s="143" t="str">
        <f t="shared" si="38"/>
        <v/>
      </c>
      <c r="L461" s="106" t="str">
        <f t="shared" si="39"/>
        <v/>
      </c>
      <c r="M461" s="105" t="str">
        <f t="shared" si="40"/>
        <v/>
      </c>
      <c r="N461" s="144" t="str">
        <f t="shared" si="41"/>
        <v/>
      </c>
      <c r="O461" s="144" t="str">
        <f>IF(NOT(ISERROR(VLOOKUP(C461,Deflatores!G$42:H$64,2,FALSE))),VLOOKUP(C461,Deflatores!G$42:H$64,2,FALSE),IF(OR(ISBLANK(D461),ISBLANK(C461)),"",VLOOKUP(D461,Deflatores!G$4:H$38,2,FALSE)*K461+VLOOKUP(D461,Deflatores!G$4:I$38,3,FALSE)))</f>
        <v/>
      </c>
      <c r="P461" s="115"/>
      <c r="Q461" s="115"/>
      <c r="R461" s="115"/>
      <c r="S461" s="115"/>
      <c r="T461" s="168"/>
      <c r="U461" s="133"/>
    </row>
    <row r="462" spans="1:21" x14ac:dyDescent="0.2">
      <c r="A462" s="115"/>
      <c r="B462" s="115"/>
      <c r="C462" s="105"/>
      <c r="D462" s="105"/>
      <c r="E462" s="105"/>
      <c r="F462" s="105"/>
      <c r="G462" s="105"/>
      <c r="H462" s="105"/>
      <c r="I462" s="142" t="str">
        <f t="shared" ref="I462:I525" si="42">IF(ISBLANK(C462),"",IF(L462="L","Baixa",IF(L462="A","Média",IF(L462="","","Alta"))))</f>
        <v/>
      </c>
      <c r="J462" s="105" t="str">
        <f t="shared" ref="J462:J525" si="43">CONCATENATE(C462,L462)</f>
        <v/>
      </c>
      <c r="K462" s="143" t="str">
        <f t="shared" ref="K462:K525" si="44">IF(ISBLANK(C462),"",IF(C462="ALI",IF(L462="L",7,IF(L462="A",10,15)),IF(C462="AIE",IF(L462="L",5,IF(L462="A",7,10)),IF(C462="SE",IF(L462="L",4,IF(L462="A",5,7)),IF(OR(C462="EE",C462="CE"),IF(L462="L",3,IF(L462="A",4,6)),0)))))</f>
        <v/>
      </c>
      <c r="L462" s="106" t="str">
        <f t="shared" ref="L462:L525" si="45">IF(OR(ISBLANK(E462),ISBLANK(G462)),IF(OR(C462="ALI",C462="AIE"),"L",IF(OR(C462="EE",C462="SE",C462="CE"),"A","")),IF(C462="EE",IF(G462&gt;=3,IF(E462&gt;=5,"H","A"),IF(G462&gt;=2,IF(E462&gt;=16,"H",IF(E462&lt;=4,"L","A")),IF(E462&lt;=15,"L","A"))),IF(OR(C462="SE",C462="CE"),IF(G462&gt;=4,IF(E462&gt;=6,"H","A"),IF(G462&gt;=2,IF(E462&gt;=20,"H",IF(E462&lt;=5,"L","A")),IF(E462&lt;=19,"L","A"))),IF(OR(C462="ALI",C462="AIE"),IF(G462&gt;=6,IF(E462&gt;=20,"H","A"),IF(G462&gt;=2,IF(E462&gt;=51,"H",IF(E462&lt;=19,"L","A")),IF(E462&lt;=50,"L","A"))),""))))</f>
        <v/>
      </c>
      <c r="M462" s="105" t="str">
        <f t="shared" ref="M462:M525" si="46">CONCATENATE(C462,D462)</f>
        <v/>
      </c>
      <c r="N462" s="144" t="str">
        <f t="shared" ref="N462:N525" si="47">IF(OR(K462="",K462=0),O462,K462)</f>
        <v/>
      </c>
      <c r="O462" s="144" t="str">
        <f>IF(NOT(ISERROR(VLOOKUP(C462,Deflatores!G$42:H$64,2,FALSE))),VLOOKUP(C462,Deflatores!G$42:H$64,2,FALSE),IF(OR(ISBLANK(D462),ISBLANK(C462)),"",VLOOKUP(D462,Deflatores!G$4:H$38,2,FALSE)*K462+VLOOKUP(D462,Deflatores!G$4:I$38,3,FALSE)))</f>
        <v/>
      </c>
      <c r="P462" s="115"/>
      <c r="Q462" s="115"/>
      <c r="R462" s="115"/>
      <c r="S462" s="115"/>
      <c r="T462" s="168"/>
      <c r="U462" s="133"/>
    </row>
    <row r="463" spans="1:21" x14ac:dyDescent="0.2">
      <c r="A463" s="115"/>
      <c r="B463" s="115"/>
      <c r="C463" s="105"/>
      <c r="D463" s="105"/>
      <c r="E463" s="105"/>
      <c r="F463" s="105"/>
      <c r="G463" s="105"/>
      <c r="H463" s="105"/>
      <c r="I463" s="142" t="str">
        <f t="shared" si="42"/>
        <v/>
      </c>
      <c r="J463" s="105" t="str">
        <f t="shared" si="43"/>
        <v/>
      </c>
      <c r="K463" s="143" t="str">
        <f t="shared" si="44"/>
        <v/>
      </c>
      <c r="L463" s="106" t="str">
        <f t="shared" si="45"/>
        <v/>
      </c>
      <c r="M463" s="105" t="str">
        <f t="shared" si="46"/>
        <v/>
      </c>
      <c r="N463" s="144" t="str">
        <f t="shared" si="47"/>
        <v/>
      </c>
      <c r="O463" s="144" t="str">
        <f>IF(NOT(ISERROR(VLOOKUP(C463,Deflatores!G$42:H$64,2,FALSE))),VLOOKUP(C463,Deflatores!G$42:H$64,2,FALSE),IF(OR(ISBLANK(D463),ISBLANK(C463)),"",VLOOKUP(D463,Deflatores!G$4:H$38,2,FALSE)*K463+VLOOKUP(D463,Deflatores!G$4:I$38,3,FALSE)))</f>
        <v/>
      </c>
      <c r="P463" s="115"/>
      <c r="Q463" s="115"/>
      <c r="R463" s="115"/>
      <c r="S463" s="115"/>
      <c r="T463" s="168"/>
      <c r="U463" s="133"/>
    </row>
    <row r="464" spans="1:21" x14ac:dyDescent="0.2">
      <c r="A464" s="115"/>
      <c r="B464" s="115"/>
      <c r="C464" s="105"/>
      <c r="D464" s="105"/>
      <c r="E464" s="105"/>
      <c r="F464" s="105"/>
      <c r="G464" s="105"/>
      <c r="H464" s="105"/>
      <c r="I464" s="142" t="str">
        <f t="shared" si="42"/>
        <v/>
      </c>
      <c r="J464" s="105" t="str">
        <f t="shared" si="43"/>
        <v/>
      </c>
      <c r="K464" s="143" t="str">
        <f t="shared" si="44"/>
        <v/>
      </c>
      <c r="L464" s="106" t="str">
        <f t="shared" si="45"/>
        <v/>
      </c>
      <c r="M464" s="105" t="str">
        <f t="shared" si="46"/>
        <v/>
      </c>
      <c r="N464" s="144" t="str">
        <f t="shared" si="47"/>
        <v/>
      </c>
      <c r="O464" s="144" t="str">
        <f>IF(NOT(ISERROR(VLOOKUP(C464,Deflatores!G$42:H$64,2,FALSE))),VLOOKUP(C464,Deflatores!G$42:H$64,2,FALSE),IF(OR(ISBLANK(D464),ISBLANK(C464)),"",VLOOKUP(D464,Deflatores!G$4:H$38,2,FALSE)*K464+VLOOKUP(D464,Deflatores!G$4:I$38,3,FALSE)))</f>
        <v/>
      </c>
      <c r="P464" s="115"/>
      <c r="Q464" s="115"/>
      <c r="R464" s="115"/>
      <c r="S464" s="115"/>
      <c r="T464" s="168"/>
      <c r="U464" s="133"/>
    </row>
    <row r="465" spans="1:21" x14ac:dyDescent="0.2">
      <c r="A465" s="115"/>
      <c r="B465" s="115"/>
      <c r="C465" s="105"/>
      <c r="D465" s="105"/>
      <c r="E465" s="105"/>
      <c r="F465" s="105"/>
      <c r="G465" s="105"/>
      <c r="H465" s="105"/>
      <c r="I465" s="142" t="str">
        <f t="shared" si="42"/>
        <v/>
      </c>
      <c r="J465" s="105" t="str">
        <f t="shared" si="43"/>
        <v/>
      </c>
      <c r="K465" s="143" t="str">
        <f t="shared" si="44"/>
        <v/>
      </c>
      <c r="L465" s="106" t="str">
        <f t="shared" si="45"/>
        <v/>
      </c>
      <c r="M465" s="105" t="str">
        <f t="shared" si="46"/>
        <v/>
      </c>
      <c r="N465" s="144" t="str">
        <f t="shared" si="47"/>
        <v/>
      </c>
      <c r="O465" s="144" t="str">
        <f>IF(NOT(ISERROR(VLOOKUP(C465,Deflatores!G$42:H$64,2,FALSE))),VLOOKUP(C465,Deflatores!G$42:H$64,2,FALSE),IF(OR(ISBLANK(D465),ISBLANK(C465)),"",VLOOKUP(D465,Deflatores!G$4:H$38,2,FALSE)*K465+VLOOKUP(D465,Deflatores!G$4:I$38,3,FALSE)))</f>
        <v/>
      </c>
      <c r="P465" s="115"/>
      <c r="Q465" s="115"/>
      <c r="R465" s="115"/>
      <c r="S465" s="115"/>
      <c r="T465" s="168"/>
      <c r="U465" s="133"/>
    </row>
    <row r="466" spans="1:21" x14ac:dyDescent="0.2">
      <c r="A466" s="115"/>
      <c r="B466" s="115"/>
      <c r="C466" s="105"/>
      <c r="D466" s="105"/>
      <c r="E466" s="105"/>
      <c r="F466" s="105"/>
      <c r="G466" s="105"/>
      <c r="H466" s="105"/>
      <c r="I466" s="142" t="str">
        <f t="shared" si="42"/>
        <v/>
      </c>
      <c r="J466" s="105" t="str">
        <f t="shared" si="43"/>
        <v/>
      </c>
      <c r="K466" s="143" t="str">
        <f t="shared" si="44"/>
        <v/>
      </c>
      <c r="L466" s="106" t="str">
        <f t="shared" si="45"/>
        <v/>
      </c>
      <c r="M466" s="105" t="str">
        <f t="shared" si="46"/>
        <v/>
      </c>
      <c r="N466" s="144" t="str">
        <f t="shared" si="47"/>
        <v/>
      </c>
      <c r="O466" s="144" t="str">
        <f>IF(NOT(ISERROR(VLOOKUP(C466,Deflatores!G$42:H$64,2,FALSE))),VLOOKUP(C466,Deflatores!G$42:H$64,2,FALSE),IF(OR(ISBLANK(D466),ISBLANK(C466)),"",VLOOKUP(D466,Deflatores!G$4:H$38,2,FALSE)*K466+VLOOKUP(D466,Deflatores!G$4:I$38,3,FALSE)))</f>
        <v/>
      </c>
      <c r="P466" s="115"/>
      <c r="Q466" s="115"/>
      <c r="R466" s="115"/>
      <c r="S466" s="115"/>
      <c r="T466" s="168"/>
      <c r="U466" s="133"/>
    </row>
    <row r="467" spans="1:21" x14ac:dyDescent="0.2">
      <c r="A467" s="115"/>
      <c r="B467" s="115"/>
      <c r="C467" s="105"/>
      <c r="D467" s="105"/>
      <c r="E467" s="105"/>
      <c r="F467" s="105"/>
      <c r="G467" s="105"/>
      <c r="H467" s="105"/>
      <c r="I467" s="142" t="str">
        <f t="shared" si="42"/>
        <v/>
      </c>
      <c r="J467" s="105" t="str">
        <f t="shared" si="43"/>
        <v/>
      </c>
      <c r="K467" s="143" t="str">
        <f t="shared" si="44"/>
        <v/>
      </c>
      <c r="L467" s="106" t="str">
        <f t="shared" si="45"/>
        <v/>
      </c>
      <c r="M467" s="105" t="str">
        <f t="shared" si="46"/>
        <v/>
      </c>
      <c r="N467" s="144" t="str">
        <f t="shared" si="47"/>
        <v/>
      </c>
      <c r="O467" s="144" t="str">
        <f>IF(NOT(ISERROR(VLOOKUP(C467,Deflatores!G$42:H$64,2,FALSE))),VLOOKUP(C467,Deflatores!G$42:H$64,2,FALSE),IF(OR(ISBLANK(D467),ISBLANK(C467)),"",VLOOKUP(D467,Deflatores!G$4:H$38,2,FALSE)*K467+VLOOKUP(D467,Deflatores!G$4:I$38,3,FALSE)))</f>
        <v/>
      </c>
      <c r="P467" s="115"/>
      <c r="Q467" s="115"/>
      <c r="R467" s="115"/>
      <c r="S467" s="115"/>
      <c r="T467" s="168"/>
      <c r="U467" s="133"/>
    </row>
    <row r="468" spans="1:21" x14ac:dyDescent="0.2">
      <c r="A468" s="115"/>
      <c r="B468" s="115"/>
      <c r="C468" s="105"/>
      <c r="D468" s="105"/>
      <c r="E468" s="105"/>
      <c r="F468" s="105"/>
      <c r="G468" s="105"/>
      <c r="H468" s="105"/>
      <c r="I468" s="142" t="str">
        <f t="shared" si="42"/>
        <v/>
      </c>
      <c r="J468" s="105" t="str">
        <f t="shared" si="43"/>
        <v/>
      </c>
      <c r="K468" s="143" t="str">
        <f t="shared" si="44"/>
        <v/>
      </c>
      <c r="L468" s="106" t="str">
        <f t="shared" si="45"/>
        <v/>
      </c>
      <c r="M468" s="105" t="str">
        <f t="shared" si="46"/>
        <v/>
      </c>
      <c r="N468" s="144" t="str">
        <f t="shared" si="47"/>
        <v/>
      </c>
      <c r="O468" s="144" t="str">
        <f>IF(NOT(ISERROR(VLOOKUP(C468,Deflatores!G$42:H$64,2,FALSE))),VLOOKUP(C468,Deflatores!G$42:H$64,2,FALSE),IF(OR(ISBLANK(D468),ISBLANK(C468)),"",VLOOKUP(D468,Deflatores!G$4:H$38,2,FALSE)*K468+VLOOKUP(D468,Deflatores!G$4:I$38,3,FALSE)))</f>
        <v/>
      </c>
      <c r="P468" s="115"/>
      <c r="Q468" s="115"/>
      <c r="R468" s="115"/>
      <c r="S468" s="115"/>
      <c r="T468" s="168"/>
      <c r="U468" s="133"/>
    </row>
    <row r="469" spans="1:21" x14ac:dyDescent="0.2">
      <c r="A469" s="115"/>
      <c r="B469" s="115"/>
      <c r="C469" s="105"/>
      <c r="D469" s="105"/>
      <c r="E469" s="105"/>
      <c r="F469" s="105"/>
      <c r="G469" s="105"/>
      <c r="H469" s="105"/>
      <c r="I469" s="142" t="str">
        <f t="shared" si="42"/>
        <v/>
      </c>
      <c r="J469" s="105" t="str">
        <f t="shared" si="43"/>
        <v/>
      </c>
      <c r="K469" s="143" t="str">
        <f t="shared" si="44"/>
        <v/>
      </c>
      <c r="L469" s="106" t="str">
        <f t="shared" si="45"/>
        <v/>
      </c>
      <c r="M469" s="105" t="str">
        <f t="shared" si="46"/>
        <v/>
      </c>
      <c r="N469" s="144" t="str">
        <f t="shared" si="47"/>
        <v/>
      </c>
      <c r="O469" s="144" t="str">
        <f>IF(NOT(ISERROR(VLOOKUP(C469,Deflatores!G$42:H$64,2,FALSE))),VLOOKUP(C469,Deflatores!G$42:H$64,2,FALSE),IF(OR(ISBLANK(D469),ISBLANK(C469)),"",VLOOKUP(D469,Deflatores!G$4:H$38,2,FALSE)*K469+VLOOKUP(D469,Deflatores!G$4:I$38,3,FALSE)))</f>
        <v/>
      </c>
      <c r="P469" s="115"/>
      <c r="Q469" s="115"/>
      <c r="R469" s="115"/>
      <c r="S469" s="115"/>
      <c r="T469" s="168"/>
      <c r="U469" s="133"/>
    </row>
    <row r="470" spans="1:21" x14ac:dyDescent="0.2">
      <c r="A470" s="115"/>
      <c r="B470" s="115"/>
      <c r="C470" s="105"/>
      <c r="D470" s="105"/>
      <c r="E470" s="105"/>
      <c r="F470" s="105"/>
      <c r="G470" s="105"/>
      <c r="H470" s="105"/>
      <c r="I470" s="142" t="str">
        <f t="shared" si="42"/>
        <v/>
      </c>
      <c r="J470" s="105" t="str">
        <f t="shared" si="43"/>
        <v/>
      </c>
      <c r="K470" s="143" t="str">
        <f t="shared" si="44"/>
        <v/>
      </c>
      <c r="L470" s="106" t="str">
        <f t="shared" si="45"/>
        <v/>
      </c>
      <c r="M470" s="105" t="str">
        <f t="shared" si="46"/>
        <v/>
      </c>
      <c r="N470" s="144" t="str">
        <f t="shared" si="47"/>
        <v/>
      </c>
      <c r="O470" s="144" t="str">
        <f>IF(NOT(ISERROR(VLOOKUP(C470,Deflatores!G$42:H$64,2,FALSE))),VLOOKUP(C470,Deflatores!G$42:H$64,2,FALSE),IF(OR(ISBLANK(D470),ISBLANK(C470)),"",VLOOKUP(D470,Deflatores!G$4:H$38,2,FALSE)*K470+VLOOKUP(D470,Deflatores!G$4:I$38,3,FALSE)))</f>
        <v/>
      </c>
      <c r="P470" s="115"/>
      <c r="Q470" s="115"/>
      <c r="R470" s="115"/>
      <c r="S470" s="115"/>
      <c r="T470" s="168"/>
      <c r="U470" s="133"/>
    </row>
    <row r="471" spans="1:21" x14ac:dyDescent="0.2">
      <c r="A471" s="115"/>
      <c r="B471" s="115"/>
      <c r="C471" s="105"/>
      <c r="D471" s="105"/>
      <c r="E471" s="105"/>
      <c r="F471" s="105"/>
      <c r="G471" s="105"/>
      <c r="H471" s="105"/>
      <c r="I471" s="142" t="str">
        <f t="shared" si="42"/>
        <v/>
      </c>
      <c r="J471" s="105" t="str">
        <f t="shared" si="43"/>
        <v/>
      </c>
      <c r="K471" s="143" t="str">
        <f t="shared" si="44"/>
        <v/>
      </c>
      <c r="L471" s="106" t="str">
        <f t="shared" si="45"/>
        <v/>
      </c>
      <c r="M471" s="105" t="str">
        <f t="shared" si="46"/>
        <v/>
      </c>
      <c r="N471" s="144" t="str">
        <f t="shared" si="47"/>
        <v/>
      </c>
      <c r="O471" s="144" t="str">
        <f>IF(NOT(ISERROR(VLOOKUP(C471,Deflatores!G$42:H$64,2,FALSE))),VLOOKUP(C471,Deflatores!G$42:H$64,2,FALSE),IF(OR(ISBLANK(D471),ISBLANK(C471)),"",VLOOKUP(D471,Deflatores!G$4:H$38,2,FALSE)*K471+VLOOKUP(D471,Deflatores!G$4:I$38,3,FALSE)))</f>
        <v/>
      </c>
      <c r="P471" s="115"/>
      <c r="Q471" s="115"/>
      <c r="R471" s="115"/>
      <c r="S471" s="115"/>
      <c r="T471" s="168"/>
      <c r="U471" s="133"/>
    </row>
    <row r="472" spans="1:21" x14ac:dyDescent="0.2">
      <c r="A472" s="115"/>
      <c r="B472" s="115"/>
      <c r="C472" s="105"/>
      <c r="D472" s="105"/>
      <c r="E472" s="105"/>
      <c r="F472" s="105"/>
      <c r="G472" s="105"/>
      <c r="H472" s="105"/>
      <c r="I472" s="142" t="str">
        <f t="shared" si="42"/>
        <v/>
      </c>
      <c r="J472" s="105" t="str">
        <f t="shared" si="43"/>
        <v/>
      </c>
      <c r="K472" s="143" t="str">
        <f t="shared" si="44"/>
        <v/>
      </c>
      <c r="L472" s="106" t="str">
        <f t="shared" si="45"/>
        <v/>
      </c>
      <c r="M472" s="105" t="str">
        <f t="shared" si="46"/>
        <v/>
      </c>
      <c r="N472" s="144" t="str">
        <f t="shared" si="47"/>
        <v/>
      </c>
      <c r="O472" s="144" t="str">
        <f>IF(NOT(ISERROR(VLOOKUP(C472,Deflatores!G$42:H$64,2,FALSE))),VLOOKUP(C472,Deflatores!G$42:H$64,2,FALSE),IF(OR(ISBLANK(D472),ISBLANK(C472)),"",VLOOKUP(D472,Deflatores!G$4:H$38,2,FALSE)*K472+VLOOKUP(D472,Deflatores!G$4:I$38,3,FALSE)))</f>
        <v/>
      </c>
      <c r="P472" s="115"/>
      <c r="Q472" s="115"/>
      <c r="R472" s="115"/>
      <c r="S472" s="115"/>
      <c r="T472" s="168"/>
      <c r="U472" s="133"/>
    </row>
    <row r="473" spans="1:21" x14ac:dyDescent="0.2">
      <c r="A473" s="115"/>
      <c r="B473" s="115"/>
      <c r="C473" s="105"/>
      <c r="D473" s="105"/>
      <c r="E473" s="105"/>
      <c r="F473" s="105"/>
      <c r="G473" s="105"/>
      <c r="H473" s="105"/>
      <c r="I473" s="142" t="str">
        <f t="shared" si="42"/>
        <v/>
      </c>
      <c r="J473" s="105" t="str">
        <f t="shared" si="43"/>
        <v/>
      </c>
      <c r="K473" s="143" t="str">
        <f t="shared" si="44"/>
        <v/>
      </c>
      <c r="L473" s="106" t="str">
        <f t="shared" si="45"/>
        <v/>
      </c>
      <c r="M473" s="105" t="str">
        <f t="shared" si="46"/>
        <v/>
      </c>
      <c r="N473" s="144" t="str">
        <f t="shared" si="47"/>
        <v/>
      </c>
      <c r="O473" s="144" t="str">
        <f>IF(NOT(ISERROR(VLOOKUP(C473,Deflatores!G$42:H$64,2,FALSE))),VLOOKUP(C473,Deflatores!G$42:H$64,2,FALSE),IF(OR(ISBLANK(D473),ISBLANK(C473)),"",VLOOKUP(D473,Deflatores!G$4:H$38,2,FALSE)*K473+VLOOKUP(D473,Deflatores!G$4:I$38,3,FALSE)))</f>
        <v/>
      </c>
      <c r="P473" s="115"/>
      <c r="Q473" s="115"/>
      <c r="R473" s="115"/>
      <c r="S473" s="115"/>
      <c r="T473" s="168"/>
      <c r="U473" s="133"/>
    </row>
    <row r="474" spans="1:21" x14ac:dyDescent="0.2">
      <c r="A474" s="115"/>
      <c r="B474" s="115"/>
      <c r="C474" s="105"/>
      <c r="D474" s="105"/>
      <c r="E474" s="105"/>
      <c r="F474" s="105"/>
      <c r="G474" s="105"/>
      <c r="H474" s="105"/>
      <c r="I474" s="142" t="str">
        <f t="shared" si="42"/>
        <v/>
      </c>
      <c r="J474" s="105" t="str">
        <f t="shared" si="43"/>
        <v/>
      </c>
      <c r="K474" s="143" t="str">
        <f t="shared" si="44"/>
        <v/>
      </c>
      <c r="L474" s="106" t="str">
        <f t="shared" si="45"/>
        <v/>
      </c>
      <c r="M474" s="105" t="str">
        <f t="shared" si="46"/>
        <v/>
      </c>
      <c r="N474" s="144" t="str">
        <f t="shared" si="47"/>
        <v/>
      </c>
      <c r="O474" s="144" t="str">
        <f>IF(NOT(ISERROR(VLOOKUP(C474,Deflatores!G$42:H$64,2,FALSE))),VLOOKUP(C474,Deflatores!G$42:H$64,2,FALSE),IF(OR(ISBLANK(D474),ISBLANK(C474)),"",VLOOKUP(D474,Deflatores!G$4:H$38,2,FALSE)*K474+VLOOKUP(D474,Deflatores!G$4:I$38,3,FALSE)))</f>
        <v/>
      </c>
      <c r="P474" s="115"/>
      <c r="Q474" s="115"/>
      <c r="R474" s="115"/>
      <c r="S474" s="115"/>
      <c r="T474" s="168"/>
      <c r="U474" s="133"/>
    </row>
    <row r="475" spans="1:21" x14ac:dyDescent="0.2">
      <c r="A475" s="115"/>
      <c r="B475" s="115"/>
      <c r="C475" s="105"/>
      <c r="D475" s="105"/>
      <c r="E475" s="105"/>
      <c r="F475" s="105"/>
      <c r="G475" s="105"/>
      <c r="H475" s="105"/>
      <c r="I475" s="142" t="str">
        <f t="shared" si="42"/>
        <v/>
      </c>
      <c r="J475" s="105" t="str">
        <f t="shared" si="43"/>
        <v/>
      </c>
      <c r="K475" s="143" t="str">
        <f t="shared" si="44"/>
        <v/>
      </c>
      <c r="L475" s="106" t="str">
        <f t="shared" si="45"/>
        <v/>
      </c>
      <c r="M475" s="105" t="str">
        <f t="shared" si="46"/>
        <v/>
      </c>
      <c r="N475" s="144" t="str">
        <f t="shared" si="47"/>
        <v/>
      </c>
      <c r="O475" s="144" t="str">
        <f>IF(NOT(ISERROR(VLOOKUP(C475,Deflatores!G$42:H$64,2,FALSE))),VLOOKUP(C475,Deflatores!G$42:H$64,2,FALSE),IF(OR(ISBLANK(D475),ISBLANK(C475)),"",VLOOKUP(D475,Deflatores!G$4:H$38,2,FALSE)*K475+VLOOKUP(D475,Deflatores!G$4:I$38,3,FALSE)))</f>
        <v/>
      </c>
      <c r="P475" s="115"/>
      <c r="Q475" s="115"/>
      <c r="R475" s="115"/>
      <c r="S475" s="115"/>
      <c r="T475" s="168"/>
      <c r="U475" s="133"/>
    </row>
    <row r="476" spans="1:21" x14ac:dyDescent="0.2">
      <c r="A476" s="115"/>
      <c r="B476" s="115"/>
      <c r="C476" s="105"/>
      <c r="D476" s="105"/>
      <c r="E476" s="105"/>
      <c r="F476" s="105"/>
      <c r="G476" s="105"/>
      <c r="H476" s="105"/>
      <c r="I476" s="142" t="str">
        <f t="shared" si="42"/>
        <v/>
      </c>
      <c r="J476" s="105" t="str">
        <f t="shared" si="43"/>
        <v/>
      </c>
      <c r="K476" s="143" t="str">
        <f t="shared" si="44"/>
        <v/>
      </c>
      <c r="L476" s="106" t="str">
        <f t="shared" si="45"/>
        <v/>
      </c>
      <c r="M476" s="105" t="str">
        <f t="shared" si="46"/>
        <v/>
      </c>
      <c r="N476" s="144" t="str">
        <f t="shared" si="47"/>
        <v/>
      </c>
      <c r="O476" s="144" t="str">
        <f>IF(NOT(ISERROR(VLOOKUP(C476,Deflatores!G$42:H$64,2,FALSE))),VLOOKUP(C476,Deflatores!G$42:H$64,2,FALSE),IF(OR(ISBLANK(D476),ISBLANK(C476)),"",VLOOKUP(D476,Deflatores!G$4:H$38,2,FALSE)*K476+VLOOKUP(D476,Deflatores!G$4:I$38,3,FALSE)))</f>
        <v/>
      </c>
      <c r="P476" s="115"/>
      <c r="Q476" s="115"/>
      <c r="R476" s="115"/>
      <c r="S476" s="115"/>
      <c r="T476" s="168"/>
      <c r="U476" s="133"/>
    </row>
    <row r="477" spans="1:21" x14ac:dyDescent="0.2">
      <c r="A477" s="115"/>
      <c r="B477" s="115"/>
      <c r="C477" s="105"/>
      <c r="D477" s="105"/>
      <c r="E477" s="105"/>
      <c r="F477" s="105"/>
      <c r="G477" s="105"/>
      <c r="H477" s="105"/>
      <c r="I477" s="142" t="str">
        <f t="shared" si="42"/>
        <v/>
      </c>
      <c r="J477" s="105" t="str">
        <f t="shared" si="43"/>
        <v/>
      </c>
      <c r="K477" s="143" t="str">
        <f t="shared" si="44"/>
        <v/>
      </c>
      <c r="L477" s="106" t="str">
        <f t="shared" si="45"/>
        <v/>
      </c>
      <c r="M477" s="105" t="str">
        <f t="shared" si="46"/>
        <v/>
      </c>
      <c r="N477" s="144" t="str">
        <f t="shared" si="47"/>
        <v/>
      </c>
      <c r="O477" s="144" t="str">
        <f>IF(NOT(ISERROR(VLOOKUP(C477,Deflatores!G$42:H$64,2,FALSE))),VLOOKUP(C477,Deflatores!G$42:H$64,2,FALSE),IF(OR(ISBLANK(D477),ISBLANK(C477)),"",VLOOKUP(D477,Deflatores!G$4:H$38,2,FALSE)*K477+VLOOKUP(D477,Deflatores!G$4:I$38,3,FALSE)))</f>
        <v/>
      </c>
      <c r="P477" s="115"/>
      <c r="Q477" s="115"/>
      <c r="R477" s="115"/>
      <c r="S477" s="115"/>
      <c r="T477" s="168"/>
      <c r="U477" s="133"/>
    </row>
    <row r="478" spans="1:21" x14ac:dyDescent="0.2">
      <c r="A478" s="115"/>
      <c r="B478" s="115"/>
      <c r="C478" s="105"/>
      <c r="D478" s="105"/>
      <c r="E478" s="105"/>
      <c r="F478" s="105"/>
      <c r="G478" s="105"/>
      <c r="H478" s="105"/>
      <c r="I478" s="142" t="str">
        <f t="shared" si="42"/>
        <v/>
      </c>
      <c r="J478" s="105" t="str">
        <f t="shared" si="43"/>
        <v/>
      </c>
      <c r="K478" s="143" t="str">
        <f t="shared" si="44"/>
        <v/>
      </c>
      <c r="L478" s="106" t="str">
        <f t="shared" si="45"/>
        <v/>
      </c>
      <c r="M478" s="105" t="str">
        <f t="shared" si="46"/>
        <v/>
      </c>
      <c r="N478" s="144" t="str">
        <f t="shared" si="47"/>
        <v/>
      </c>
      <c r="O478" s="144" t="str">
        <f>IF(NOT(ISERROR(VLOOKUP(C478,Deflatores!G$42:H$64,2,FALSE))),VLOOKUP(C478,Deflatores!G$42:H$64,2,FALSE),IF(OR(ISBLANK(D478),ISBLANK(C478)),"",VLOOKUP(D478,Deflatores!G$4:H$38,2,FALSE)*K478+VLOOKUP(D478,Deflatores!G$4:I$38,3,FALSE)))</f>
        <v/>
      </c>
      <c r="P478" s="115"/>
      <c r="Q478" s="115"/>
      <c r="R478" s="115"/>
      <c r="S478" s="115"/>
      <c r="T478" s="168"/>
      <c r="U478" s="133"/>
    </row>
    <row r="479" spans="1:21" x14ac:dyDescent="0.2">
      <c r="A479" s="115"/>
      <c r="B479" s="115"/>
      <c r="C479" s="105"/>
      <c r="D479" s="105"/>
      <c r="E479" s="105"/>
      <c r="F479" s="105"/>
      <c r="G479" s="105"/>
      <c r="H479" s="105"/>
      <c r="I479" s="142" t="str">
        <f t="shared" si="42"/>
        <v/>
      </c>
      <c r="J479" s="105" t="str">
        <f t="shared" si="43"/>
        <v/>
      </c>
      <c r="K479" s="143" t="str">
        <f t="shared" si="44"/>
        <v/>
      </c>
      <c r="L479" s="106" t="str">
        <f t="shared" si="45"/>
        <v/>
      </c>
      <c r="M479" s="105" t="str">
        <f t="shared" si="46"/>
        <v/>
      </c>
      <c r="N479" s="144" t="str">
        <f t="shared" si="47"/>
        <v/>
      </c>
      <c r="O479" s="144" t="str">
        <f>IF(NOT(ISERROR(VLOOKUP(C479,Deflatores!G$42:H$64,2,FALSE))),VLOOKUP(C479,Deflatores!G$42:H$64,2,FALSE),IF(OR(ISBLANK(D479),ISBLANK(C479)),"",VLOOKUP(D479,Deflatores!G$4:H$38,2,FALSE)*K479+VLOOKUP(D479,Deflatores!G$4:I$38,3,FALSE)))</f>
        <v/>
      </c>
      <c r="P479" s="115"/>
      <c r="Q479" s="115"/>
      <c r="R479" s="115"/>
      <c r="S479" s="115"/>
      <c r="T479" s="168"/>
      <c r="U479" s="133"/>
    </row>
    <row r="480" spans="1:21" x14ac:dyDescent="0.2">
      <c r="A480" s="115"/>
      <c r="B480" s="115"/>
      <c r="C480" s="105"/>
      <c r="D480" s="105"/>
      <c r="E480" s="105"/>
      <c r="F480" s="105"/>
      <c r="G480" s="105"/>
      <c r="H480" s="105"/>
      <c r="I480" s="142" t="str">
        <f t="shared" si="42"/>
        <v/>
      </c>
      <c r="J480" s="105" t="str">
        <f t="shared" si="43"/>
        <v/>
      </c>
      <c r="K480" s="143" t="str">
        <f t="shared" si="44"/>
        <v/>
      </c>
      <c r="L480" s="106" t="str">
        <f t="shared" si="45"/>
        <v/>
      </c>
      <c r="M480" s="105" t="str">
        <f t="shared" si="46"/>
        <v/>
      </c>
      <c r="N480" s="144" t="str">
        <f t="shared" si="47"/>
        <v/>
      </c>
      <c r="O480" s="144" t="str">
        <f>IF(NOT(ISERROR(VLOOKUP(C480,Deflatores!G$42:H$64,2,FALSE))),VLOOKUP(C480,Deflatores!G$42:H$64,2,FALSE),IF(OR(ISBLANK(D480),ISBLANK(C480)),"",VLOOKUP(D480,Deflatores!G$4:H$38,2,FALSE)*K480+VLOOKUP(D480,Deflatores!G$4:I$38,3,FALSE)))</f>
        <v/>
      </c>
      <c r="P480" s="115"/>
      <c r="Q480" s="115"/>
      <c r="R480" s="115"/>
      <c r="S480" s="115"/>
      <c r="T480" s="168"/>
      <c r="U480" s="133"/>
    </row>
    <row r="481" spans="1:21" x14ac:dyDescent="0.2">
      <c r="A481" s="115"/>
      <c r="B481" s="115"/>
      <c r="C481" s="105"/>
      <c r="D481" s="105"/>
      <c r="E481" s="105"/>
      <c r="F481" s="105"/>
      <c r="G481" s="105"/>
      <c r="H481" s="105"/>
      <c r="I481" s="142" t="str">
        <f t="shared" si="42"/>
        <v/>
      </c>
      <c r="J481" s="105" t="str">
        <f t="shared" si="43"/>
        <v/>
      </c>
      <c r="K481" s="143" t="str">
        <f t="shared" si="44"/>
        <v/>
      </c>
      <c r="L481" s="106" t="str">
        <f t="shared" si="45"/>
        <v/>
      </c>
      <c r="M481" s="105" t="str">
        <f t="shared" si="46"/>
        <v/>
      </c>
      <c r="N481" s="144" t="str">
        <f t="shared" si="47"/>
        <v/>
      </c>
      <c r="O481" s="144" t="str">
        <f>IF(NOT(ISERROR(VLOOKUP(C481,Deflatores!G$42:H$64,2,FALSE))),VLOOKUP(C481,Deflatores!G$42:H$64,2,FALSE),IF(OR(ISBLANK(D481),ISBLANK(C481)),"",VLOOKUP(D481,Deflatores!G$4:H$38,2,FALSE)*K481+VLOOKUP(D481,Deflatores!G$4:I$38,3,FALSE)))</f>
        <v/>
      </c>
      <c r="P481" s="115"/>
      <c r="Q481" s="115"/>
      <c r="R481" s="115"/>
      <c r="S481" s="115"/>
      <c r="T481" s="168"/>
      <c r="U481" s="133"/>
    </row>
    <row r="482" spans="1:21" hidden="1" x14ac:dyDescent="0.2">
      <c r="A482" s="138"/>
      <c r="B482" s="138"/>
      <c r="C482" s="2"/>
      <c r="D482" s="2"/>
      <c r="E482" s="2"/>
      <c r="F482" s="2"/>
      <c r="G482" s="2"/>
      <c r="H482" s="2"/>
      <c r="I482" s="139" t="str">
        <f t="shared" si="42"/>
        <v/>
      </c>
      <c r="J482" s="2" t="str">
        <f t="shared" si="43"/>
        <v/>
      </c>
      <c r="K482" s="140" t="str">
        <f t="shared" si="44"/>
        <v/>
      </c>
      <c r="L482" s="4" t="str">
        <f t="shared" si="45"/>
        <v/>
      </c>
      <c r="M482" s="2" t="str">
        <f t="shared" si="46"/>
        <v/>
      </c>
      <c r="N482" s="141" t="str">
        <f t="shared" si="47"/>
        <v/>
      </c>
      <c r="O482" s="141" t="str">
        <f>IF(NOT(ISERROR(VLOOKUP(C482,Deflatores!G$42:H$64,2,FALSE))),VLOOKUP(C482,Deflatores!G$42:H$64,2,FALSE),IF(OR(ISBLANK(D482),ISBLANK(C482)),"",VLOOKUP(D482,Deflatores!G$4:H$38,2,FALSE)*K482+VLOOKUP(D482,Deflatores!G$4:I$38,3,FALSE)))</f>
        <v/>
      </c>
      <c r="P482" s="5"/>
      <c r="Q482" s="5"/>
      <c r="R482" s="6"/>
      <c r="S482" s="5"/>
      <c r="T482" s="5"/>
      <c r="U482" s="10"/>
    </row>
    <row r="483" spans="1:21" hidden="1" x14ac:dyDescent="0.2">
      <c r="A483" s="102"/>
      <c r="B483" s="102"/>
      <c r="C483" s="2"/>
      <c r="D483" s="2"/>
      <c r="E483" s="7"/>
      <c r="F483" s="7"/>
      <c r="G483" s="7"/>
      <c r="H483" s="7"/>
      <c r="I483" s="8" t="str">
        <f t="shared" si="42"/>
        <v/>
      </c>
      <c r="J483" s="7" t="str">
        <f t="shared" si="43"/>
        <v/>
      </c>
      <c r="K483" s="3" t="str">
        <f t="shared" si="44"/>
        <v/>
      </c>
      <c r="L483" s="4" t="str">
        <f t="shared" si="45"/>
        <v/>
      </c>
      <c r="M483" s="7" t="str">
        <f t="shared" si="46"/>
        <v/>
      </c>
      <c r="N483" s="9" t="str">
        <f t="shared" si="47"/>
        <v/>
      </c>
      <c r="O483" s="9" t="str">
        <f>IF(NOT(ISERROR(VLOOKUP(C483,Deflatores!G$42:H$64,2,FALSE))),VLOOKUP(C483,Deflatores!G$42:H$64,2,FALSE),IF(OR(ISBLANK(D483),ISBLANK(C483)),"",VLOOKUP(D483,Deflatores!G$4:H$38,2,FALSE)*K483+VLOOKUP(D483,Deflatores!G$4:I$38,3,FALSE)))</f>
        <v/>
      </c>
      <c r="P483" s="10"/>
      <c r="Q483" s="10"/>
      <c r="R483" s="6"/>
      <c r="S483" s="10"/>
      <c r="T483" s="10"/>
      <c r="U483" s="10"/>
    </row>
    <row r="484" spans="1:21" hidden="1" x14ac:dyDescent="0.2">
      <c r="A484" s="102"/>
      <c r="B484" s="102"/>
      <c r="C484" s="2"/>
      <c r="D484" s="2"/>
      <c r="E484" s="7"/>
      <c r="F484" s="7"/>
      <c r="G484" s="7"/>
      <c r="H484" s="7"/>
      <c r="I484" s="8" t="str">
        <f t="shared" si="42"/>
        <v/>
      </c>
      <c r="J484" s="7" t="str">
        <f t="shared" si="43"/>
        <v/>
      </c>
      <c r="K484" s="3" t="str">
        <f t="shared" si="44"/>
        <v/>
      </c>
      <c r="L484" s="4" t="str">
        <f t="shared" si="45"/>
        <v/>
      </c>
      <c r="M484" s="7" t="str">
        <f t="shared" si="46"/>
        <v/>
      </c>
      <c r="N484" s="9" t="str">
        <f t="shared" si="47"/>
        <v/>
      </c>
      <c r="O484" s="9" t="str">
        <f>IF(NOT(ISERROR(VLOOKUP(C484,Deflatores!G$42:H$64,2,FALSE))),VLOOKUP(C484,Deflatores!G$42:H$64,2,FALSE),IF(OR(ISBLANK(D484),ISBLANK(C484)),"",VLOOKUP(D484,Deflatores!G$4:H$38,2,FALSE)*K484+VLOOKUP(D484,Deflatores!G$4:I$38,3,FALSE)))</f>
        <v/>
      </c>
      <c r="P484" s="10"/>
      <c r="Q484" s="10"/>
      <c r="R484" s="6"/>
      <c r="S484" s="10"/>
      <c r="T484" s="10"/>
      <c r="U484" s="10"/>
    </row>
    <row r="485" spans="1:21" hidden="1" x14ac:dyDescent="0.2">
      <c r="A485" s="102"/>
      <c r="B485" s="102"/>
      <c r="C485" s="2"/>
      <c r="D485" s="2"/>
      <c r="E485" s="7"/>
      <c r="F485" s="7"/>
      <c r="G485" s="7"/>
      <c r="H485" s="7"/>
      <c r="I485" s="8" t="str">
        <f t="shared" si="42"/>
        <v/>
      </c>
      <c r="J485" s="7" t="str">
        <f t="shared" si="43"/>
        <v/>
      </c>
      <c r="K485" s="3" t="str">
        <f t="shared" si="44"/>
        <v/>
      </c>
      <c r="L485" s="4" t="str">
        <f t="shared" si="45"/>
        <v/>
      </c>
      <c r="M485" s="7" t="str">
        <f t="shared" si="46"/>
        <v/>
      </c>
      <c r="N485" s="9" t="str">
        <f t="shared" si="47"/>
        <v/>
      </c>
      <c r="O485" s="9" t="str">
        <f>IF(NOT(ISERROR(VLOOKUP(C485,Deflatores!G$42:H$64,2,FALSE))),VLOOKUP(C485,Deflatores!G$42:H$64,2,FALSE),IF(OR(ISBLANK(D485),ISBLANK(C485)),"",VLOOKUP(D485,Deflatores!G$4:H$38,2,FALSE)*K485+VLOOKUP(D485,Deflatores!G$4:I$38,3,FALSE)))</f>
        <v/>
      </c>
      <c r="P485" s="10"/>
      <c r="Q485" s="10"/>
      <c r="R485" s="6"/>
      <c r="S485" s="10"/>
      <c r="T485" s="10"/>
      <c r="U485" s="10"/>
    </row>
    <row r="486" spans="1:21" hidden="1" x14ac:dyDescent="0.2">
      <c r="A486" s="102"/>
      <c r="B486" s="102"/>
      <c r="C486" s="2"/>
      <c r="D486" s="2"/>
      <c r="E486" s="7"/>
      <c r="F486" s="7"/>
      <c r="G486" s="7"/>
      <c r="H486" s="7"/>
      <c r="I486" s="8" t="str">
        <f t="shared" si="42"/>
        <v/>
      </c>
      <c r="J486" s="7" t="str">
        <f t="shared" si="43"/>
        <v/>
      </c>
      <c r="K486" s="3" t="str">
        <f t="shared" si="44"/>
        <v/>
      </c>
      <c r="L486" s="4" t="str">
        <f t="shared" si="45"/>
        <v/>
      </c>
      <c r="M486" s="7" t="str">
        <f t="shared" si="46"/>
        <v/>
      </c>
      <c r="N486" s="9" t="str">
        <f t="shared" si="47"/>
        <v/>
      </c>
      <c r="O486" s="9" t="str">
        <f>IF(NOT(ISERROR(VLOOKUP(C486,Deflatores!G$42:H$64,2,FALSE))),VLOOKUP(C486,Deflatores!G$42:H$64,2,FALSE),IF(OR(ISBLANK(D486),ISBLANK(C486)),"",VLOOKUP(D486,Deflatores!G$4:H$38,2,FALSE)*K486+VLOOKUP(D486,Deflatores!G$4:I$38,3,FALSE)))</f>
        <v/>
      </c>
      <c r="P486" s="10"/>
      <c r="Q486" s="10"/>
      <c r="R486" s="6"/>
      <c r="S486" s="10"/>
      <c r="T486" s="10"/>
      <c r="U486" s="10"/>
    </row>
    <row r="487" spans="1:21" hidden="1" x14ac:dyDescent="0.2">
      <c r="A487" s="102"/>
      <c r="B487" s="102"/>
      <c r="C487" s="2"/>
      <c r="D487" s="2"/>
      <c r="E487" s="7"/>
      <c r="F487" s="7"/>
      <c r="G487" s="7"/>
      <c r="H487" s="7"/>
      <c r="I487" s="8" t="str">
        <f t="shared" si="42"/>
        <v/>
      </c>
      <c r="J487" s="7" t="str">
        <f t="shared" si="43"/>
        <v/>
      </c>
      <c r="K487" s="3" t="str">
        <f t="shared" si="44"/>
        <v/>
      </c>
      <c r="L487" s="4" t="str">
        <f t="shared" si="45"/>
        <v/>
      </c>
      <c r="M487" s="7" t="str">
        <f t="shared" si="46"/>
        <v/>
      </c>
      <c r="N487" s="9" t="str">
        <f t="shared" si="47"/>
        <v/>
      </c>
      <c r="O487" s="9" t="str">
        <f>IF(NOT(ISERROR(VLOOKUP(C487,Deflatores!G$42:H$64,2,FALSE))),VLOOKUP(C487,Deflatores!G$42:H$64,2,FALSE),IF(OR(ISBLANK(D487),ISBLANK(C487)),"",VLOOKUP(D487,Deflatores!G$4:H$38,2,FALSE)*K487+VLOOKUP(D487,Deflatores!G$4:I$38,3,FALSE)))</f>
        <v/>
      </c>
      <c r="P487" s="10"/>
      <c r="Q487" s="10"/>
      <c r="R487" s="6"/>
      <c r="S487" s="10"/>
      <c r="T487" s="10"/>
      <c r="U487" s="10"/>
    </row>
    <row r="488" spans="1:21" hidden="1" x14ac:dyDescent="0.2">
      <c r="A488" s="102"/>
      <c r="B488" s="102"/>
      <c r="C488" s="2"/>
      <c r="D488" s="2"/>
      <c r="E488" s="7"/>
      <c r="F488" s="7"/>
      <c r="G488" s="7"/>
      <c r="H488" s="7"/>
      <c r="I488" s="8" t="str">
        <f t="shared" si="42"/>
        <v/>
      </c>
      <c r="J488" s="7" t="str">
        <f t="shared" si="43"/>
        <v/>
      </c>
      <c r="K488" s="3" t="str">
        <f t="shared" si="44"/>
        <v/>
      </c>
      <c r="L488" s="4" t="str">
        <f t="shared" si="45"/>
        <v/>
      </c>
      <c r="M488" s="7" t="str">
        <f t="shared" si="46"/>
        <v/>
      </c>
      <c r="N488" s="9" t="str">
        <f t="shared" si="47"/>
        <v/>
      </c>
      <c r="O488" s="9" t="str">
        <f>IF(NOT(ISERROR(VLOOKUP(C488,Deflatores!G$42:H$64,2,FALSE))),VLOOKUP(C488,Deflatores!G$42:H$64,2,FALSE),IF(OR(ISBLANK(D488),ISBLANK(C488)),"",VLOOKUP(D488,Deflatores!G$4:H$38,2,FALSE)*K488+VLOOKUP(D488,Deflatores!G$4:I$38,3,FALSE)))</f>
        <v/>
      </c>
      <c r="P488" s="10"/>
      <c r="Q488" s="10"/>
      <c r="R488" s="6"/>
      <c r="S488" s="10"/>
      <c r="T488" s="10"/>
      <c r="U488" s="10"/>
    </row>
    <row r="489" spans="1:21" hidden="1" x14ac:dyDescent="0.2">
      <c r="A489" s="102"/>
      <c r="B489" s="102"/>
      <c r="C489" s="2"/>
      <c r="D489" s="2"/>
      <c r="E489" s="7"/>
      <c r="F489" s="7"/>
      <c r="G489" s="7"/>
      <c r="H489" s="7"/>
      <c r="I489" s="8" t="str">
        <f t="shared" si="42"/>
        <v/>
      </c>
      <c r="J489" s="7" t="str">
        <f t="shared" si="43"/>
        <v/>
      </c>
      <c r="K489" s="3" t="str">
        <f t="shared" si="44"/>
        <v/>
      </c>
      <c r="L489" s="4" t="str">
        <f t="shared" si="45"/>
        <v/>
      </c>
      <c r="M489" s="7" t="str">
        <f t="shared" si="46"/>
        <v/>
      </c>
      <c r="N489" s="9" t="str">
        <f t="shared" si="47"/>
        <v/>
      </c>
      <c r="O489" s="9" t="str">
        <f>IF(NOT(ISERROR(VLOOKUP(C489,Deflatores!G$42:H$64,2,FALSE))),VLOOKUP(C489,Deflatores!G$42:H$64,2,FALSE),IF(OR(ISBLANK(D489),ISBLANK(C489)),"",VLOOKUP(D489,Deflatores!G$4:H$38,2,FALSE)*K489+VLOOKUP(D489,Deflatores!G$4:I$38,3,FALSE)))</f>
        <v/>
      </c>
      <c r="P489" s="10"/>
      <c r="Q489" s="10"/>
      <c r="R489" s="6"/>
      <c r="S489" s="10"/>
      <c r="T489" s="10"/>
      <c r="U489" s="10"/>
    </row>
    <row r="490" spans="1:21" hidden="1" x14ac:dyDescent="0.2">
      <c r="A490" s="102"/>
      <c r="B490" s="102"/>
      <c r="C490" s="2"/>
      <c r="D490" s="2"/>
      <c r="E490" s="7"/>
      <c r="F490" s="7"/>
      <c r="G490" s="7"/>
      <c r="H490" s="7"/>
      <c r="I490" s="8" t="str">
        <f t="shared" si="42"/>
        <v/>
      </c>
      <c r="J490" s="7" t="str">
        <f t="shared" si="43"/>
        <v/>
      </c>
      <c r="K490" s="3" t="str">
        <f t="shared" si="44"/>
        <v/>
      </c>
      <c r="L490" s="4" t="str">
        <f t="shared" si="45"/>
        <v/>
      </c>
      <c r="M490" s="7" t="str">
        <f t="shared" si="46"/>
        <v/>
      </c>
      <c r="N490" s="9" t="str">
        <f t="shared" si="47"/>
        <v/>
      </c>
      <c r="O490" s="9" t="str">
        <f>IF(NOT(ISERROR(VLOOKUP(C490,Deflatores!G$42:H$64,2,FALSE))),VLOOKUP(C490,Deflatores!G$42:H$64,2,FALSE),IF(OR(ISBLANK(D490),ISBLANK(C490)),"",VLOOKUP(D490,Deflatores!G$4:H$38,2,FALSE)*K490+VLOOKUP(D490,Deflatores!G$4:I$38,3,FALSE)))</f>
        <v/>
      </c>
      <c r="P490" s="10"/>
      <c r="Q490" s="10"/>
      <c r="R490" s="6"/>
      <c r="S490" s="10"/>
      <c r="T490" s="10"/>
      <c r="U490" s="10"/>
    </row>
    <row r="491" spans="1:21" hidden="1" x14ac:dyDescent="0.2">
      <c r="A491" s="102"/>
      <c r="B491" s="102"/>
      <c r="C491" s="2"/>
      <c r="D491" s="2"/>
      <c r="E491" s="7"/>
      <c r="F491" s="7"/>
      <c r="G491" s="7"/>
      <c r="H491" s="7"/>
      <c r="I491" s="8" t="str">
        <f t="shared" si="42"/>
        <v/>
      </c>
      <c r="J491" s="7" t="str">
        <f t="shared" si="43"/>
        <v/>
      </c>
      <c r="K491" s="3" t="str">
        <f t="shared" si="44"/>
        <v/>
      </c>
      <c r="L491" s="4" t="str">
        <f t="shared" si="45"/>
        <v/>
      </c>
      <c r="M491" s="7" t="str">
        <f t="shared" si="46"/>
        <v/>
      </c>
      <c r="N491" s="9" t="str">
        <f t="shared" si="47"/>
        <v/>
      </c>
      <c r="O491" s="9" t="str">
        <f>IF(NOT(ISERROR(VLOOKUP(C491,Deflatores!G$42:H$64,2,FALSE))),VLOOKUP(C491,Deflatores!G$42:H$64,2,FALSE),IF(OR(ISBLANK(D491),ISBLANK(C491)),"",VLOOKUP(D491,Deflatores!G$4:H$38,2,FALSE)*K491+VLOOKUP(D491,Deflatores!G$4:I$38,3,FALSE)))</f>
        <v/>
      </c>
      <c r="P491" s="10"/>
      <c r="Q491" s="10"/>
      <c r="R491" s="6"/>
      <c r="S491" s="10"/>
      <c r="T491" s="10"/>
      <c r="U491" s="10"/>
    </row>
    <row r="492" spans="1:21" hidden="1" x14ac:dyDescent="0.2">
      <c r="A492" s="102"/>
      <c r="B492" s="102"/>
      <c r="C492" s="2"/>
      <c r="D492" s="2"/>
      <c r="E492" s="7"/>
      <c r="F492" s="7"/>
      <c r="G492" s="7"/>
      <c r="H492" s="7"/>
      <c r="I492" s="8" t="str">
        <f t="shared" si="42"/>
        <v/>
      </c>
      <c r="J492" s="7" t="str">
        <f t="shared" si="43"/>
        <v/>
      </c>
      <c r="K492" s="3" t="str">
        <f t="shared" si="44"/>
        <v/>
      </c>
      <c r="L492" s="4" t="str">
        <f t="shared" si="45"/>
        <v/>
      </c>
      <c r="M492" s="7" t="str">
        <f t="shared" si="46"/>
        <v/>
      </c>
      <c r="N492" s="9" t="str">
        <f t="shared" si="47"/>
        <v/>
      </c>
      <c r="O492" s="9" t="str">
        <f>IF(NOT(ISERROR(VLOOKUP(C492,Deflatores!G$42:H$64,2,FALSE))),VLOOKUP(C492,Deflatores!G$42:H$64,2,FALSE),IF(OR(ISBLANK(D492),ISBLANK(C492)),"",VLOOKUP(D492,Deflatores!G$4:H$38,2,FALSE)*K492+VLOOKUP(D492,Deflatores!G$4:I$38,3,FALSE)))</f>
        <v/>
      </c>
      <c r="P492" s="10"/>
      <c r="Q492" s="10"/>
      <c r="R492" s="6"/>
      <c r="S492" s="10"/>
      <c r="T492" s="10"/>
      <c r="U492" s="10"/>
    </row>
    <row r="493" spans="1:21" hidden="1" x14ac:dyDescent="0.2">
      <c r="A493" s="102"/>
      <c r="B493" s="102"/>
      <c r="C493" s="2"/>
      <c r="D493" s="2"/>
      <c r="E493" s="7"/>
      <c r="F493" s="7"/>
      <c r="G493" s="7"/>
      <c r="H493" s="7"/>
      <c r="I493" s="8" t="str">
        <f t="shared" si="42"/>
        <v/>
      </c>
      <c r="J493" s="7" t="str">
        <f t="shared" si="43"/>
        <v/>
      </c>
      <c r="K493" s="3" t="str">
        <f t="shared" si="44"/>
        <v/>
      </c>
      <c r="L493" s="4" t="str">
        <f t="shared" si="45"/>
        <v/>
      </c>
      <c r="M493" s="7" t="str">
        <f t="shared" si="46"/>
        <v/>
      </c>
      <c r="N493" s="9" t="str">
        <f t="shared" si="47"/>
        <v/>
      </c>
      <c r="O493" s="9" t="str">
        <f>IF(NOT(ISERROR(VLOOKUP(C493,Deflatores!G$42:H$64,2,FALSE))),VLOOKUP(C493,Deflatores!G$42:H$64,2,FALSE),IF(OR(ISBLANK(D493),ISBLANK(C493)),"",VLOOKUP(D493,Deflatores!G$4:H$38,2,FALSE)*K493+VLOOKUP(D493,Deflatores!G$4:I$38,3,FALSE)))</f>
        <v/>
      </c>
      <c r="P493" s="10"/>
      <c r="Q493" s="10"/>
      <c r="R493" s="6"/>
      <c r="S493" s="10"/>
      <c r="T493" s="10"/>
      <c r="U493" s="10"/>
    </row>
    <row r="494" spans="1:21" hidden="1" x14ac:dyDescent="0.2">
      <c r="A494" s="102"/>
      <c r="B494" s="102"/>
      <c r="C494" s="2"/>
      <c r="D494" s="2"/>
      <c r="E494" s="7"/>
      <c r="F494" s="7"/>
      <c r="G494" s="7"/>
      <c r="H494" s="7"/>
      <c r="I494" s="8" t="str">
        <f t="shared" si="42"/>
        <v/>
      </c>
      <c r="J494" s="7" t="str">
        <f t="shared" si="43"/>
        <v/>
      </c>
      <c r="K494" s="3" t="str">
        <f t="shared" si="44"/>
        <v/>
      </c>
      <c r="L494" s="4" t="str">
        <f t="shared" si="45"/>
        <v/>
      </c>
      <c r="M494" s="7" t="str">
        <f t="shared" si="46"/>
        <v/>
      </c>
      <c r="N494" s="9" t="str">
        <f t="shared" si="47"/>
        <v/>
      </c>
      <c r="O494" s="9" t="str">
        <f>IF(NOT(ISERROR(VLOOKUP(C494,Deflatores!G$42:H$64,2,FALSE))),VLOOKUP(C494,Deflatores!G$42:H$64,2,FALSE),IF(OR(ISBLANK(D494),ISBLANK(C494)),"",VLOOKUP(D494,Deflatores!G$4:H$38,2,FALSE)*K494+VLOOKUP(D494,Deflatores!G$4:I$38,3,FALSE)))</f>
        <v/>
      </c>
      <c r="P494" s="10"/>
      <c r="Q494" s="10"/>
      <c r="R494" s="6"/>
      <c r="S494" s="10"/>
      <c r="T494" s="10"/>
      <c r="U494" s="10"/>
    </row>
    <row r="495" spans="1:21" hidden="1" x14ac:dyDescent="0.2">
      <c r="A495" s="102"/>
      <c r="B495" s="102"/>
      <c r="C495" s="2"/>
      <c r="D495" s="2"/>
      <c r="E495" s="7"/>
      <c r="F495" s="7"/>
      <c r="G495" s="7"/>
      <c r="H495" s="7"/>
      <c r="I495" s="8" t="str">
        <f t="shared" si="42"/>
        <v/>
      </c>
      <c r="J495" s="7" t="str">
        <f t="shared" si="43"/>
        <v/>
      </c>
      <c r="K495" s="3" t="str">
        <f t="shared" si="44"/>
        <v/>
      </c>
      <c r="L495" s="4" t="str">
        <f t="shared" si="45"/>
        <v/>
      </c>
      <c r="M495" s="7" t="str">
        <f t="shared" si="46"/>
        <v/>
      </c>
      <c r="N495" s="9" t="str">
        <f t="shared" si="47"/>
        <v/>
      </c>
      <c r="O495" s="9" t="str">
        <f>IF(NOT(ISERROR(VLOOKUP(C495,Deflatores!G$42:H$64,2,FALSE))),VLOOKUP(C495,Deflatores!G$42:H$64,2,FALSE),IF(OR(ISBLANK(D495),ISBLANK(C495)),"",VLOOKUP(D495,Deflatores!G$4:H$38,2,FALSE)*K495+VLOOKUP(D495,Deflatores!G$4:I$38,3,FALSE)))</f>
        <v/>
      </c>
      <c r="P495" s="10"/>
      <c r="Q495" s="10"/>
      <c r="R495" s="6"/>
      <c r="S495" s="10"/>
      <c r="T495" s="10"/>
      <c r="U495" s="10"/>
    </row>
    <row r="496" spans="1:21" hidden="1" x14ac:dyDescent="0.2">
      <c r="A496" s="102"/>
      <c r="B496" s="102"/>
      <c r="C496" s="2"/>
      <c r="D496" s="2"/>
      <c r="E496" s="7"/>
      <c r="F496" s="7"/>
      <c r="G496" s="7"/>
      <c r="H496" s="7"/>
      <c r="I496" s="8" t="str">
        <f t="shared" si="42"/>
        <v/>
      </c>
      <c r="J496" s="7" t="str">
        <f t="shared" si="43"/>
        <v/>
      </c>
      <c r="K496" s="3" t="str">
        <f t="shared" si="44"/>
        <v/>
      </c>
      <c r="L496" s="4" t="str">
        <f t="shared" si="45"/>
        <v/>
      </c>
      <c r="M496" s="7" t="str">
        <f t="shared" si="46"/>
        <v/>
      </c>
      <c r="N496" s="9" t="str">
        <f t="shared" si="47"/>
        <v/>
      </c>
      <c r="O496" s="9" t="str">
        <f>IF(NOT(ISERROR(VLOOKUP(C496,Deflatores!G$42:H$64,2,FALSE))),VLOOKUP(C496,Deflatores!G$42:H$64,2,FALSE),IF(OR(ISBLANK(D496),ISBLANK(C496)),"",VLOOKUP(D496,Deflatores!G$4:H$38,2,FALSE)*K496+VLOOKUP(D496,Deflatores!G$4:I$38,3,FALSE)))</f>
        <v/>
      </c>
      <c r="P496" s="10"/>
      <c r="Q496" s="10"/>
      <c r="R496" s="6"/>
      <c r="S496" s="10"/>
      <c r="T496" s="10"/>
      <c r="U496" s="10"/>
    </row>
    <row r="497" spans="1:21" hidden="1" x14ac:dyDescent="0.2">
      <c r="A497" s="102"/>
      <c r="B497" s="102"/>
      <c r="C497" s="2"/>
      <c r="D497" s="2"/>
      <c r="E497" s="7"/>
      <c r="F497" s="7"/>
      <c r="G497" s="7"/>
      <c r="H497" s="7"/>
      <c r="I497" s="8" t="str">
        <f t="shared" si="42"/>
        <v/>
      </c>
      <c r="J497" s="7" t="str">
        <f t="shared" si="43"/>
        <v/>
      </c>
      <c r="K497" s="3" t="str">
        <f t="shared" si="44"/>
        <v/>
      </c>
      <c r="L497" s="4" t="str">
        <f t="shared" si="45"/>
        <v/>
      </c>
      <c r="M497" s="7" t="str">
        <f t="shared" si="46"/>
        <v/>
      </c>
      <c r="N497" s="9" t="str">
        <f t="shared" si="47"/>
        <v/>
      </c>
      <c r="O497" s="9" t="str">
        <f>IF(NOT(ISERROR(VLOOKUP(C497,Deflatores!G$42:H$64,2,FALSE))),VLOOKUP(C497,Deflatores!G$42:H$64,2,FALSE),IF(OR(ISBLANK(D497),ISBLANK(C497)),"",VLOOKUP(D497,Deflatores!G$4:H$38,2,FALSE)*K497+VLOOKUP(D497,Deflatores!G$4:I$38,3,FALSE)))</f>
        <v/>
      </c>
      <c r="P497" s="10"/>
      <c r="Q497" s="10"/>
      <c r="R497" s="6"/>
      <c r="S497" s="10"/>
      <c r="T497" s="10"/>
      <c r="U497" s="10"/>
    </row>
    <row r="498" spans="1:21" hidden="1" x14ac:dyDescent="0.2">
      <c r="A498" s="102"/>
      <c r="B498" s="102"/>
      <c r="C498" s="2"/>
      <c r="D498" s="2"/>
      <c r="E498" s="7"/>
      <c r="F498" s="7"/>
      <c r="G498" s="7"/>
      <c r="H498" s="7"/>
      <c r="I498" s="8" t="str">
        <f t="shared" si="42"/>
        <v/>
      </c>
      <c r="J498" s="7" t="str">
        <f t="shared" si="43"/>
        <v/>
      </c>
      <c r="K498" s="3" t="str">
        <f t="shared" si="44"/>
        <v/>
      </c>
      <c r="L498" s="4" t="str">
        <f t="shared" si="45"/>
        <v/>
      </c>
      <c r="M498" s="7" t="str">
        <f t="shared" si="46"/>
        <v/>
      </c>
      <c r="N498" s="9" t="str">
        <f t="shared" si="47"/>
        <v/>
      </c>
      <c r="O498" s="9" t="str">
        <f>IF(NOT(ISERROR(VLOOKUP(C498,Deflatores!G$42:H$64,2,FALSE))),VLOOKUP(C498,Deflatores!G$42:H$64,2,FALSE),IF(OR(ISBLANK(D498),ISBLANK(C498)),"",VLOOKUP(D498,Deflatores!G$4:H$38,2,FALSE)*K498+VLOOKUP(D498,Deflatores!G$4:I$38,3,FALSE)))</f>
        <v/>
      </c>
      <c r="P498" s="10"/>
      <c r="Q498" s="10"/>
      <c r="R498" s="6"/>
      <c r="S498" s="10"/>
      <c r="T498" s="10"/>
      <c r="U498" s="10"/>
    </row>
    <row r="499" spans="1:21" hidden="1" x14ac:dyDescent="0.2">
      <c r="A499" s="102"/>
      <c r="B499" s="102"/>
      <c r="C499" s="2"/>
      <c r="D499" s="2"/>
      <c r="E499" s="7"/>
      <c r="F499" s="7"/>
      <c r="G499" s="7"/>
      <c r="H499" s="7"/>
      <c r="I499" s="8" t="str">
        <f t="shared" si="42"/>
        <v/>
      </c>
      <c r="J499" s="7" t="str">
        <f t="shared" si="43"/>
        <v/>
      </c>
      <c r="K499" s="3" t="str">
        <f t="shared" si="44"/>
        <v/>
      </c>
      <c r="L499" s="4" t="str">
        <f t="shared" si="45"/>
        <v/>
      </c>
      <c r="M499" s="7" t="str">
        <f t="shared" si="46"/>
        <v/>
      </c>
      <c r="N499" s="9" t="str">
        <f t="shared" si="47"/>
        <v/>
      </c>
      <c r="O499" s="9" t="str">
        <f>IF(NOT(ISERROR(VLOOKUP(C499,Deflatores!G$42:H$64,2,FALSE))),VLOOKUP(C499,Deflatores!G$42:H$64,2,FALSE),IF(OR(ISBLANK(D499),ISBLANK(C499)),"",VLOOKUP(D499,Deflatores!G$4:H$38,2,FALSE)*K499+VLOOKUP(D499,Deflatores!G$4:I$38,3,FALSE)))</f>
        <v/>
      </c>
      <c r="P499" s="10"/>
      <c r="Q499" s="10"/>
      <c r="R499" s="6"/>
      <c r="S499" s="10"/>
      <c r="T499" s="10"/>
      <c r="U499" s="10"/>
    </row>
    <row r="500" spans="1:21" hidden="1" x14ac:dyDescent="0.2">
      <c r="A500" s="102"/>
      <c r="B500" s="102"/>
      <c r="C500" s="2"/>
      <c r="D500" s="2"/>
      <c r="E500" s="7"/>
      <c r="F500" s="7"/>
      <c r="G500" s="7"/>
      <c r="H500" s="7"/>
      <c r="I500" s="8" t="str">
        <f t="shared" si="42"/>
        <v/>
      </c>
      <c r="J500" s="7" t="str">
        <f t="shared" si="43"/>
        <v/>
      </c>
      <c r="K500" s="3" t="str">
        <f t="shared" si="44"/>
        <v/>
      </c>
      <c r="L500" s="4" t="str">
        <f t="shared" si="45"/>
        <v/>
      </c>
      <c r="M500" s="7" t="str">
        <f t="shared" si="46"/>
        <v/>
      </c>
      <c r="N500" s="9" t="str">
        <f t="shared" si="47"/>
        <v/>
      </c>
      <c r="O500" s="9" t="str">
        <f>IF(NOT(ISERROR(VLOOKUP(C500,Deflatores!G$42:H$64,2,FALSE))),VLOOKUP(C500,Deflatores!G$42:H$64,2,FALSE),IF(OR(ISBLANK(D500),ISBLANK(C500)),"",VLOOKUP(D500,Deflatores!G$4:H$38,2,FALSE)*K500+VLOOKUP(D500,Deflatores!G$4:I$38,3,FALSE)))</f>
        <v/>
      </c>
      <c r="P500" s="10"/>
      <c r="Q500" s="10"/>
      <c r="R500" s="6"/>
      <c r="S500" s="10"/>
      <c r="T500" s="10"/>
      <c r="U500" s="10"/>
    </row>
    <row r="501" spans="1:21" hidden="1" x14ac:dyDescent="0.2">
      <c r="A501" s="102"/>
      <c r="B501" s="102"/>
      <c r="C501" s="2"/>
      <c r="D501" s="2"/>
      <c r="E501" s="7"/>
      <c r="F501" s="7"/>
      <c r="G501" s="7"/>
      <c r="H501" s="7"/>
      <c r="I501" s="8" t="str">
        <f t="shared" si="42"/>
        <v/>
      </c>
      <c r="J501" s="7" t="str">
        <f t="shared" si="43"/>
        <v/>
      </c>
      <c r="K501" s="3" t="str">
        <f t="shared" si="44"/>
        <v/>
      </c>
      <c r="L501" s="4" t="str">
        <f t="shared" si="45"/>
        <v/>
      </c>
      <c r="M501" s="7" t="str">
        <f t="shared" si="46"/>
        <v/>
      </c>
      <c r="N501" s="9" t="str">
        <f t="shared" si="47"/>
        <v/>
      </c>
      <c r="O501" s="9" t="str">
        <f>IF(NOT(ISERROR(VLOOKUP(C501,Deflatores!G$42:H$64,2,FALSE))),VLOOKUP(C501,Deflatores!G$42:H$64,2,FALSE),IF(OR(ISBLANK(D501),ISBLANK(C501)),"",VLOOKUP(D501,Deflatores!G$4:H$38,2,FALSE)*K501+VLOOKUP(D501,Deflatores!G$4:I$38,3,FALSE)))</f>
        <v/>
      </c>
      <c r="P501" s="10"/>
      <c r="Q501" s="10"/>
      <c r="R501" s="6"/>
      <c r="S501" s="10"/>
      <c r="T501" s="10"/>
      <c r="U501" s="10"/>
    </row>
    <row r="502" spans="1:21" hidden="1" x14ac:dyDescent="0.2">
      <c r="A502" s="102"/>
      <c r="B502" s="102"/>
      <c r="C502" s="2"/>
      <c r="D502" s="2"/>
      <c r="E502" s="7"/>
      <c r="F502" s="7"/>
      <c r="G502" s="7"/>
      <c r="H502" s="7"/>
      <c r="I502" s="8" t="str">
        <f t="shared" si="42"/>
        <v/>
      </c>
      <c r="J502" s="7" t="str">
        <f t="shared" si="43"/>
        <v/>
      </c>
      <c r="K502" s="3" t="str">
        <f t="shared" si="44"/>
        <v/>
      </c>
      <c r="L502" s="4" t="str">
        <f t="shared" si="45"/>
        <v/>
      </c>
      <c r="M502" s="7" t="str">
        <f t="shared" si="46"/>
        <v/>
      </c>
      <c r="N502" s="9" t="str">
        <f t="shared" si="47"/>
        <v/>
      </c>
      <c r="O502" s="9" t="str">
        <f>IF(NOT(ISERROR(VLOOKUP(C502,Deflatores!G$42:H$64,2,FALSE))),VLOOKUP(C502,Deflatores!G$42:H$64,2,FALSE),IF(OR(ISBLANK(D502),ISBLANK(C502)),"",VLOOKUP(D502,Deflatores!G$4:H$38,2,FALSE)*K502+VLOOKUP(D502,Deflatores!G$4:I$38,3,FALSE)))</f>
        <v/>
      </c>
      <c r="P502" s="10"/>
      <c r="Q502" s="10"/>
      <c r="R502" s="6"/>
      <c r="S502" s="10"/>
      <c r="T502" s="10"/>
      <c r="U502" s="10"/>
    </row>
    <row r="503" spans="1:21" hidden="1" x14ac:dyDescent="0.2">
      <c r="A503" s="102"/>
      <c r="B503" s="102"/>
      <c r="C503" s="2"/>
      <c r="D503" s="2"/>
      <c r="E503" s="7"/>
      <c r="F503" s="7"/>
      <c r="G503" s="7"/>
      <c r="H503" s="7"/>
      <c r="I503" s="8" t="str">
        <f t="shared" si="42"/>
        <v/>
      </c>
      <c r="J503" s="7" t="str">
        <f t="shared" si="43"/>
        <v/>
      </c>
      <c r="K503" s="3" t="str">
        <f t="shared" si="44"/>
        <v/>
      </c>
      <c r="L503" s="4" t="str">
        <f t="shared" si="45"/>
        <v/>
      </c>
      <c r="M503" s="7" t="str">
        <f t="shared" si="46"/>
        <v/>
      </c>
      <c r="N503" s="9" t="str">
        <f t="shared" si="47"/>
        <v/>
      </c>
      <c r="O503" s="9" t="str">
        <f>IF(NOT(ISERROR(VLOOKUP(C503,Deflatores!G$42:H$64,2,FALSE))),VLOOKUP(C503,Deflatores!G$42:H$64,2,FALSE),IF(OR(ISBLANK(D503),ISBLANK(C503)),"",VLOOKUP(D503,Deflatores!G$4:H$38,2,FALSE)*K503+VLOOKUP(D503,Deflatores!G$4:I$38,3,FALSE)))</f>
        <v/>
      </c>
      <c r="P503" s="10"/>
      <c r="Q503" s="10"/>
      <c r="R503" s="6"/>
      <c r="S503" s="10"/>
      <c r="T503" s="10"/>
      <c r="U503" s="10"/>
    </row>
    <row r="504" spans="1:21" hidden="1" x14ac:dyDescent="0.2">
      <c r="A504" s="102"/>
      <c r="B504" s="102"/>
      <c r="C504" s="2"/>
      <c r="D504" s="2"/>
      <c r="E504" s="7"/>
      <c r="F504" s="7"/>
      <c r="G504" s="7"/>
      <c r="H504" s="7"/>
      <c r="I504" s="8" t="str">
        <f t="shared" si="42"/>
        <v/>
      </c>
      <c r="J504" s="7" t="str">
        <f t="shared" si="43"/>
        <v/>
      </c>
      <c r="K504" s="3" t="str">
        <f t="shared" si="44"/>
        <v/>
      </c>
      <c r="L504" s="4" t="str">
        <f t="shared" si="45"/>
        <v/>
      </c>
      <c r="M504" s="7" t="str">
        <f t="shared" si="46"/>
        <v/>
      </c>
      <c r="N504" s="9" t="str">
        <f t="shared" si="47"/>
        <v/>
      </c>
      <c r="O504" s="9" t="str">
        <f>IF(NOT(ISERROR(VLOOKUP(C504,Deflatores!G$42:H$64,2,FALSE))),VLOOKUP(C504,Deflatores!G$42:H$64,2,FALSE),IF(OR(ISBLANK(D504),ISBLANK(C504)),"",VLOOKUP(D504,Deflatores!G$4:H$38,2,FALSE)*K504+VLOOKUP(D504,Deflatores!G$4:I$38,3,FALSE)))</f>
        <v/>
      </c>
      <c r="P504" s="10"/>
      <c r="Q504" s="10"/>
      <c r="R504" s="6"/>
      <c r="S504" s="10"/>
      <c r="T504" s="10"/>
      <c r="U504" s="10"/>
    </row>
    <row r="505" spans="1:21" hidden="1" x14ac:dyDescent="0.2">
      <c r="A505" s="102"/>
      <c r="B505" s="102"/>
      <c r="C505" s="2"/>
      <c r="D505" s="2"/>
      <c r="E505" s="7"/>
      <c r="F505" s="7"/>
      <c r="G505" s="7"/>
      <c r="H505" s="7"/>
      <c r="I505" s="8" t="str">
        <f t="shared" si="42"/>
        <v/>
      </c>
      <c r="J505" s="7" t="str">
        <f t="shared" si="43"/>
        <v/>
      </c>
      <c r="K505" s="3" t="str">
        <f t="shared" si="44"/>
        <v/>
      </c>
      <c r="L505" s="4" t="str">
        <f t="shared" si="45"/>
        <v/>
      </c>
      <c r="M505" s="7" t="str">
        <f t="shared" si="46"/>
        <v/>
      </c>
      <c r="N505" s="9" t="str">
        <f t="shared" si="47"/>
        <v/>
      </c>
      <c r="O505" s="9" t="str">
        <f>IF(NOT(ISERROR(VLOOKUP(C505,Deflatores!G$42:H$64,2,FALSE))),VLOOKUP(C505,Deflatores!G$42:H$64,2,FALSE),IF(OR(ISBLANK(D505),ISBLANK(C505)),"",VLOOKUP(D505,Deflatores!G$4:H$38,2,FALSE)*K505+VLOOKUP(D505,Deflatores!G$4:I$38,3,FALSE)))</f>
        <v/>
      </c>
      <c r="P505" s="10"/>
      <c r="Q505" s="10"/>
      <c r="R505" s="6"/>
      <c r="S505" s="10"/>
      <c r="T505" s="10"/>
      <c r="U505" s="10"/>
    </row>
    <row r="506" spans="1:21" hidden="1" x14ac:dyDescent="0.2">
      <c r="A506" s="102"/>
      <c r="B506" s="102"/>
      <c r="C506" s="2"/>
      <c r="D506" s="2"/>
      <c r="E506" s="7"/>
      <c r="F506" s="7"/>
      <c r="G506" s="7"/>
      <c r="H506" s="7"/>
      <c r="I506" s="8" t="str">
        <f t="shared" si="42"/>
        <v/>
      </c>
      <c r="J506" s="7" t="str">
        <f t="shared" si="43"/>
        <v/>
      </c>
      <c r="K506" s="3" t="str">
        <f t="shared" si="44"/>
        <v/>
      </c>
      <c r="L506" s="4" t="str">
        <f t="shared" si="45"/>
        <v/>
      </c>
      <c r="M506" s="7" t="str">
        <f t="shared" si="46"/>
        <v/>
      </c>
      <c r="N506" s="9" t="str">
        <f t="shared" si="47"/>
        <v/>
      </c>
      <c r="O506" s="9" t="str">
        <f>IF(NOT(ISERROR(VLOOKUP(C506,Deflatores!G$42:H$64,2,FALSE))),VLOOKUP(C506,Deflatores!G$42:H$64,2,FALSE),IF(OR(ISBLANK(D506),ISBLANK(C506)),"",VLOOKUP(D506,Deflatores!G$4:H$38,2,FALSE)*K506+VLOOKUP(D506,Deflatores!G$4:I$38,3,FALSE)))</f>
        <v/>
      </c>
      <c r="P506" s="10"/>
      <c r="Q506" s="10"/>
      <c r="R506" s="6"/>
      <c r="S506" s="10"/>
      <c r="T506" s="10"/>
      <c r="U506" s="10"/>
    </row>
    <row r="507" spans="1:21" hidden="1" x14ac:dyDescent="0.2">
      <c r="A507" s="102"/>
      <c r="B507" s="102"/>
      <c r="C507" s="2"/>
      <c r="D507" s="2"/>
      <c r="E507" s="7"/>
      <c r="F507" s="7"/>
      <c r="G507" s="7"/>
      <c r="H507" s="7"/>
      <c r="I507" s="8" t="str">
        <f t="shared" si="42"/>
        <v/>
      </c>
      <c r="J507" s="7" t="str">
        <f t="shared" si="43"/>
        <v/>
      </c>
      <c r="K507" s="3" t="str">
        <f t="shared" si="44"/>
        <v/>
      </c>
      <c r="L507" s="4" t="str">
        <f t="shared" si="45"/>
        <v/>
      </c>
      <c r="M507" s="7" t="str">
        <f t="shared" si="46"/>
        <v/>
      </c>
      <c r="N507" s="9" t="str">
        <f t="shared" si="47"/>
        <v/>
      </c>
      <c r="O507" s="9" t="str">
        <f>IF(NOT(ISERROR(VLOOKUP(C507,Deflatores!G$42:H$64,2,FALSE))),VLOOKUP(C507,Deflatores!G$42:H$64,2,FALSE),IF(OR(ISBLANK(D507),ISBLANK(C507)),"",VLOOKUP(D507,Deflatores!G$4:H$38,2,FALSE)*K507+VLOOKUP(D507,Deflatores!G$4:I$38,3,FALSE)))</f>
        <v/>
      </c>
      <c r="P507" s="10"/>
      <c r="Q507" s="10"/>
      <c r="R507" s="6"/>
      <c r="S507" s="10"/>
      <c r="T507" s="10"/>
      <c r="U507" s="10"/>
    </row>
    <row r="508" spans="1:21" hidden="1" x14ac:dyDescent="0.2">
      <c r="A508" s="102"/>
      <c r="B508" s="102"/>
      <c r="C508" s="2"/>
      <c r="D508" s="2"/>
      <c r="E508" s="7"/>
      <c r="F508" s="7"/>
      <c r="G508" s="7"/>
      <c r="H508" s="7"/>
      <c r="I508" s="8" t="str">
        <f t="shared" si="42"/>
        <v/>
      </c>
      <c r="J508" s="7" t="str">
        <f t="shared" si="43"/>
        <v/>
      </c>
      <c r="K508" s="3" t="str">
        <f t="shared" si="44"/>
        <v/>
      </c>
      <c r="L508" s="4" t="str">
        <f t="shared" si="45"/>
        <v/>
      </c>
      <c r="M508" s="7" t="str">
        <f t="shared" si="46"/>
        <v/>
      </c>
      <c r="N508" s="9" t="str">
        <f t="shared" si="47"/>
        <v/>
      </c>
      <c r="O508" s="9" t="str">
        <f>IF(NOT(ISERROR(VLOOKUP(C508,Deflatores!G$42:H$64,2,FALSE))),VLOOKUP(C508,Deflatores!G$42:H$64,2,FALSE),IF(OR(ISBLANK(D508),ISBLANK(C508)),"",VLOOKUP(D508,Deflatores!G$4:H$38,2,FALSE)*K508+VLOOKUP(D508,Deflatores!G$4:I$38,3,FALSE)))</f>
        <v/>
      </c>
      <c r="P508" s="10"/>
      <c r="Q508" s="10"/>
      <c r="R508" s="6"/>
      <c r="S508" s="10"/>
      <c r="T508" s="10"/>
      <c r="U508" s="10"/>
    </row>
    <row r="509" spans="1:21" hidden="1" x14ac:dyDescent="0.2">
      <c r="A509" s="102"/>
      <c r="B509" s="102"/>
      <c r="C509" s="2"/>
      <c r="D509" s="2"/>
      <c r="E509" s="7"/>
      <c r="F509" s="7"/>
      <c r="G509" s="7"/>
      <c r="H509" s="7"/>
      <c r="I509" s="8" t="str">
        <f t="shared" si="42"/>
        <v/>
      </c>
      <c r="J509" s="7" t="str">
        <f t="shared" si="43"/>
        <v/>
      </c>
      <c r="K509" s="3" t="str">
        <f t="shared" si="44"/>
        <v/>
      </c>
      <c r="L509" s="4" t="str">
        <f t="shared" si="45"/>
        <v/>
      </c>
      <c r="M509" s="7" t="str">
        <f t="shared" si="46"/>
        <v/>
      </c>
      <c r="N509" s="9" t="str">
        <f t="shared" si="47"/>
        <v/>
      </c>
      <c r="O509" s="9" t="str">
        <f>IF(NOT(ISERROR(VLOOKUP(C509,Deflatores!G$42:H$64,2,FALSE))),VLOOKUP(C509,Deflatores!G$42:H$64,2,FALSE),IF(OR(ISBLANK(D509),ISBLANK(C509)),"",VLOOKUP(D509,Deflatores!G$4:H$38,2,FALSE)*K509+VLOOKUP(D509,Deflatores!G$4:I$38,3,FALSE)))</f>
        <v/>
      </c>
      <c r="P509" s="10"/>
      <c r="Q509" s="10"/>
      <c r="R509" s="6"/>
      <c r="S509" s="10"/>
      <c r="T509" s="10"/>
      <c r="U509" s="10"/>
    </row>
    <row r="510" spans="1:21" hidden="1" x14ac:dyDescent="0.2">
      <c r="A510" s="102"/>
      <c r="B510" s="102"/>
      <c r="C510" s="2"/>
      <c r="D510" s="2"/>
      <c r="E510" s="7"/>
      <c r="F510" s="7"/>
      <c r="G510" s="7"/>
      <c r="H510" s="7"/>
      <c r="I510" s="8" t="str">
        <f t="shared" si="42"/>
        <v/>
      </c>
      <c r="J510" s="7" t="str">
        <f t="shared" si="43"/>
        <v/>
      </c>
      <c r="K510" s="3" t="str">
        <f t="shared" si="44"/>
        <v/>
      </c>
      <c r="L510" s="4" t="str">
        <f t="shared" si="45"/>
        <v/>
      </c>
      <c r="M510" s="7" t="str">
        <f t="shared" si="46"/>
        <v/>
      </c>
      <c r="N510" s="9" t="str">
        <f t="shared" si="47"/>
        <v/>
      </c>
      <c r="O510" s="9" t="str">
        <f>IF(NOT(ISERROR(VLOOKUP(C510,Deflatores!G$42:H$64,2,FALSE))),VLOOKUP(C510,Deflatores!G$42:H$64,2,FALSE),IF(OR(ISBLANK(D510),ISBLANK(C510)),"",VLOOKUP(D510,Deflatores!G$4:H$38,2,FALSE)*K510+VLOOKUP(D510,Deflatores!G$4:I$38,3,FALSE)))</f>
        <v/>
      </c>
      <c r="P510" s="10"/>
      <c r="Q510" s="10"/>
      <c r="R510" s="6"/>
      <c r="S510" s="10"/>
      <c r="T510" s="10"/>
      <c r="U510" s="10"/>
    </row>
    <row r="511" spans="1:21" hidden="1" x14ac:dyDescent="0.2">
      <c r="A511" s="102"/>
      <c r="B511" s="102"/>
      <c r="C511" s="2"/>
      <c r="D511" s="2"/>
      <c r="E511" s="7"/>
      <c r="F511" s="7"/>
      <c r="G511" s="7"/>
      <c r="H511" s="7"/>
      <c r="I511" s="8" t="str">
        <f t="shared" si="42"/>
        <v/>
      </c>
      <c r="J511" s="7" t="str">
        <f t="shared" si="43"/>
        <v/>
      </c>
      <c r="K511" s="3" t="str">
        <f t="shared" si="44"/>
        <v/>
      </c>
      <c r="L511" s="4" t="str">
        <f t="shared" si="45"/>
        <v/>
      </c>
      <c r="M511" s="7" t="str">
        <f t="shared" si="46"/>
        <v/>
      </c>
      <c r="N511" s="9" t="str">
        <f t="shared" si="47"/>
        <v/>
      </c>
      <c r="O511" s="9" t="str">
        <f>IF(NOT(ISERROR(VLOOKUP(C511,Deflatores!G$42:H$64,2,FALSE))),VLOOKUP(C511,Deflatores!G$42:H$64,2,FALSE),IF(OR(ISBLANK(D511),ISBLANK(C511)),"",VLOOKUP(D511,Deflatores!G$4:H$38,2,FALSE)*K511+VLOOKUP(D511,Deflatores!G$4:I$38,3,FALSE)))</f>
        <v/>
      </c>
      <c r="P511" s="10"/>
      <c r="Q511" s="10"/>
      <c r="R511" s="6"/>
      <c r="S511" s="10"/>
      <c r="T511" s="10"/>
      <c r="U511" s="10"/>
    </row>
    <row r="512" spans="1:21" hidden="1" x14ac:dyDescent="0.2">
      <c r="A512" s="102"/>
      <c r="B512" s="102"/>
      <c r="C512" s="2"/>
      <c r="D512" s="2"/>
      <c r="E512" s="7"/>
      <c r="F512" s="7"/>
      <c r="G512" s="7"/>
      <c r="H512" s="7"/>
      <c r="I512" s="8" t="str">
        <f t="shared" si="42"/>
        <v/>
      </c>
      <c r="J512" s="7" t="str">
        <f t="shared" si="43"/>
        <v/>
      </c>
      <c r="K512" s="3" t="str">
        <f t="shared" si="44"/>
        <v/>
      </c>
      <c r="L512" s="4" t="str">
        <f t="shared" si="45"/>
        <v/>
      </c>
      <c r="M512" s="7" t="str">
        <f t="shared" si="46"/>
        <v/>
      </c>
      <c r="N512" s="9" t="str">
        <f t="shared" si="47"/>
        <v/>
      </c>
      <c r="O512" s="9" t="str">
        <f>IF(NOT(ISERROR(VLOOKUP(C512,Deflatores!G$42:H$64,2,FALSE))),VLOOKUP(C512,Deflatores!G$42:H$64,2,FALSE),IF(OR(ISBLANK(D512),ISBLANK(C512)),"",VLOOKUP(D512,Deflatores!G$4:H$38,2,FALSE)*K512+VLOOKUP(D512,Deflatores!G$4:I$38,3,FALSE)))</f>
        <v/>
      </c>
      <c r="P512" s="10"/>
      <c r="Q512" s="10"/>
      <c r="R512" s="6"/>
      <c r="S512" s="10"/>
      <c r="T512" s="10"/>
      <c r="U512" s="10"/>
    </row>
    <row r="513" spans="1:21" hidden="1" x14ac:dyDescent="0.2">
      <c r="A513" s="102"/>
      <c r="B513" s="102"/>
      <c r="C513" s="2"/>
      <c r="D513" s="2"/>
      <c r="E513" s="7"/>
      <c r="F513" s="7"/>
      <c r="G513" s="7"/>
      <c r="H513" s="7"/>
      <c r="I513" s="8" t="str">
        <f t="shared" si="42"/>
        <v/>
      </c>
      <c r="J513" s="7" t="str">
        <f t="shared" si="43"/>
        <v/>
      </c>
      <c r="K513" s="3" t="str">
        <f t="shared" si="44"/>
        <v/>
      </c>
      <c r="L513" s="4" t="str">
        <f t="shared" si="45"/>
        <v/>
      </c>
      <c r="M513" s="7" t="str">
        <f t="shared" si="46"/>
        <v/>
      </c>
      <c r="N513" s="9" t="str">
        <f t="shared" si="47"/>
        <v/>
      </c>
      <c r="O513" s="9" t="str">
        <f>IF(NOT(ISERROR(VLOOKUP(C513,Deflatores!G$42:H$64,2,FALSE))),VLOOKUP(C513,Deflatores!G$42:H$64,2,FALSE),IF(OR(ISBLANK(D513),ISBLANK(C513)),"",VLOOKUP(D513,Deflatores!G$4:H$38,2,FALSE)*K513+VLOOKUP(D513,Deflatores!G$4:I$38,3,FALSE)))</f>
        <v/>
      </c>
      <c r="P513" s="10"/>
      <c r="Q513" s="10"/>
      <c r="R513" s="6"/>
      <c r="S513" s="10"/>
      <c r="T513" s="10"/>
      <c r="U513" s="10"/>
    </row>
    <row r="514" spans="1:21" hidden="1" x14ac:dyDescent="0.2">
      <c r="A514" s="102"/>
      <c r="B514" s="102"/>
      <c r="C514" s="2"/>
      <c r="D514" s="2"/>
      <c r="E514" s="7"/>
      <c r="F514" s="7"/>
      <c r="G514" s="7"/>
      <c r="H514" s="7"/>
      <c r="I514" s="8" t="str">
        <f t="shared" si="42"/>
        <v/>
      </c>
      <c r="J514" s="7" t="str">
        <f t="shared" si="43"/>
        <v/>
      </c>
      <c r="K514" s="3" t="str">
        <f t="shared" si="44"/>
        <v/>
      </c>
      <c r="L514" s="4" t="str">
        <f t="shared" si="45"/>
        <v/>
      </c>
      <c r="M514" s="7" t="str">
        <f t="shared" si="46"/>
        <v/>
      </c>
      <c r="N514" s="9" t="str">
        <f t="shared" si="47"/>
        <v/>
      </c>
      <c r="O514" s="9" t="str">
        <f>IF(NOT(ISERROR(VLOOKUP(C514,Deflatores!G$42:H$64,2,FALSE))),VLOOKUP(C514,Deflatores!G$42:H$64,2,FALSE),IF(OR(ISBLANK(D514),ISBLANK(C514)),"",VLOOKUP(D514,Deflatores!G$4:H$38,2,FALSE)*K514+VLOOKUP(D514,Deflatores!G$4:I$38,3,FALSE)))</f>
        <v/>
      </c>
      <c r="P514" s="10"/>
      <c r="Q514" s="10"/>
      <c r="R514" s="6"/>
      <c r="S514" s="10"/>
      <c r="T514" s="10"/>
      <c r="U514" s="10"/>
    </row>
    <row r="515" spans="1:21" hidden="1" x14ac:dyDescent="0.2">
      <c r="A515" s="102"/>
      <c r="B515" s="102"/>
      <c r="C515" s="2"/>
      <c r="D515" s="2"/>
      <c r="E515" s="7"/>
      <c r="F515" s="7"/>
      <c r="G515" s="7"/>
      <c r="H515" s="7"/>
      <c r="I515" s="8" t="str">
        <f t="shared" si="42"/>
        <v/>
      </c>
      <c r="J515" s="7" t="str">
        <f t="shared" si="43"/>
        <v/>
      </c>
      <c r="K515" s="3" t="str">
        <f t="shared" si="44"/>
        <v/>
      </c>
      <c r="L515" s="4" t="str">
        <f t="shared" si="45"/>
        <v/>
      </c>
      <c r="M515" s="7" t="str">
        <f t="shared" si="46"/>
        <v/>
      </c>
      <c r="N515" s="9" t="str">
        <f t="shared" si="47"/>
        <v/>
      </c>
      <c r="O515" s="9" t="str">
        <f>IF(NOT(ISERROR(VLOOKUP(C515,Deflatores!G$42:H$64,2,FALSE))),VLOOKUP(C515,Deflatores!G$42:H$64,2,FALSE),IF(OR(ISBLANK(D515),ISBLANK(C515)),"",VLOOKUP(D515,Deflatores!G$4:H$38,2,FALSE)*K515+VLOOKUP(D515,Deflatores!G$4:I$38,3,FALSE)))</f>
        <v/>
      </c>
      <c r="P515" s="10"/>
      <c r="Q515" s="10"/>
      <c r="R515" s="6"/>
      <c r="S515" s="10"/>
      <c r="T515" s="10"/>
      <c r="U515" s="10"/>
    </row>
    <row r="516" spans="1:21" hidden="1" x14ac:dyDescent="0.2">
      <c r="A516" s="102"/>
      <c r="B516" s="102"/>
      <c r="C516" s="2"/>
      <c r="D516" s="2"/>
      <c r="E516" s="7"/>
      <c r="F516" s="7"/>
      <c r="G516" s="7"/>
      <c r="H516" s="7"/>
      <c r="I516" s="8" t="str">
        <f t="shared" si="42"/>
        <v/>
      </c>
      <c r="J516" s="7" t="str">
        <f t="shared" si="43"/>
        <v/>
      </c>
      <c r="K516" s="3" t="str">
        <f t="shared" si="44"/>
        <v/>
      </c>
      <c r="L516" s="4" t="str">
        <f t="shared" si="45"/>
        <v/>
      </c>
      <c r="M516" s="7" t="str">
        <f t="shared" si="46"/>
        <v/>
      </c>
      <c r="N516" s="9" t="str">
        <f t="shared" si="47"/>
        <v/>
      </c>
      <c r="O516" s="9" t="str">
        <f>IF(NOT(ISERROR(VLOOKUP(C516,Deflatores!G$42:H$64,2,FALSE))),VLOOKUP(C516,Deflatores!G$42:H$64,2,FALSE),IF(OR(ISBLANK(D516),ISBLANK(C516)),"",VLOOKUP(D516,Deflatores!G$4:H$38,2,FALSE)*K516+VLOOKUP(D516,Deflatores!G$4:I$38,3,FALSE)))</f>
        <v/>
      </c>
      <c r="P516" s="10"/>
      <c r="Q516" s="10"/>
      <c r="R516" s="6"/>
      <c r="S516" s="10"/>
      <c r="T516" s="10"/>
      <c r="U516" s="10"/>
    </row>
    <row r="517" spans="1:21" hidden="1" x14ac:dyDescent="0.2">
      <c r="A517" s="102"/>
      <c r="B517" s="102"/>
      <c r="C517" s="2"/>
      <c r="D517" s="2"/>
      <c r="E517" s="7"/>
      <c r="F517" s="7"/>
      <c r="G517" s="7"/>
      <c r="H517" s="7"/>
      <c r="I517" s="8" t="str">
        <f t="shared" si="42"/>
        <v/>
      </c>
      <c r="J517" s="7" t="str">
        <f t="shared" si="43"/>
        <v/>
      </c>
      <c r="K517" s="3" t="str">
        <f t="shared" si="44"/>
        <v/>
      </c>
      <c r="L517" s="4" t="str">
        <f t="shared" si="45"/>
        <v/>
      </c>
      <c r="M517" s="7" t="str">
        <f t="shared" si="46"/>
        <v/>
      </c>
      <c r="N517" s="9" t="str">
        <f t="shared" si="47"/>
        <v/>
      </c>
      <c r="O517" s="9" t="str">
        <f>IF(NOT(ISERROR(VLOOKUP(C517,Deflatores!G$42:H$64,2,FALSE))),VLOOKUP(C517,Deflatores!G$42:H$64,2,FALSE),IF(OR(ISBLANK(D517),ISBLANK(C517)),"",VLOOKUP(D517,Deflatores!G$4:H$38,2,FALSE)*K517+VLOOKUP(D517,Deflatores!G$4:I$38,3,FALSE)))</f>
        <v/>
      </c>
      <c r="P517" s="10"/>
      <c r="Q517" s="10"/>
      <c r="R517" s="6"/>
      <c r="S517" s="10"/>
      <c r="T517" s="10"/>
      <c r="U517" s="10"/>
    </row>
    <row r="518" spans="1:21" hidden="1" x14ac:dyDescent="0.2">
      <c r="A518" s="102"/>
      <c r="B518" s="102"/>
      <c r="C518" s="2"/>
      <c r="D518" s="2"/>
      <c r="E518" s="7"/>
      <c r="F518" s="7"/>
      <c r="G518" s="7"/>
      <c r="H518" s="7"/>
      <c r="I518" s="8" t="str">
        <f t="shared" si="42"/>
        <v/>
      </c>
      <c r="J518" s="7" t="str">
        <f t="shared" si="43"/>
        <v/>
      </c>
      <c r="K518" s="3" t="str">
        <f t="shared" si="44"/>
        <v/>
      </c>
      <c r="L518" s="4" t="str">
        <f t="shared" si="45"/>
        <v/>
      </c>
      <c r="M518" s="7" t="str">
        <f t="shared" si="46"/>
        <v/>
      </c>
      <c r="N518" s="9" t="str">
        <f t="shared" si="47"/>
        <v/>
      </c>
      <c r="O518" s="9" t="str">
        <f>IF(NOT(ISERROR(VLOOKUP(C518,Deflatores!G$42:H$64,2,FALSE))),VLOOKUP(C518,Deflatores!G$42:H$64,2,FALSE),IF(OR(ISBLANK(D518),ISBLANK(C518)),"",VLOOKUP(D518,Deflatores!G$4:H$38,2,FALSE)*K518+VLOOKUP(D518,Deflatores!G$4:I$38,3,FALSE)))</f>
        <v/>
      </c>
      <c r="P518" s="10"/>
      <c r="Q518" s="10"/>
      <c r="R518" s="6"/>
      <c r="S518" s="10"/>
      <c r="T518" s="10"/>
      <c r="U518" s="10"/>
    </row>
    <row r="519" spans="1:21" hidden="1" x14ac:dyDescent="0.2">
      <c r="A519" s="102"/>
      <c r="B519" s="102"/>
      <c r="C519" s="2"/>
      <c r="D519" s="2"/>
      <c r="E519" s="7"/>
      <c r="F519" s="7"/>
      <c r="G519" s="7"/>
      <c r="H519" s="7"/>
      <c r="I519" s="8" t="str">
        <f t="shared" si="42"/>
        <v/>
      </c>
      <c r="J519" s="7" t="str">
        <f t="shared" si="43"/>
        <v/>
      </c>
      <c r="K519" s="3" t="str">
        <f t="shared" si="44"/>
        <v/>
      </c>
      <c r="L519" s="4" t="str">
        <f t="shared" si="45"/>
        <v/>
      </c>
      <c r="M519" s="7" t="str">
        <f t="shared" si="46"/>
        <v/>
      </c>
      <c r="N519" s="9" t="str">
        <f t="shared" si="47"/>
        <v/>
      </c>
      <c r="O519" s="9" t="str">
        <f>IF(NOT(ISERROR(VLOOKUP(C519,Deflatores!G$42:H$64,2,FALSE))),VLOOKUP(C519,Deflatores!G$42:H$64,2,FALSE),IF(OR(ISBLANK(D519),ISBLANK(C519)),"",VLOOKUP(D519,Deflatores!G$4:H$38,2,FALSE)*K519+VLOOKUP(D519,Deflatores!G$4:I$38,3,FALSE)))</f>
        <v/>
      </c>
      <c r="P519" s="10"/>
      <c r="Q519" s="10"/>
      <c r="R519" s="6"/>
      <c r="S519" s="10"/>
      <c r="T519" s="10"/>
      <c r="U519" s="10"/>
    </row>
    <row r="520" spans="1:21" hidden="1" x14ac:dyDescent="0.2">
      <c r="A520" s="102"/>
      <c r="B520" s="102"/>
      <c r="C520" s="2"/>
      <c r="D520" s="2"/>
      <c r="E520" s="7"/>
      <c r="F520" s="7"/>
      <c r="G520" s="7"/>
      <c r="H520" s="7"/>
      <c r="I520" s="8" t="str">
        <f t="shared" si="42"/>
        <v/>
      </c>
      <c r="J520" s="7" t="str">
        <f t="shared" si="43"/>
        <v/>
      </c>
      <c r="K520" s="3" t="str">
        <f t="shared" si="44"/>
        <v/>
      </c>
      <c r="L520" s="4" t="str">
        <f t="shared" si="45"/>
        <v/>
      </c>
      <c r="M520" s="7" t="str">
        <f t="shared" si="46"/>
        <v/>
      </c>
      <c r="N520" s="9" t="str">
        <f t="shared" si="47"/>
        <v/>
      </c>
      <c r="O520" s="9" t="str">
        <f>IF(NOT(ISERROR(VLOOKUP(C520,Deflatores!G$42:H$64,2,FALSE))),VLOOKUP(C520,Deflatores!G$42:H$64,2,FALSE),IF(OR(ISBLANK(D520),ISBLANK(C520)),"",VLOOKUP(D520,Deflatores!G$4:H$38,2,FALSE)*K520+VLOOKUP(D520,Deflatores!G$4:I$38,3,FALSE)))</f>
        <v/>
      </c>
      <c r="P520" s="10"/>
      <c r="Q520" s="10"/>
      <c r="R520" s="6"/>
      <c r="S520" s="10"/>
      <c r="T520" s="10"/>
      <c r="U520" s="10"/>
    </row>
    <row r="521" spans="1:21" hidden="1" x14ac:dyDescent="0.2">
      <c r="A521" s="102"/>
      <c r="B521" s="102"/>
      <c r="C521" s="2"/>
      <c r="D521" s="2"/>
      <c r="E521" s="7"/>
      <c r="F521" s="7"/>
      <c r="G521" s="7"/>
      <c r="H521" s="7"/>
      <c r="I521" s="8" t="str">
        <f t="shared" si="42"/>
        <v/>
      </c>
      <c r="J521" s="7" t="str">
        <f t="shared" si="43"/>
        <v/>
      </c>
      <c r="K521" s="3" t="str">
        <f t="shared" si="44"/>
        <v/>
      </c>
      <c r="L521" s="4" t="str">
        <f t="shared" si="45"/>
        <v/>
      </c>
      <c r="M521" s="7" t="str">
        <f t="shared" si="46"/>
        <v/>
      </c>
      <c r="N521" s="9" t="str">
        <f t="shared" si="47"/>
        <v/>
      </c>
      <c r="O521" s="9" t="str">
        <f>IF(NOT(ISERROR(VLOOKUP(C521,Deflatores!G$42:H$64,2,FALSE))),VLOOKUP(C521,Deflatores!G$42:H$64,2,FALSE),IF(OR(ISBLANK(D521),ISBLANK(C521)),"",VLOOKUP(D521,Deflatores!G$4:H$38,2,FALSE)*K521+VLOOKUP(D521,Deflatores!G$4:I$38,3,FALSE)))</f>
        <v/>
      </c>
      <c r="P521" s="10"/>
      <c r="Q521" s="10"/>
      <c r="R521" s="6"/>
      <c r="S521" s="10"/>
      <c r="T521" s="10"/>
      <c r="U521" s="10"/>
    </row>
    <row r="522" spans="1:21" hidden="1" x14ac:dyDescent="0.2">
      <c r="A522" s="102"/>
      <c r="B522" s="102"/>
      <c r="C522" s="2"/>
      <c r="D522" s="2"/>
      <c r="E522" s="7"/>
      <c r="F522" s="7"/>
      <c r="G522" s="7"/>
      <c r="H522" s="7"/>
      <c r="I522" s="8" t="str">
        <f t="shared" si="42"/>
        <v/>
      </c>
      <c r="J522" s="7" t="str">
        <f t="shared" si="43"/>
        <v/>
      </c>
      <c r="K522" s="3" t="str">
        <f t="shared" si="44"/>
        <v/>
      </c>
      <c r="L522" s="4" t="str">
        <f t="shared" si="45"/>
        <v/>
      </c>
      <c r="M522" s="7" t="str">
        <f t="shared" si="46"/>
        <v/>
      </c>
      <c r="N522" s="9" t="str">
        <f t="shared" si="47"/>
        <v/>
      </c>
      <c r="O522" s="9" t="str">
        <f>IF(NOT(ISERROR(VLOOKUP(C522,Deflatores!G$42:H$64,2,FALSE))),VLOOKUP(C522,Deflatores!G$42:H$64,2,FALSE),IF(OR(ISBLANK(D522),ISBLANK(C522)),"",VLOOKUP(D522,Deflatores!G$4:H$38,2,FALSE)*K522+VLOOKUP(D522,Deflatores!G$4:I$38,3,FALSE)))</f>
        <v/>
      </c>
      <c r="P522" s="10"/>
      <c r="Q522" s="10"/>
      <c r="R522" s="6"/>
      <c r="S522" s="10"/>
      <c r="T522" s="10"/>
      <c r="U522" s="10"/>
    </row>
    <row r="523" spans="1:21" hidden="1" x14ac:dyDescent="0.2">
      <c r="A523" s="102"/>
      <c r="B523" s="102"/>
      <c r="C523" s="2"/>
      <c r="D523" s="2"/>
      <c r="E523" s="7"/>
      <c r="F523" s="7"/>
      <c r="G523" s="7"/>
      <c r="H523" s="7"/>
      <c r="I523" s="8" t="str">
        <f t="shared" si="42"/>
        <v/>
      </c>
      <c r="J523" s="7" t="str">
        <f t="shared" si="43"/>
        <v/>
      </c>
      <c r="K523" s="3" t="str">
        <f t="shared" si="44"/>
        <v/>
      </c>
      <c r="L523" s="4" t="str">
        <f t="shared" si="45"/>
        <v/>
      </c>
      <c r="M523" s="7" t="str">
        <f t="shared" si="46"/>
        <v/>
      </c>
      <c r="N523" s="9" t="str">
        <f t="shared" si="47"/>
        <v/>
      </c>
      <c r="O523" s="9" t="str">
        <f>IF(NOT(ISERROR(VLOOKUP(C523,Deflatores!G$42:H$64,2,FALSE))),VLOOKUP(C523,Deflatores!G$42:H$64,2,FALSE),IF(OR(ISBLANK(D523),ISBLANK(C523)),"",VLOOKUP(D523,Deflatores!G$4:H$38,2,FALSE)*K523+VLOOKUP(D523,Deflatores!G$4:I$38,3,FALSE)))</f>
        <v/>
      </c>
      <c r="P523" s="10"/>
      <c r="Q523" s="10"/>
      <c r="R523" s="6"/>
      <c r="S523" s="10"/>
      <c r="T523" s="10"/>
      <c r="U523" s="10"/>
    </row>
    <row r="524" spans="1:21" hidden="1" x14ac:dyDescent="0.2">
      <c r="A524" s="102"/>
      <c r="B524" s="102"/>
      <c r="C524" s="2"/>
      <c r="D524" s="2"/>
      <c r="E524" s="7"/>
      <c r="F524" s="7"/>
      <c r="G524" s="7"/>
      <c r="H524" s="7"/>
      <c r="I524" s="8" t="str">
        <f t="shared" si="42"/>
        <v/>
      </c>
      <c r="J524" s="7" t="str">
        <f t="shared" si="43"/>
        <v/>
      </c>
      <c r="K524" s="3" t="str">
        <f t="shared" si="44"/>
        <v/>
      </c>
      <c r="L524" s="4" t="str">
        <f t="shared" si="45"/>
        <v/>
      </c>
      <c r="M524" s="7" t="str">
        <f t="shared" si="46"/>
        <v/>
      </c>
      <c r="N524" s="9" t="str">
        <f t="shared" si="47"/>
        <v/>
      </c>
      <c r="O524" s="9" t="str">
        <f>IF(NOT(ISERROR(VLOOKUP(C524,Deflatores!G$42:H$64,2,FALSE))),VLOOKUP(C524,Deflatores!G$42:H$64,2,FALSE),IF(OR(ISBLANK(D524),ISBLANK(C524)),"",VLOOKUP(D524,Deflatores!G$4:H$38,2,FALSE)*K524+VLOOKUP(D524,Deflatores!G$4:I$38,3,FALSE)))</f>
        <v/>
      </c>
      <c r="P524" s="10"/>
      <c r="Q524" s="10"/>
      <c r="R524" s="6"/>
      <c r="S524" s="10"/>
      <c r="T524" s="10"/>
      <c r="U524" s="10"/>
    </row>
    <row r="525" spans="1:21" hidden="1" x14ac:dyDescent="0.2">
      <c r="A525" s="102"/>
      <c r="B525" s="102"/>
      <c r="C525" s="2"/>
      <c r="D525" s="2"/>
      <c r="E525" s="7"/>
      <c r="F525" s="7"/>
      <c r="G525" s="7"/>
      <c r="H525" s="7"/>
      <c r="I525" s="8" t="str">
        <f t="shared" si="42"/>
        <v/>
      </c>
      <c r="J525" s="7" t="str">
        <f t="shared" si="43"/>
        <v/>
      </c>
      <c r="K525" s="3" t="str">
        <f t="shared" si="44"/>
        <v/>
      </c>
      <c r="L525" s="4" t="str">
        <f t="shared" si="45"/>
        <v/>
      </c>
      <c r="M525" s="7" t="str">
        <f t="shared" si="46"/>
        <v/>
      </c>
      <c r="N525" s="9" t="str">
        <f t="shared" si="47"/>
        <v/>
      </c>
      <c r="O525" s="9" t="str">
        <f>IF(NOT(ISERROR(VLOOKUP(C525,Deflatores!G$42:H$64,2,FALSE))),VLOOKUP(C525,Deflatores!G$42:H$64,2,FALSE),IF(OR(ISBLANK(D525),ISBLANK(C525)),"",VLOOKUP(D525,Deflatores!G$4:H$38,2,FALSE)*K525+VLOOKUP(D525,Deflatores!G$4:I$38,3,FALSE)))</f>
        <v/>
      </c>
      <c r="P525" s="10"/>
      <c r="Q525" s="10"/>
      <c r="R525" s="6"/>
      <c r="S525" s="10"/>
      <c r="T525" s="10"/>
      <c r="U525" s="10"/>
    </row>
    <row r="526" spans="1:21" hidden="1" x14ac:dyDescent="0.2">
      <c r="A526" s="102"/>
      <c r="B526" s="102"/>
      <c r="C526" s="2"/>
      <c r="D526" s="2"/>
      <c r="E526" s="7"/>
      <c r="F526" s="7"/>
      <c r="G526" s="7"/>
      <c r="H526" s="7"/>
      <c r="I526" s="8" t="str">
        <f t="shared" ref="I526:I589" si="48">IF(ISBLANK(C526),"",IF(L526="L","Baixa",IF(L526="A","Média",IF(L526="","","Alta"))))</f>
        <v/>
      </c>
      <c r="J526" s="7" t="str">
        <f t="shared" ref="J526:J589" si="49">CONCATENATE(C526,L526)</f>
        <v/>
      </c>
      <c r="K526" s="3" t="str">
        <f t="shared" ref="K526:K589" si="50">IF(ISBLANK(C526),"",IF(C526="ALI",IF(L526="L",7,IF(L526="A",10,15)),IF(C526="AIE",IF(L526="L",5,IF(L526="A",7,10)),IF(C526="SE",IF(L526="L",4,IF(L526="A",5,7)),IF(OR(C526="EE",C526="CE"),IF(L526="L",3,IF(L526="A",4,6)),0)))))</f>
        <v/>
      </c>
      <c r="L526" s="4" t="str">
        <f t="shared" ref="L526:L589" si="51">IF(OR(ISBLANK(E526),ISBLANK(G526)),IF(OR(C526="ALI",C526="AIE"),"L",IF(OR(C526="EE",C526="SE",C526="CE"),"A","")),IF(C526="EE",IF(G526&gt;=3,IF(E526&gt;=5,"H","A"),IF(G526&gt;=2,IF(E526&gt;=16,"H",IF(E526&lt;=4,"L","A")),IF(E526&lt;=15,"L","A"))),IF(OR(C526="SE",C526="CE"),IF(G526&gt;=4,IF(E526&gt;=6,"H","A"),IF(G526&gt;=2,IF(E526&gt;=20,"H",IF(E526&lt;=5,"L","A")),IF(E526&lt;=19,"L","A"))),IF(OR(C526="ALI",C526="AIE"),IF(G526&gt;=6,IF(E526&gt;=20,"H","A"),IF(G526&gt;=2,IF(E526&gt;=51,"H",IF(E526&lt;=19,"L","A")),IF(E526&lt;=50,"L","A"))),""))))</f>
        <v/>
      </c>
      <c r="M526" s="7" t="str">
        <f t="shared" ref="M526:M589" si="52">CONCATENATE(C526,D526)</f>
        <v/>
      </c>
      <c r="N526" s="9" t="str">
        <f t="shared" ref="N526:N589" si="53">IF(OR(K526="",K526=0),O526,K526)</f>
        <v/>
      </c>
      <c r="O526" s="9" t="str">
        <f>IF(NOT(ISERROR(VLOOKUP(C526,Deflatores!G$42:H$64,2,FALSE))),VLOOKUP(C526,Deflatores!G$42:H$64,2,FALSE),IF(OR(ISBLANK(D526),ISBLANK(C526)),"",VLOOKUP(D526,Deflatores!G$4:H$38,2,FALSE)*K526+VLOOKUP(D526,Deflatores!G$4:I$38,3,FALSE)))</f>
        <v/>
      </c>
      <c r="P526" s="10"/>
      <c r="Q526" s="10"/>
      <c r="R526" s="6"/>
      <c r="S526" s="10"/>
      <c r="T526" s="10"/>
      <c r="U526" s="10"/>
    </row>
    <row r="527" spans="1:21" hidden="1" x14ac:dyDescent="0.2">
      <c r="A527" s="102"/>
      <c r="B527" s="102"/>
      <c r="C527" s="2"/>
      <c r="D527" s="2"/>
      <c r="E527" s="7"/>
      <c r="F527" s="7"/>
      <c r="G527" s="7"/>
      <c r="H527" s="7"/>
      <c r="I527" s="8" t="str">
        <f t="shared" si="48"/>
        <v/>
      </c>
      <c r="J527" s="7" t="str">
        <f t="shared" si="49"/>
        <v/>
      </c>
      <c r="K527" s="3" t="str">
        <f t="shared" si="50"/>
        <v/>
      </c>
      <c r="L527" s="4" t="str">
        <f t="shared" si="51"/>
        <v/>
      </c>
      <c r="M527" s="7" t="str">
        <f t="shared" si="52"/>
        <v/>
      </c>
      <c r="N527" s="9" t="str">
        <f t="shared" si="53"/>
        <v/>
      </c>
      <c r="O527" s="9" t="str">
        <f>IF(NOT(ISERROR(VLOOKUP(C527,Deflatores!G$42:H$64,2,FALSE))),VLOOKUP(C527,Deflatores!G$42:H$64,2,FALSE),IF(OR(ISBLANK(D527),ISBLANK(C527)),"",VLOOKUP(D527,Deflatores!G$4:H$38,2,FALSE)*K527+VLOOKUP(D527,Deflatores!G$4:I$38,3,FALSE)))</f>
        <v/>
      </c>
      <c r="P527" s="10"/>
      <c r="Q527" s="10"/>
      <c r="R527" s="6"/>
      <c r="S527" s="10"/>
      <c r="T527" s="10"/>
      <c r="U527" s="10"/>
    </row>
    <row r="528" spans="1:21" hidden="1" x14ac:dyDescent="0.2">
      <c r="A528" s="102"/>
      <c r="B528" s="102"/>
      <c r="C528" s="2"/>
      <c r="D528" s="2"/>
      <c r="E528" s="7"/>
      <c r="F528" s="7"/>
      <c r="G528" s="7"/>
      <c r="H528" s="7"/>
      <c r="I528" s="8" t="str">
        <f t="shared" si="48"/>
        <v/>
      </c>
      <c r="J528" s="7" t="str">
        <f t="shared" si="49"/>
        <v/>
      </c>
      <c r="K528" s="3" t="str">
        <f t="shared" si="50"/>
        <v/>
      </c>
      <c r="L528" s="4" t="str">
        <f t="shared" si="51"/>
        <v/>
      </c>
      <c r="M528" s="7" t="str">
        <f t="shared" si="52"/>
        <v/>
      </c>
      <c r="N528" s="9" t="str">
        <f t="shared" si="53"/>
        <v/>
      </c>
      <c r="O528" s="9" t="str">
        <f>IF(NOT(ISERROR(VLOOKUP(C528,Deflatores!G$42:H$64,2,FALSE))),VLOOKUP(C528,Deflatores!G$42:H$64,2,FALSE),IF(OR(ISBLANK(D528),ISBLANK(C528)),"",VLOOKUP(D528,Deflatores!G$4:H$38,2,FALSE)*K528+VLOOKUP(D528,Deflatores!G$4:I$38,3,FALSE)))</f>
        <v/>
      </c>
      <c r="P528" s="10"/>
      <c r="Q528" s="10"/>
      <c r="R528" s="6"/>
      <c r="S528" s="10"/>
      <c r="T528" s="10"/>
      <c r="U528" s="10"/>
    </row>
    <row r="529" spans="1:21" hidden="1" x14ac:dyDescent="0.2">
      <c r="A529" s="102"/>
      <c r="B529" s="102"/>
      <c r="C529" s="2"/>
      <c r="D529" s="2"/>
      <c r="E529" s="7"/>
      <c r="F529" s="7"/>
      <c r="G529" s="7"/>
      <c r="H529" s="7"/>
      <c r="I529" s="8" t="str">
        <f t="shared" si="48"/>
        <v/>
      </c>
      <c r="J529" s="7" t="str">
        <f t="shared" si="49"/>
        <v/>
      </c>
      <c r="K529" s="3" t="str">
        <f t="shared" si="50"/>
        <v/>
      </c>
      <c r="L529" s="4" t="str">
        <f t="shared" si="51"/>
        <v/>
      </c>
      <c r="M529" s="7" t="str">
        <f t="shared" si="52"/>
        <v/>
      </c>
      <c r="N529" s="9" t="str">
        <f t="shared" si="53"/>
        <v/>
      </c>
      <c r="O529" s="9" t="str">
        <f>IF(NOT(ISERROR(VLOOKUP(C529,Deflatores!G$42:H$64,2,FALSE))),VLOOKUP(C529,Deflatores!G$42:H$64,2,FALSE),IF(OR(ISBLANK(D529),ISBLANK(C529)),"",VLOOKUP(D529,Deflatores!G$4:H$38,2,FALSE)*K529+VLOOKUP(D529,Deflatores!G$4:I$38,3,FALSE)))</f>
        <v/>
      </c>
      <c r="P529" s="10"/>
      <c r="Q529" s="10"/>
      <c r="R529" s="6"/>
      <c r="S529" s="10"/>
      <c r="T529" s="10"/>
      <c r="U529" s="10"/>
    </row>
    <row r="530" spans="1:21" hidden="1" x14ac:dyDescent="0.2">
      <c r="A530" s="102"/>
      <c r="B530" s="102"/>
      <c r="C530" s="2"/>
      <c r="D530" s="2"/>
      <c r="E530" s="7"/>
      <c r="F530" s="7"/>
      <c r="G530" s="7"/>
      <c r="H530" s="7"/>
      <c r="I530" s="8" t="str">
        <f t="shared" si="48"/>
        <v/>
      </c>
      <c r="J530" s="7" t="str">
        <f t="shared" si="49"/>
        <v/>
      </c>
      <c r="K530" s="3" t="str">
        <f t="shared" si="50"/>
        <v/>
      </c>
      <c r="L530" s="4" t="str">
        <f t="shared" si="51"/>
        <v/>
      </c>
      <c r="M530" s="7" t="str">
        <f t="shared" si="52"/>
        <v/>
      </c>
      <c r="N530" s="9" t="str">
        <f t="shared" si="53"/>
        <v/>
      </c>
      <c r="O530" s="9" t="str">
        <f>IF(NOT(ISERROR(VLOOKUP(C530,Deflatores!G$42:H$64,2,FALSE))),VLOOKUP(C530,Deflatores!G$42:H$64,2,FALSE),IF(OR(ISBLANK(D530),ISBLANK(C530)),"",VLOOKUP(D530,Deflatores!G$4:H$38,2,FALSE)*K530+VLOOKUP(D530,Deflatores!G$4:I$38,3,FALSE)))</f>
        <v/>
      </c>
      <c r="P530" s="10"/>
      <c r="Q530" s="10"/>
      <c r="R530" s="6"/>
      <c r="S530" s="10"/>
      <c r="T530" s="10"/>
      <c r="U530" s="10"/>
    </row>
    <row r="531" spans="1:21" hidden="1" x14ac:dyDescent="0.2">
      <c r="A531" s="102"/>
      <c r="B531" s="102"/>
      <c r="C531" s="2"/>
      <c r="D531" s="2"/>
      <c r="E531" s="7"/>
      <c r="F531" s="7"/>
      <c r="G531" s="7"/>
      <c r="H531" s="7"/>
      <c r="I531" s="8" t="str">
        <f t="shared" si="48"/>
        <v/>
      </c>
      <c r="J531" s="7" t="str">
        <f t="shared" si="49"/>
        <v/>
      </c>
      <c r="K531" s="3" t="str">
        <f t="shared" si="50"/>
        <v/>
      </c>
      <c r="L531" s="4" t="str">
        <f t="shared" si="51"/>
        <v/>
      </c>
      <c r="M531" s="7" t="str">
        <f t="shared" si="52"/>
        <v/>
      </c>
      <c r="N531" s="9" t="str">
        <f t="shared" si="53"/>
        <v/>
      </c>
      <c r="O531" s="9" t="str">
        <f>IF(NOT(ISERROR(VLOOKUP(C531,Deflatores!G$42:H$64,2,FALSE))),VLOOKUP(C531,Deflatores!G$42:H$64,2,FALSE),IF(OR(ISBLANK(D531),ISBLANK(C531)),"",VLOOKUP(D531,Deflatores!G$4:H$38,2,FALSE)*K531+VLOOKUP(D531,Deflatores!G$4:I$38,3,FALSE)))</f>
        <v/>
      </c>
      <c r="P531" s="10"/>
      <c r="Q531" s="10"/>
      <c r="R531" s="6"/>
      <c r="S531" s="10"/>
      <c r="T531" s="10"/>
      <c r="U531" s="10"/>
    </row>
    <row r="532" spans="1:21" hidden="1" x14ac:dyDescent="0.2">
      <c r="A532" s="102"/>
      <c r="B532" s="102"/>
      <c r="C532" s="2"/>
      <c r="D532" s="2"/>
      <c r="E532" s="7"/>
      <c r="F532" s="7"/>
      <c r="G532" s="7"/>
      <c r="H532" s="7"/>
      <c r="I532" s="8" t="str">
        <f t="shared" si="48"/>
        <v/>
      </c>
      <c r="J532" s="7" t="str">
        <f t="shared" si="49"/>
        <v/>
      </c>
      <c r="K532" s="3" t="str">
        <f t="shared" si="50"/>
        <v/>
      </c>
      <c r="L532" s="4" t="str">
        <f t="shared" si="51"/>
        <v/>
      </c>
      <c r="M532" s="7" t="str">
        <f t="shared" si="52"/>
        <v/>
      </c>
      <c r="N532" s="9" t="str">
        <f t="shared" si="53"/>
        <v/>
      </c>
      <c r="O532" s="9" t="str">
        <f>IF(NOT(ISERROR(VLOOKUP(C532,Deflatores!G$42:H$64,2,FALSE))),VLOOKUP(C532,Deflatores!G$42:H$64,2,FALSE),IF(OR(ISBLANK(D532),ISBLANK(C532)),"",VLOOKUP(D532,Deflatores!G$4:H$38,2,FALSE)*K532+VLOOKUP(D532,Deflatores!G$4:I$38,3,FALSE)))</f>
        <v/>
      </c>
      <c r="P532" s="10"/>
      <c r="Q532" s="10"/>
      <c r="R532" s="6"/>
      <c r="S532" s="10"/>
      <c r="T532" s="10"/>
      <c r="U532" s="10"/>
    </row>
    <row r="533" spans="1:21" hidden="1" x14ac:dyDescent="0.2">
      <c r="A533" s="102"/>
      <c r="B533" s="102"/>
      <c r="C533" s="2"/>
      <c r="D533" s="2"/>
      <c r="E533" s="7"/>
      <c r="F533" s="7"/>
      <c r="G533" s="7"/>
      <c r="H533" s="7"/>
      <c r="I533" s="8" t="str">
        <f t="shared" si="48"/>
        <v/>
      </c>
      <c r="J533" s="7" t="str">
        <f t="shared" si="49"/>
        <v/>
      </c>
      <c r="K533" s="3" t="str">
        <f t="shared" si="50"/>
        <v/>
      </c>
      <c r="L533" s="4" t="str">
        <f t="shared" si="51"/>
        <v/>
      </c>
      <c r="M533" s="7" t="str">
        <f t="shared" si="52"/>
        <v/>
      </c>
      <c r="N533" s="9" t="str">
        <f t="shared" si="53"/>
        <v/>
      </c>
      <c r="O533" s="9" t="str">
        <f>IF(NOT(ISERROR(VLOOKUP(C533,Deflatores!G$42:H$64,2,FALSE))),VLOOKUP(C533,Deflatores!G$42:H$64,2,FALSE),IF(OR(ISBLANK(D533),ISBLANK(C533)),"",VLOOKUP(D533,Deflatores!G$4:H$38,2,FALSE)*K533+VLOOKUP(D533,Deflatores!G$4:I$38,3,FALSE)))</f>
        <v/>
      </c>
      <c r="P533" s="10"/>
      <c r="Q533" s="10"/>
      <c r="R533" s="6"/>
      <c r="S533" s="10"/>
      <c r="T533" s="10"/>
      <c r="U533" s="10"/>
    </row>
    <row r="534" spans="1:21" hidden="1" x14ac:dyDescent="0.2">
      <c r="A534" s="102"/>
      <c r="B534" s="102"/>
      <c r="C534" s="2"/>
      <c r="D534" s="2"/>
      <c r="E534" s="7"/>
      <c r="F534" s="7"/>
      <c r="G534" s="7"/>
      <c r="H534" s="7"/>
      <c r="I534" s="8" t="str">
        <f t="shared" si="48"/>
        <v/>
      </c>
      <c r="J534" s="7" t="str">
        <f t="shared" si="49"/>
        <v/>
      </c>
      <c r="K534" s="3" t="str">
        <f t="shared" si="50"/>
        <v/>
      </c>
      <c r="L534" s="4" t="str">
        <f t="shared" si="51"/>
        <v/>
      </c>
      <c r="M534" s="7" t="str">
        <f t="shared" si="52"/>
        <v/>
      </c>
      <c r="N534" s="9" t="str">
        <f t="shared" si="53"/>
        <v/>
      </c>
      <c r="O534" s="9" t="str">
        <f>IF(NOT(ISERROR(VLOOKUP(C534,Deflatores!G$42:H$64,2,FALSE))),VLOOKUP(C534,Deflatores!G$42:H$64,2,FALSE),IF(OR(ISBLANK(D534),ISBLANK(C534)),"",VLOOKUP(D534,Deflatores!G$4:H$38,2,FALSE)*K534+VLOOKUP(D534,Deflatores!G$4:I$38,3,FALSE)))</f>
        <v/>
      </c>
      <c r="P534" s="10"/>
      <c r="Q534" s="10"/>
      <c r="R534" s="6"/>
      <c r="S534" s="10"/>
      <c r="T534" s="10"/>
      <c r="U534" s="10"/>
    </row>
    <row r="535" spans="1:21" hidden="1" x14ac:dyDescent="0.2">
      <c r="A535" s="102"/>
      <c r="B535" s="102"/>
      <c r="C535" s="2"/>
      <c r="D535" s="2"/>
      <c r="E535" s="7"/>
      <c r="F535" s="7"/>
      <c r="G535" s="7"/>
      <c r="H535" s="7"/>
      <c r="I535" s="8" t="str">
        <f t="shared" si="48"/>
        <v/>
      </c>
      <c r="J535" s="7" t="str">
        <f t="shared" si="49"/>
        <v/>
      </c>
      <c r="K535" s="3" t="str">
        <f t="shared" si="50"/>
        <v/>
      </c>
      <c r="L535" s="4" t="str">
        <f t="shared" si="51"/>
        <v/>
      </c>
      <c r="M535" s="7" t="str">
        <f t="shared" si="52"/>
        <v/>
      </c>
      <c r="N535" s="9" t="str">
        <f t="shared" si="53"/>
        <v/>
      </c>
      <c r="O535" s="9" t="str">
        <f>IF(NOT(ISERROR(VLOOKUP(C535,Deflatores!G$42:H$64,2,FALSE))),VLOOKUP(C535,Deflatores!G$42:H$64,2,FALSE),IF(OR(ISBLANK(D535),ISBLANK(C535)),"",VLOOKUP(D535,Deflatores!G$4:H$38,2,FALSE)*K535+VLOOKUP(D535,Deflatores!G$4:I$38,3,FALSE)))</f>
        <v/>
      </c>
      <c r="P535" s="10"/>
      <c r="Q535" s="10"/>
      <c r="R535" s="6"/>
      <c r="S535" s="10"/>
      <c r="T535" s="10"/>
      <c r="U535" s="10"/>
    </row>
    <row r="536" spans="1:21" hidden="1" x14ac:dyDescent="0.2">
      <c r="A536" s="102"/>
      <c r="B536" s="102"/>
      <c r="C536" s="2"/>
      <c r="D536" s="2"/>
      <c r="E536" s="7"/>
      <c r="F536" s="7"/>
      <c r="G536" s="7"/>
      <c r="H536" s="7"/>
      <c r="I536" s="8" t="str">
        <f t="shared" si="48"/>
        <v/>
      </c>
      <c r="J536" s="7" t="str">
        <f t="shared" si="49"/>
        <v/>
      </c>
      <c r="K536" s="3" t="str">
        <f t="shared" si="50"/>
        <v/>
      </c>
      <c r="L536" s="4" t="str">
        <f t="shared" si="51"/>
        <v/>
      </c>
      <c r="M536" s="7" t="str">
        <f t="shared" si="52"/>
        <v/>
      </c>
      <c r="N536" s="9" t="str">
        <f t="shared" si="53"/>
        <v/>
      </c>
      <c r="O536" s="9" t="str">
        <f>IF(NOT(ISERROR(VLOOKUP(C536,Deflatores!G$42:H$64,2,FALSE))),VLOOKUP(C536,Deflatores!G$42:H$64,2,FALSE),IF(OR(ISBLANK(D536),ISBLANK(C536)),"",VLOOKUP(D536,Deflatores!G$4:H$38,2,FALSE)*K536+VLOOKUP(D536,Deflatores!G$4:I$38,3,FALSE)))</f>
        <v/>
      </c>
      <c r="P536" s="10"/>
      <c r="Q536" s="10"/>
      <c r="R536" s="6"/>
      <c r="S536" s="10"/>
      <c r="T536" s="10"/>
      <c r="U536" s="10"/>
    </row>
    <row r="537" spans="1:21" hidden="1" x14ac:dyDescent="0.2">
      <c r="A537" s="102"/>
      <c r="B537" s="102"/>
      <c r="C537" s="2"/>
      <c r="D537" s="2"/>
      <c r="E537" s="7"/>
      <c r="F537" s="7"/>
      <c r="G537" s="7"/>
      <c r="H537" s="7"/>
      <c r="I537" s="8" t="str">
        <f t="shared" si="48"/>
        <v/>
      </c>
      <c r="J537" s="7" t="str">
        <f t="shared" si="49"/>
        <v/>
      </c>
      <c r="K537" s="3" t="str">
        <f t="shared" si="50"/>
        <v/>
      </c>
      <c r="L537" s="4" t="str">
        <f t="shared" si="51"/>
        <v/>
      </c>
      <c r="M537" s="7" t="str">
        <f t="shared" si="52"/>
        <v/>
      </c>
      <c r="N537" s="9" t="str">
        <f t="shared" si="53"/>
        <v/>
      </c>
      <c r="O537" s="9" t="str">
        <f>IF(NOT(ISERROR(VLOOKUP(C537,Deflatores!G$42:H$64,2,FALSE))),VLOOKUP(C537,Deflatores!G$42:H$64,2,FALSE),IF(OR(ISBLANK(D537),ISBLANK(C537)),"",VLOOKUP(D537,Deflatores!G$4:H$38,2,FALSE)*K537+VLOOKUP(D537,Deflatores!G$4:I$38,3,FALSE)))</f>
        <v/>
      </c>
      <c r="P537" s="10"/>
      <c r="Q537" s="10"/>
      <c r="R537" s="6"/>
      <c r="S537" s="10"/>
      <c r="T537" s="10"/>
      <c r="U537" s="10"/>
    </row>
    <row r="538" spans="1:21" hidden="1" x14ac:dyDescent="0.2">
      <c r="A538" s="102"/>
      <c r="B538" s="102"/>
      <c r="C538" s="2"/>
      <c r="D538" s="2"/>
      <c r="E538" s="7"/>
      <c r="F538" s="7"/>
      <c r="G538" s="7"/>
      <c r="H538" s="7"/>
      <c r="I538" s="8" t="str">
        <f t="shared" si="48"/>
        <v/>
      </c>
      <c r="J538" s="7" t="str">
        <f t="shared" si="49"/>
        <v/>
      </c>
      <c r="K538" s="3" t="str">
        <f t="shared" si="50"/>
        <v/>
      </c>
      <c r="L538" s="4" t="str">
        <f t="shared" si="51"/>
        <v/>
      </c>
      <c r="M538" s="7" t="str">
        <f t="shared" si="52"/>
        <v/>
      </c>
      <c r="N538" s="9" t="str">
        <f t="shared" si="53"/>
        <v/>
      </c>
      <c r="O538" s="9" t="str">
        <f>IF(NOT(ISERROR(VLOOKUP(C538,Deflatores!G$42:H$64,2,FALSE))),VLOOKUP(C538,Deflatores!G$42:H$64,2,FALSE),IF(OR(ISBLANK(D538),ISBLANK(C538)),"",VLOOKUP(D538,Deflatores!G$4:H$38,2,FALSE)*K538+VLOOKUP(D538,Deflatores!G$4:I$38,3,FALSE)))</f>
        <v/>
      </c>
      <c r="P538" s="10"/>
      <c r="Q538" s="10"/>
      <c r="R538" s="6"/>
      <c r="S538" s="10"/>
      <c r="T538" s="10"/>
      <c r="U538" s="10"/>
    </row>
    <row r="539" spans="1:21" hidden="1" x14ac:dyDescent="0.2">
      <c r="A539" s="102"/>
      <c r="B539" s="102"/>
      <c r="C539" s="2"/>
      <c r="D539" s="2"/>
      <c r="E539" s="7"/>
      <c r="F539" s="7"/>
      <c r="G539" s="7"/>
      <c r="H539" s="7"/>
      <c r="I539" s="8" t="str">
        <f t="shared" si="48"/>
        <v/>
      </c>
      <c r="J539" s="7" t="str">
        <f t="shared" si="49"/>
        <v/>
      </c>
      <c r="K539" s="3" t="str">
        <f t="shared" si="50"/>
        <v/>
      </c>
      <c r="L539" s="4" t="str">
        <f t="shared" si="51"/>
        <v/>
      </c>
      <c r="M539" s="7" t="str">
        <f t="shared" si="52"/>
        <v/>
      </c>
      <c r="N539" s="9" t="str">
        <f t="shared" si="53"/>
        <v/>
      </c>
      <c r="O539" s="9" t="str">
        <f>IF(NOT(ISERROR(VLOOKUP(C539,Deflatores!G$42:H$64,2,FALSE))),VLOOKUP(C539,Deflatores!G$42:H$64,2,FALSE),IF(OR(ISBLANK(D539),ISBLANK(C539)),"",VLOOKUP(D539,Deflatores!G$4:H$38,2,FALSE)*K539+VLOOKUP(D539,Deflatores!G$4:I$38,3,FALSE)))</f>
        <v/>
      </c>
      <c r="P539" s="10"/>
      <c r="Q539" s="10"/>
      <c r="R539" s="6"/>
      <c r="S539" s="10"/>
      <c r="T539" s="10"/>
      <c r="U539" s="10"/>
    </row>
    <row r="540" spans="1:21" hidden="1" x14ac:dyDescent="0.2">
      <c r="A540" s="102"/>
      <c r="B540" s="102"/>
      <c r="C540" s="2"/>
      <c r="D540" s="2"/>
      <c r="E540" s="7"/>
      <c r="F540" s="7"/>
      <c r="G540" s="7"/>
      <c r="H540" s="7"/>
      <c r="I540" s="8" t="str">
        <f t="shared" si="48"/>
        <v/>
      </c>
      <c r="J540" s="7" t="str">
        <f t="shared" si="49"/>
        <v/>
      </c>
      <c r="K540" s="3" t="str">
        <f t="shared" si="50"/>
        <v/>
      </c>
      <c r="L540" s="4" t="str">
        <f t="shared" si="51"/>
        <v/>
      </c>
      <c r="M540" s="7" t="str">
        <f t="shared" si="52"/>
        <v/>
      </c>
      <c r="N540" s="9" t="str">
        <f t="shared" si="53"/>
        <v/>
      </c>
      <c r="O540" s="9" t="str">
        <f>IF(NOT(ISERROR(VLOOKUP(C540,Deflatores!G$42:H$64,2,FALSE))),VLOOKUP(C540,Deflatores!G$42:H$64,2,FALSE),IF(OR(ISBLANK(D540),ISBLANK(C540)),"",VLOOKUP(D540,Deflatores!G$4:H$38,2,FALSE)*K540+VLOOKUP(D540,Deflatores!G$4:I$38,3,FALSE)))</f>
        <v/>
      </c>
      <c r="P540" s="10"/>
      <c r="Q540" s="10"/>
      <c r="R540" s="6"/>
      <c r="S540" s="10"/>
      <c r="T540" s="10"/>
      <c r="U540" s="10"/>
    </row>
    <row r="541" spans="1:21" hidden="1" x14ac:dyDescent="0.2">
      <c r="A541" s="102"/>
      <c r="B541" s="102"/>
      <c r="C541" s="2"/>
      <c r="D541" s="2"/>
      <c r="E541" s="7"/>
      <c r="F541" s="7"/>
      <c r="G541" s="7"/>
      <c r="H541" s="7"/>
      <c r="I541" s="8" t="str">
        <f t="shared" si="48"/>
        <v/>
      </c>
      <c r="J541" s="7" t="str">
        <f t="shared" si="49"/>
        <v/>
      </c>
      <c r="K541" s="3" t="str">
        <f t="shared" si="50"/>
        <v/>
      </c>
      <c r="L541" s="4" t="str">
        <f t="shared" si="51"/>
        <v/>
      </c>
      <c r="M541" s="7" t="str">
        <f t="shared" si="52"/>
        <v/>
      </c>
      <c r="N541" s="9" t="str">
        <f t="shared" si="53"/>
        <v/>
      </c>
      <c r="O541" s="9" t="str">
        <f>IF(NOT(ISERROR(VLOOKUP(C541,Deflatores!G$42:H$64,2,FALSE))),VLOOKUP(C541,Deflatores!G$42:H$64,2,FALSE),IF(OR(ISBLANK(D541),ISBLANK(C541)),"",VLOOKUP(D541,Deflatores!G$4:H$38,2,FALSE)*K541+VLOOKUP(D541,Deflatores!G$4:I$38,3,FALSE)))</f>
        <v/>
      </c>
      <c r="P541" s="10"/>
      <c r="Q541" s="10"/>
      <c r="R541" s="6"/>
      <c r="S541" s="10"/>
      <c r="T541" s="10"/>
      <c r="U541" s="10"/>
    </row>
    <row r="542" spans="1:21" hidden="1" x14ac:dyDescent="0.2">
      <c r="A542" s="102"/>
      <c r="B542" s="102"/>
      <c r="C542" s="2"/>
      <c r="D542" s="2"/>
      <c r="E542" s="7"/>
      <c r="F542" s="7"/>
      <c r="G542" s="7"/>
      <c r="H542" s="7"/>
      <c r="I542" s="8" t="str">
        <f t="shared" si="48"/>
        <v/>
      </c>
      <c r="J542" s="7" t="str">
        <f t="shared" si="49"/>
        <v/>
      </c>
      <c r="K542" s="3" t="str">
        <f t="shared" si="50"/>
        <v/>
      </c>
      <c r="L542" s="4" t="str">
        <f t="shared" si="51"/>
        <v/>
      </c>
      <c r="M542" s="7" t="str">
        <f t="shared" si="52"/>
        <v/>
      </c>
      <c r="N542" s="9" t="str">
        <f t="shared" si="53"/>
        <v/>
      </c>
      <c r="O542" s="9" t="str">
        <f>IF(NOT(ISERROR(VLOOKUP(C542,Deflatores!G$42:H$64,2,FALSE))),VLOOKUP(C542,Deflatores!G$42:H$64,2,FALSE),IF(OR(ISBLANK(D542),ISBLANK(C542)),"",VLOOKUP(D542,Deflatores!G$4:H$38,2,FALSE)*K542+VLOOKUP(D542,Deflatores!G$4:I$38,3,FALSE)))</f>
        <v/>
      </c>
      <c r="P542" s="10"/>
      <c r="Q542" s="10"/>
      <c r="R542" s="6"/>
      <c r="S542" s="10"/>
      <c r="T542" s="10"/>
      <c r="U542" s="10"/>
    </row>
    <row r="543" spans="1:21" hidden="1" x14ac:dyDescent="0.2">
      <c r="A543" s="102"/>
      <c r="B543" s="102"/>
      <c r="C543" s="2"/>
      <c r="D543" s="2"/>
      <c r="E543" s="7"/>
      <c r="F543" s="7"/>
      <c r="G543" s="7"/>
      <c r="H543" s="7"/>
      <c r="I543" s="8" t="str">
        <f t="shared" si="48"/>
        <v/>
      </c>
      <c r="J543" s="7" t="str">
        <f t="shared" si="49"/>
        <v/>
      </c>
      <c r="K543" s="3" t="str">
        <f t="shared" si="50"/>
        <v/>
      </c>
      <c r="L543" s="4" t="str">
        <f t="shared" si="51"/>
        <v/>
      </c>
      <c r="M543" s="7" t="str">
        <f t="shared" si="52"/>
        <v/>
      </c>
      <c r="N543" s="9" t="str">
        <f t="shared" si="53"/>
        <v/>
      </c>
      <c r="O543" s="9" t="str">
        <f>IF(NOT(ISERROR(VLOOKUP(C543,Deflatores!G$42:H$64,2,FALSE))),VLOOKUP(C543,Deflatores!G$42:H$64,2,FALSE),IF(OR(ISBLANK(D543),ISBLANK(C543)),"",VLOOKUP(D543,Deflatores!G$4:H$38,2,FALSE)*K543+VLOOKUP(D543,Deflatores!G$4:I$38,3,FALSE)))</f>
        <v/>
      </c>
      <c r="P543" s="10"/>
      <c r="Q543" s="10"/>
      <c r="R543" s="6"/>
      <c r="S543" s="10"/>
      <c r="T543" s="10"/>
      <c r="U543" s="10"/>
    </row>
    <row r="544" spans="1:21" hidden="1" x14ac:dyDescent="0.2">
      <c r="A544" s="102"/>
      <c r="B544" s="102"/>
      <c r="C544" s="2"/>
      <c r="D544" s="2"/>
      <c r="E544" s="7"/>
      <c r="F544" s="7"/>
      <c r="G544" s="7"/>
      <c r="H544" s="7"/>
      <c r="I544" s="8" t="str">
        <f t="shared" si="48"/>
        <v/>
      </c>
      <c r="J544" s="7" t="str">
        <f t="shared" si="49"/>
        <v/>
      </c>
      <c r="K544" s="3" t="str">
        <f t="shared" si="50"/>
        <v/>
      </c>
      <c r="L544" s="4" t="str">
        <f t="shared" si="51"/>
        <v/>
      </c>
      <c r="M544" s="7" t="str">
        <f t="shared" si="52"/>
        <v/>
      </c>
      <c r="N544" s="9" t="str">
        <f t="shared" si="53"/>
        <v/>
      </c>
      <c r="O544" s="9" t="str">
        <f>IF(NOT(ISERROR(VLOOKUP(C544,Deflatores!G$42:H$64,2,FALSE))),VLOOKUP(C544,Deflatores!G$42:H$64,2,FALSE),IF(OR(ISBLANK(D544),ISBLANK(C544)),"",VLOOKUP(D544,Deflatores!G$4:H$38,2,FALSE)*K544+VLOOKUP(D544,Deflatores!G$4:I$38,3,FALSE)))</f>
        <v/>
      </c>
      <c r="P544" s="10"/>
      <c r="Q544" s="10"/>
      <c r="R544" s="6"/>
      <c r="S544" s="10"/>
      <c r="T544" s="10"/>
      <c r="U544" s="10"/>
    </row>
    <row r="545" spans="1:21" hidden="1" x14ac:dyDescent="0.2">
      <c r="A545" s="102"/>
      <c r="B545" s="102"/>
      <c r="C545" s="2"/>
      <c r="D545" s="2"/>
      <c r="E545" s="7"/>
      <c r="F545" s="7"/>
      <c r="G545" s="7"/>
      <c r="H545" s="7"/>
      <c r="I545" s="8" t="str">
        <f t="shared" si="48"/>
        <v/>
      </c>
      <c r="J545" s="7" t="str">
        <f t="shared" si="49"/>
        <v/>
      </c>
      <c r="K545" s="3" t="str">
        <f t="shared" si="50"/>
        <v/>
      </c>
      <c r="L545" s="4" t="str">
        <f t="shared" si="51"/>
        <v/>
      </c>
      <c r="M545" s="7" t="str">
        <f t="shared" si="52"/>
        <v/>
      </c>
      <c r="N545" s="9" t="str">
        <f t="shared" si="53"/>
        <v/>
      </c>
      <c r="O545" s="9" t="str">
        <f>IF(NOT(ISERROR(VLOOKUP(C545,Deflatores!G$42:H$64,2,FALSE))),VLOOKUP(C545,Deflatores!G$42:H$64,2,FALSE),IF(OR(ISBLANK(D545),ISBLANK(C545)),"",VLOOKUP(D545,Deflatores!G$4:H$38,2,FALSE)*K545+VLOOKUP(D545,Deflatores!G$4:I$38,3,FALSE)))</f>
        <v/>
      </c>
      <c r="P545" s="10"/>
      <c r="Q545" s="10"/>
      <c r="R545" s="6"/>
      <c r="S545" s="10"/>
      <c r="T545" s="10"/>
      <c r="U545" s="10"/>
    </row>
    <row r="546" spans="1:21" hidden="1" x14ac:dyDescent="0.2">
      <c r="A546" s="102"/>
      <c r="B546" s="102"/>
      <c r="C546" s="2"/>
      <c r="D546" s="2"/>
      <c r="E546" s="7"/>
      <c r="F546" s="7"/>
      <c r="G546" s="7"/>
      <c r="H546" s="7"/>
      <c r="I546" s="8" t="str">
        <f t="shared" si="48"/>
        <v/>
      </c>
      <c r="J546" s="7" t="str">
        <f t="shared" si="49"/>
        <v/>
      </c>
      <c r="K546" s="3" t="str">
        <f t="shared" si="50"/>
        <v/>
      </c>
      <c r="L546" s="4" t="str">
        <f t="shared" si="51"/>
        <v/>
      </c>
      <c r="M546" s="7" t="str">
        <f t="shared" si="52"/>
        <v/>
      </c>
      <c r="N546" s="9" t="str">
        <f t="shared" si="53"/>
        <v/>
      </c>
      <c r="O546" s="9" t="str">
        <f>IF(NOT(ISERROR(VLOOKUP(C546,Deflatores!G$42:H$64,2,FALSE))),VLOOKUP(C546,Deflatores!G$42:H$64,2,FALSE),IF(OR(ISBLANK(D546),ISBLANK(C546)),"",VLOOKUP(D546,Deflatores!G$4:H$38,2,FALSE)*K546+VLOOKUP(D546,Deflatores!G$4:I$38,3,FALSE)))</f>
        <v/>
      </c>
      <c r="P546" s="10"/>
      <c r="Q546" s="10"/>
      <c r="R546" s="6"/>
      <c r="S546" s="10"/>
      <c r="T546" s="10"/>
      <c r="U546" s="10"/>
    </row>
    <row r="547" spans="1:21" hidden="1" x14ac:dyDescent="0.2">
      <c r="A547" s="102"/>
      <c r="B547" s="102"/>
      <c r="C547" s="2"/>
      <c r="D547" s="2"/>
      <c r="E547" s="7"/>
      <c r="F547" s="7"/>
      <c r="G547" s="7"/>
      <c r="H547" s="7"/>
      <c r="I547" s="8" t="str">
        <f t="shared" si="48"/>
        <v/>
      </c>
      <c r="J547" s="7" t="str">
        <f t="shared" si="49"/>
        <v/>
      </c>
      <c r="K547" s="3" t="str">
        <f t="shared" si="50"/>
        <v/>
      </c>
      <c r="L547" s="4" t="str">
        <f t="shared" si="51"/>
        <v/>
      </c>
      <c r="M547" s="7" t="str">
        <f t="shared" si="52"/>
        <v/>
      </c>
      <c r="N547" s="9" t="str">
        <f t="shared" si="53"/>
        <v/>
      </c>
      <c r="O547" s="9" t="str">
        <f>IF(NOT(ISERROR(VLOOKUP(C547,Deflatores!G$42:H$64,2,FALSE))),VLOOKUP(C547,Deflatores!G$42:H$64,2,FALSE),IF(OR(ISBLANK(D547),ISBLANK(C547)),"",VLOOKUP(D547,Deflatores!G$4:H$38,2,FALSE)*K547+VLOOKUP(D547,Deflatores!G$4:I$38,3,FALSE)))</f>
        <v/>
      </c>
      <c r="P547" s="10"/>
      <c r="Q547" s="10"/>
      <c r="R547" s="6"/>
      <c r="S547" s="10"/>
      <c r="T547" s="10"/>
      <c r="U547" s="10"/>
    </row>
    <row r="548" spans="1:21" hidden="1" x14ac:dyDescent="0.2">
      <c r="A548" s="102"/>
      <c r="B548" s="102"/>
      <c r="C548" s="2"/>
      <c r="D548" s="2"/>
      <c r="E548" s="7"/>
      <c r="F548" s="7"/>
      <c r="G548" s="7"/>
      <c r="H548" s="7"/>
      <c r="I548" s="8" t="str">
        <f t="shared" si="48"/>
        <v/>
      </c>
      <c r="J548" s="7" t="str">
        <f t="shared" si="49"/>
        <v/>
      </c>
      <c r="K548" s="3" t="str">
        <f t="shared" si="50"/>
        <v/>
      </c>
      <c r="L548" s="4" t="str">
        <f t="shared" si="51"/>
        <v/>
      </c>
      <c r="M548" s="7" t="str">
        <f t="shared" si="52"/>
        <v/>
      </c>
      <c r="N548" s="9" t="str">
        <f t="shared" si="53"/>
        <v/>
      </c>
      <c r="O548" s="9" t="str">
        <f>IF(NOT(ISERROR(VLOOKUP(C548,Deflatores!G$42:H$64,2,FALSE))),VLOOKUP(C548,Deflatores!G$42:H$64,2,FALSE),IF(OR(ISBLANK(D548),ISBLANK(C548)),"",VLOOKUP(D548,Deflatores!G$4:H$38,2,FALSE)*K548+VLOOKUP(D548,Deflatores!G$4:I$38,3,FALSE)))</f>
        <v/>
      </c>
      <c r="P548" s="10"/>
      <c r="Q548" s="10"/>
      <c r="R548" s="6"/>
      <c r="S548" s="10"/>
      <c r="T548" s="10"/>
      <c r="U548" s="10"/>
    </row>
    <row r="549" spans="1:21" hidden="1" x14ac:dyDescent="0.2">
      <c r="A549" s="102"/>
      <c r="B549" s="102"/>
      <c r="C549" s="2"/>
      <c r="D549" s="2"/>
      <c r="E549" s="7"/>
      <c r="F549" s="7"/>
      <c r="G549" s="7"/>
      <c r="H549" s="7"/>
      <c r="I549" s="8" t="str">
        <f t="shared" si="48"/>
        <v/>
      </c>
      <c r="J549" s="7" t="str">
        <f t="shared" si="49"/>
        <v/>
      </c>
      <c r="K549" s="3" t="str">
        <f t="shared" si="50"/>
        <v/>
      </c>
      <c r="L549" s="4" t="str">
        <f t="shared" si="51"/>
        <v/>
      </c>
      <c r="M549" s="7" t="str">
        <f t="shared" si="52"/>
        <v/>
      </c>
      <c r="N549" s="9" t="str">
        <f t="shared" si="53"/>
        <v/>
      </c>
      <c r="O549" s="9" t="str">
        <f>IF(NOT(ISERROR(VLOOKUP(C549,Deflatores!G$42:H$64,2,FALSE))),VLOOKUP(C549,Deflatores!G$42:H$64,2,FALSE),IF(OR(ISBLANK(D549),ISBLANK(C549)),"",VLOOKUP(D549,Deflatores!G$4:H$38,2,FALSE)*K549+VLOOKUP(D549,Deflatores!G$4:I$38,3,FALSE)))</f>
        <v/>
      </c>
      <c r="P549" s="10"/>
      <c r="Q549" s="10"/>
      <c r="R549" s="6"/>
      <c r="S549" s="10"/>
      <c r="T549" s="10"/>
      <c r="U549" s="10"/>
    </row>
    <row r="550" spans="1:21" hidden="1" x14ac:dyDescent="0.2">
      <c r="A550" s="102"/>
      <c r="B550" s="102"/>
      <c r="C550" s="2"/>
      <c r="D550" s="2"/>
      <c r="E550" s="7"/>
      <c r="F550" s="7"/>
      <c r="G550" s="7"/>
      <c r="H550" s="7"/>
      <c r="I550" s="8" t="str">
        <f t="shared" si="48"/>
        <v/>
      </c>
      <c r="J550" s="7" t="str">
        <f t="shared" si="49"/>
        <v/>
      </c>
      <c r="K550" s="3" t="str">
        <f t="shared" si="50"/>
        <v/>
      </c>
      <c r="L550" s="4" t="str">
        <f t="shared" si="51"/>
        <v/>
      </c>
      <c r="M550" s="7" t="str">
        <f t="shared" si="52"/>
        <v/>
      </c>
      <c r="N550" s="9" t="str">
        <f t="shared" si="53"/>
        <v/>
      </c>
      <c r="O550" s="9" t="str">
        <f>IF(NOT(ISERROR(VLOOKUP(C550,Deflatores!G$42:H$64,2,FALSE))),VLOOKUP(C550,Deflatores!G$42:H$64,2,FALSE),IF(OR(ISBLANK(D550),ISBLANK(C550)),"",VLOOKUP(D550,Deflatores!G$4:H$38,2,FALSE)*K550+VLOOKUP(D550,Deflatores!G$4:I$38,3,FALSE)))</f>
        <v/>
      </c>
      <c r="P550" s="10"/>
      <c r="Q550" s="10"/>
      <c r="R550" s="6"/>
      <c r="S550" s="10"/>
      <c r="T550" s="10"/>
      <c r="U550" s="10"/>
    </row>
    <row r="551" spans="1:21" hidden="1" x14ac:dyDescent="0.2">
      <c r="A551" s="102"/>
      <c r="B551" s="102"/>
      <c r="C551" s="2"/>
      <c r="D551" s="2"/>
      <c r="E551" s="7"/>
      <c r="F551" s="7"/>
      <c r="G551" s="7"/>
      <c r="H551" s="7"/>
      <c r="I551" s="8" t="str">
        <f t="shared" si="48"/>
        <v/>
      </c>
      <c r="J551" s="7" t="str">
        <f t="shared" si="49"/>
        <v/>
      </c>
      <c r="K551" s="3" t="str">
        <f t="shared" si="50"/>
        <v/>
      </c>
      <c r="L551" s="4" t="str">
        <f t="shared" si="51"/>
        <v/>
      </c>
      <c r="M551" s="7" t="str">
        <f t="shared" si="52"/>
        <v/>
      </c>
      <c r="N551" s="9" t="str">
        <f t="shared" si="53"/>
        <v/>
      </c>
      <c r="O551" s="9" t="str">
        <f>IF(NOT(ISERROR(VLOOKUP(C551,Deflatores!G$42:H$64,2,FALSE))),VLOOKUP(C551,Deflatores!G$42:H$64,2,FALSE),IF(OR(ISBLANK(D551),ISBLANK(C551)),"",VLOOKUP(D551,Deflatores!G$4:H$38,2,FALSE)*K551+VLOOKUP(D551,Deflatores!G$4:I$38,3,FALSE)))</f>
        <v/>
      </c>
      <c r="P551" s="10"/>
      <c r="Q551" s="10"/>
      <c r="R551" s="6"/>
      <c r="S551" s="10"/>
      <c r="T551" s="10"/>
      <c r="U551" s="10"/>
    </row>
    <row r="552" spans="1:21" hidden="1" x14ac:dyDescent="0.2">
      <c r="A552" s="102"/>
      <c r="B552" s="102"/>
      <c r="C552" s="2"/>
      <c r="D552" s="2"/>
      <c r="E552" s="7"/>
      <c r="F552" s="7"/>
      <c r="G552" s="7"/>
      <c r="H552" s="7"/>
      <c r="I552" s="8" t="str">
        <f t="shared" si="48"/>
        <v/>
      </c>
      <c r="J552" s="7" t="str">
        <f t="shared" si="49"/>
        <v/>
      </c>
      <c r="K552" s="3" t="str">
        <f t="shared" si="50"/>
        <v/>
      </c>
      <c r="L552" s="4" t="str">
        <f t="shared" si="51"/>
        <v/>
      </c>
      <c r="M552" s="7" t="str">
        <f t="shared" si="52"/>
        <v/>
      </c>
      <c r="N552" s="9" t="str">
        <f t="shared" si="53"/>
        <v/>
      </c>
      <c r="O552" s="9" t="str">
        <f>IF(NOT(ISERROR(VLOOKUP(C552,Deflatores!G$42:H$64,2,FALSE))),VLOOKUP(C552,Deflatores!G$42:H$64,2,FALSE),IF(OR(ISBLANK(D552),ISBLANK(C552)),"",VLOOKUP(D552,Deflatores!G$4:H$38,2,FALSE)*K552+VLOOKUP(D552,Deflatores!G$4:I$38,3,FALSE)))</f>
        <v/>
      </c>
      <c r="P552" s="10"/>
      <c r="Q552" s="10"/>
      <c r="R552" s="6"/>
      <c r="S552" s="10"/>
      <c r="T552" s="10"/>
      <c r="U552" s="10"/>
    </row>
    <row r="553" spans="1:21" hidden="1" x14ac:dyDescent="0.2">
      <c r="A553" s="102"/>
      <c r="B553" s="102"/>
      <c r="C553" s="2"/>
      <c r="D553" s="2"/>
      <c r="E553" s="7"/>
      <c r="F553" s="7"/>
      <c r="G553" s="7"/>
      <c r="H553" s="7"/>
      <c r="I553" s="8" t="str">
        <f t="shared" si="48"/>
        <v/>
      </c>
      <c r="J553" s="7" t="str">
        <f t="shared" si="49"/>
        <v/>
      </c>
      <c r="K553" s="3" t="str">
        <f t="shared" si="50"/>
        <v/>
      </c>
      <c r="L553" s="4" t="str">
        <f t="shared" si="51"/>
        <v/>
      </c>
      <c r="M553" s="7" t="str">
        <f t="shared" si="52"/>
        <v/>
      </c>
      <c r="N553" s="9" t="str">
        <f t="shared" si="53"/>
        <v/>
      </c>
      <c r="O553" s="9" t="str">
        <f>IF(NOT(ISERROR(VLOOKUP(C553,Deflatores!G$42:H$64,2,FALSE))),VLOOKUP(C553,Deflatores!G$42:H$64,2,FALSE),IF(OR(ISBLANK(D553),ISBLANK(C553)),"",VLOOKUP(D553,Deflatores!G$4:H$38,2,FALSE)*K553+VLOOKUP(D553,Deflatores!G$4:I$38,3,FALSE)))</f>
        <v/>
      </c>
      <c r="P553" s="10"/>
      <c r="Q553" s="10"/>
      <c r="R553" s="6"/>
      <c r="S553" s="10"/>
      <c r="T553" s="10"/>
      <c r="U553" s="10"/>
    </row>
    <row r="554" spans="1:21" hidden="1" x14ac:dyDescent="0.2">
      <c r="A554" s="102"/>
      <c r="B554" s="102"/>
      <c r="C554" s="2"/>
      <c r="D554" s="2"/>
      <c r="E554" s="7"/>
      <c r="F554" s="7"/>
      <c r="G554" s="7"/>
      <c r="H554" s="7"/>
      <c r="I554" s="8" t="str">
        <f t="shared" si="48"/>
        <v/>
      </c>
      <c r="J554" s="7" t="str">
        <f t="shared" si="49"/>
        <v/>
      </c>
      <c r="K554" s="3" t="str">
        <f t="shared" si="50"/>
        <v/>
      </c>
      <c r="L554" s="4" t="str">
        <f t="shared" si="51"/>
        <v/>
      </c>
      <c r="M554" s="7" t="str">
        <f t="shared" si="52"/>
        <v/>
      </c>
      <c r="N554" s="9" t="str">
        <f t="shared" si="53"/>
        <v/>
      </c>
      <c r="O554" s="9" t="str">
        <f>IF(NOT(ISERROR(VLOOKUP(C554,Deflatores!G$42:H$64,2,FALSE))),VLOOKUP(C554,Deflatores!G$42:H$64,2,FALSE),IF(OR(ISBLANK(D554),ISBLANK(C554)),"",VLOOKUP(D554,Deflatores!G$4:H$38,2,FALSE)*K554+VLOOKUP(D554,Deflatores!G$4:I$38,3,FALSE)))</f>
        <v/>
      </c>
      <c r="P554" s="10"/>
      <c r="Q554" s="10"/>
      <c r="R554" s="6"/>
      <c r="S554" s="10"/>
      <c r="T554" s="10"/>
      <c r="U554" s="10"/>
    </row>
    <row r="555" spans="1:21" hidden="1" x14ac:dyDescent="0.2">
      <c r="A555" s="102"/>
      <c r="B555" s="102"/>
      <c r="C555" s="2"/>
      <c r="D555" s="2"/>
      <c r="E555" s="7"/>
      <c r="F555" s="7"/>
      <c r="G555" s="7"/>
      <c r="H555" s="7"/>
      <c r="I555" s="8" t="str">
        <f t="shared" si="48"/>
        <v/>
      </c>
      <c r="J555" s="7" t="str">
        <f t="shared" si="49"/>
        <v/>
      </c>
      <c r="K555" s="3" t="str">
        <f t="shared" si="50"/>
        <v/>
      </c>
      <c r="L555" s="4" t="str">
        <f t="shared" si="51"/>
        <v/>
      </c>
      <c r="M555" s="7" t="str">
        <f t="shared" si="52"/>
        <v/>
      </c>
      <c r="N555" s="9" t="str">
        <f t="shared" si="53"/>
        <v/>
      </c>
      <c r="O555" s="9" t="str">
        <f>IF(NOT(ISERROR(VLOOKUP(C555,Deflatores!G$42:H$64,2,FALSE))),VLOOKUP(C555,Deflatores!G$42:H$64,2,FALSE),IF(OR(ISBLANK(D555),ISBLANK(C555)),"",VLOOKUP(D555,Deflatores!G$4:H$38,2,FALSE)*K555+VLOOKUP(D555,Deflatores!G$4:I$38,3,FALSE)))</f>
        <v/>
      </c>
      <c r="P555" s="10"/>
      <c r="Q555" s="10"/>
      <c r="R555" s="6"/>
      <c r="S555" s="10"/>
      <c r="T555" s="10"/>
      <c r="U555" s="10"/>
    </row>
    <row r="556" spans="1:21" hidden="1" x14ac:dyDescent="0.2">
      <c r="A556" s="102"/>
      <c r="B556" s="102"/>
      <c r="C556" s="2"/>
      <c r="D556" s="2"/>
      <c r="E556" s="7"/>
      <c r="F556" s="7"/>
      <c r="G556" s="7"/>
      <c r="H556" s="7"/>
      <c r="I556" s="8" t="str">
        <f t="shared" si="48"/>
        <v/>
      </c>
      <c r="J556" s="7" t="str">
        <f t="shared" si="49"/>
        <v/>
      </c>
      <c r="K556" s="3" t="str">
        <f t="shared" si="50"/>
        <v/>
      </c>
      <c r="L556" s="4" t="str">
        <f t="shared" si="51"/>
        <v/>
      </c>
      <c r="M556" s="7" t="str">
        <f t="shared" si="52"/>
        <v/>
      </c>
      <c r="N556" s="9" t="str">
        <f t="shared" si="53"/>
        <v/>
      </c>
      <c r="O556" s="9" t="str">
        <f>IF(NOT(ISERROR(VLOOKUP(C556,Deflatores!G$42:H$64,2,FALSE))),VLOOKUP(C556,Deflatores!G$42:H$64,2,FALSE),IF(OR(ISBLANK(D556),ISBLANK(C556)),"",VLOOKUP(D556,Deflatores!G$4:H$38,2,FALSE)*K556+VLOOKUP(D556,Deflatores!G$4:I$38,3,FALSE)))</f>
        <v/>
      </c>
      <c r="P556" s="10"/>
      <c r="Q556" s="10"/>
      <c r="R556" s="6"/>
      <c r="S556" s="10"/>
      <c r="T556" s="10"/>
      <c r="U556" s="10"/>
    </row>
    <row r="557" spans="1:21" hidden="1" x14ac:dyDescent="0.2">
      <c r="A557" s="102"/>
      <c r="B557" s="102"/>
      <c r="C557" s="2"/>
      <c r="D557" s="2"/>
      <c r="E557" s="7"/>
      <c r="F557" s="7"/>
      <c r="G557" s="7"/>
      <c r="H557" s="7"/>
      <c r="I557" s="8" t="str">
        <f t="shared" si="48"/>
        <v/>
      </c>
      <c r="J557" s="7" t="str">
        <f t="shared" si="49"/>
        <v/>
      </c>
      <c r="K557" s="3" t="str">
        <f t="shared" si="50"/>
        <v/>
      </c>
      <c r="L557" s="4" t="str">
        <f t="shared" si="51"/>
        <v/>
      </c>
      <c r="M557" s="7" t="str">
        <f t="shared" si="52"/>
        <v/>
      </c>
      <c r="N557" s="9" t="str">
        <f t="shared" si="53"/>
        <v/>
      </c>
      <c r="O557" s="9" t="str">
        <f>IF(NOT(ISERROR(VLOOKUP(C557,Deflatores!G$42:H$64,2,FALSE))),VLOOKUP(C557,Deflatores!G$42:H$64,2,FALSE),IF(OR(ISBLANK(D557),ISBLANK(C557)),"",VLOOKUP(D557,Deflatores!G$4:H$38,2,FALSE)*K557+VLOOKUP(D557,Deflatores!G$4:I$38,3,FALSE)))</f>
        <v/>
      </c>
      <c r="P557" s="10"/>
      <c r="Q557" s="10"/>
      <c r="R557" s="6"/>
      <c r="S557" s="10"/>
      <c r="T557" s="10"/>
      <c r="U557" s="10"/>
    </row>
    <row r="558" spans="1:21" hidden="1" x14ac:dyDescent="0.2">
      <c r="A558" s="102"/>
      <c r="B558" s="102"/>
      <c r="C558" s="2"/>
      <c r="D558" s="2"/>
      <c r="E558" s="7"/>
      <c r="F558" s="7"/>
      <c r="G558" s="7"/>
      <c r="H558" s="7"/>
      <c r="I558" s="8" t="str">
        <f t="shared" si="48"/>
        <v/>
      </c>
      <c r="J558" s="7" t="str">
        <f t="shared" si="49"/>
        <v/>
      </c>
      <c r="K558" s="3" t="str">
        <f t="shared" si="50"/>
        <v/>
      </c>
      <c r="L558" s="4" t="str">
        <f t="shared" si="51"/>
        <v/>
      </c>
      <c r="M558" s="7" t="str">
        <f t="shared" si="52"/>
        <v/>
      </c>
      <c r="N558" s="9" t="str">
        <f t="shared" si="53"/>
        <v/>
      </c>
      <c r="O558" s="9" t="str">
        <f>IF(NOT(ISERROR(VLOOKUP(C558,Deflatores!G$42:H$64,2,FALSE))),VLOOKUP(C558,Deflatores!G$42:H$64,2,FALSE),IF(OR(ISBLANK(D558),ISBLANK(C558)),"",VLOOKUP(D558,Deflatores!G$4:H$38,2,FALSE)*K558+VLOOKUP(D558,Deflatores!G$4:I$38,3,FALSE)))</f>
        <v/>
      </c>
      <c r="P558" s="10"/>
      <c r="Q558" s="10"/>
      <c r="R558" s="6"/>
      <c r="S558" s="10"/>
      <c r="T558" s="10"/>
      <c r="U558" s="10"/>
    </row>
    <row r="559" spans="1:21" hidden="1" x14ac:dyDescent="0.2">
      <c r="A559" s="102"/>
      <c r="B559" s="102"/>
      <c r="C559" s="2"/>
      <c r="D559" s="2"/>
      <c r="E559" s="7"/>
      <c r="F559" s="7"/>
      <c r="G559" s="7"/>
      <c r="H559" s="7"/>
      <c r="I559" s="8" t="str">
        <f t="shared" si="48"/>
        <v/>
      </c>
      <c r="J559" s="7" t="str">
        <f t="shared" si="49"/>
        <v/>
      </c>
      <c r="K559" s="3" t="str">
        <f t="shared" si="50"/>
        <v/>
      </c>
      <c r="L559" s="4" t="str">
        <f t="shared" si="51"/>
        <v/>
      </c>
      <c r="M559" s="7" t="str">
        <f t="shared" si="52"/>
        <v/>
      </c>
      <c r="N559" s="9" t="str">
        <f t="shared" si="53"/>
        <v/>
      </c>
      <c r="O559" s="9" t="str">
        <f>IF(NOT(ISERROR(VLOOKUP(C559,Deflatores!G$42:H$64,2,FALSE))),VLOOKUP(C559,Deflatores!G$42:H$64,2,FALSE),IF(OR(ISBLANK(D559),ISBLANK(C559)),"",VLOOKUP(D559,Deflatores!G$4:H$38,2,FALSE)*K559+VLOOKUP(D559,Deflatores!G$4:I$38,3,FALSE)))</f>
        <v/>
      </c>
      <c r="P559" s="10"/>
      <c r="Q559" s="10"/>
      <c r="R559" s="6"/>
      <c r="S559" s="10"/>
      <c r="T559" s="10"/>
      <c r="U559" s="10"/>
    </row>
    <row r="560" spans="1:21" hidden="1" x14ac:dyDescent="0.2">
      <c r="A560" s="102"/>
      <c r="B560" s="102"/>
      <c r="C560" s="2"/>
      <c r="D560" s="2"/>
      <c r="E560" s="7"/>
      <c r="F560" s="7"/>
      <c r="G560" s="7"/>
      <c r="H560" s="7"/>
      <c r="I560" s="8" t="str">
        <f t="shared" si="48"/>
        <v/>
      </c>
      <c r="J560" s="7" t="str">
        <f t="shared" si="49"/>
        <v/>
      </c>
      <c r="K560" s="3" t="str">
        <f t="shared" si="50"/>
        <v/>
      </c>
      <c r="L560" s="4" t="str">
        <f t="shared" si="51"/>
        <v/>
      </c>
      <c r="M560" s="7" t="str">
        <f t="shared" si="52"/>
        <v/>
      </c>
      <c r="N560" s="9" t="str">
        <f t="shared" si="53"/>
        <v/>
      </c>
      <c r="O560" s="9" t="str">
        <f>IF(NOT(ISERROR(VLOOKUP(C560,Deflatores!G$42:H$64,2,FALSE))),VLOOKUP(C560,Deflatores!G$42:H$64,2,FALSE),IF(OR(ISBLANK(D560),ISBLANK(C560)),"",VLOOKUP(D560,Deflatores!G$4:H$38,2,FALSE)*K560+VLOOKUP(D560,Deflatores!G$4:I$38,3,FALSE)))</f>
        <v/>
      </c>
      <c r="P560" s="10"/>
      <c r="Q560" s="10"/>
      <c r="R560" s="6"/>
      <c r="S560" s="10"/>
      <c r="T560" s="10"/>
      <c r="U560" s="10"/>
    </row>
    <row r="561" spans="1:21" hidden="1" x14ac:dyDescent="0.2">
      <c r="A561" s="102"/>
      <c r="B561" s="102"/>
      <c r="C561" s="2"/>
      <c r="D561" s="2"/>
      <c r="E561" s="7"/>
      <c r="F561" s="7"/>
      <c r="G561" s="7"/>
      <c r="H561" s="7"/>
      <c r="I561" s="8" t="str">
        <f t="shared" si="48"/>
        <v/>
      </c>
      <c r="J561" s="7" t="str">
        <f t="shared" si="49"/>
        <v/>
      </c>
      <c r="K561" s="3" t="str">
        <f t="shared" si="50"/>
        <v/>
      </c>
      <c r="L561" s="4" t="str">
        <f t="shared" si="51"/>
        <v/>
      </c>
      <c r="M561" s="7" t="str">
        <f t="shared" si="52"/>
        <v/>
      </c>
      <c r="N561" s="9" t="str">
        <f t="shared" si="53"/>
        <v/>
      </c>
      <c r="O561" s="9" t="str">
        <f>IF(NOT(ISERROR(VLOOKUP(C561,Deflatores!G$42:H$64,2,FALSE))),VLOOKUP(C561,Deflatores!G$42:H$64,2,FALSE),IF(OR(ISBLANK(D561),ISBLANK(C561)),"",VLOOKUP(D561,Deflatores!G$4:H$38,2,FALSE)*K561+VLOOKUP(D561,Deflatores!G$4:I$38,3,FALSE)))</f>
        <v/>
      </c>
      <c r="P561" s="10"/>
      <c r="Q561" s="10"/>
      <c r="R561" s="6"/>
      <c r="S561" s="10"/>
      <c r="T561" s="10"/>
      <c r="U561" s="10"/>
    </row>
    <row r="562" spans="1:21" hidden="1" x14ac:dyDescent="0.2">
      <c r="A562" s="102"/>
      <c r="B562" s="102"/>
      <c r="C562" s="2"/>
      <c r="D562" s="2"/>
      <c r="E562" s="7"/>
      <c r="F562" s="7"/>
      <c r="G562" s="7"/>
      <c r="H562" s="7"/>
      <c r="I562" s="8" t="str">
        <f t="shared" si="48"/>
        <v/>
      </c>
      <c r="J562" s="7" t="str">
        <f t="shared" si="49"/>
        <v/>
      </c>
      <c r="K562" s="3" t="str">
        <f t="shared" si="50"/>
        <v/>
      </c>
      <c r="L562" s="4" t="str">
        <f t="shared" si="51"/>
        <v/>
      </c>
      <c r="M562" s="7" t="str">
        <f t="shared" si="52"/>
        <v/>
      </c>
      <c r="N562" s="9" t="str">
        <f t="shared" si="53"/>
        <v/>
      </c>
      <c r="O562" s="9" t="str">
        <f>IF(NOT(ISERROR(VLOOKUP(C562,Deflatores!G$42:H$64,2,FALSE))),VLOOKUP(C562,Deflatores!G$42:H$64,2,FALSE),IF(OR(ISBLANK(D562),ISBLANK(C562)),"",VLOOKUP(D562,Deflatores!G$4:H$38,2,FALSE)*K562+VLOOKUP(D562,Deflatores!G$4:I$38,3,FALSE)))</f>
        <v/>
      </c>
      <c r="P562" s="10"/>
      <c r="Q562" s="10"/>
      <c r="R562" s="6"/>
      <c r="S562" s="10"/>
      <c r="T562" s="10"/>
      <c r="U562" s="10"/>
    </row>
    <row r="563" spans="1:21" hidden="1" x14ac:dyDescent="0.2">
      <c r="A563" s="102"/>
      <c r="B563" s="102"/>
      <c r="C563" s="2"/>
      <c r="D563" s="2"/>
      <c r="E563" s="7"/>
      <c r="F563" s="7"/>
      <c r="G563" s="7"/>
      <c r="H563" s="7"/>
      <c r="I563" s="8" t="str">
        <f t="shared" si="48"/>
        <v/>
      </c>
      <c r="J563" s="7" t="str">
        <f t="shared" si="49"/>
        <v/>
      </c>
      <c r="K563" s="3" t="str">
        <f t="shared" si="50"/>
        <v/>
      </c>
      <c r="L563" s="4" t="str">
        <f t="shared" si="51"/>
        <v/>
      </c>
      <c r="M563" s="7" t="str">
        <f t="shared" si="52"/>
        <v/>
      </c>
      <c r="N563" s="9" t="str">
        <f t="shared" si="53"/>
        <v/>
      </c>
      <c r="O563" s="9" t="str">
        <f>IF(NOT(ISERROR(VLOOKUP(C563,Deflatores!G$42:H$64,2,FALSE))),VLOOKUP(C563,Deflatores!G$42:H$64,2,FALSE),IF(OR(ISBLANK(D563),ISBLANK(C563)),"",VLOOKUP(D563,Deflatores!G$4:H$38,2,FALSE)*K563+VLOOKUP(D563,Deflatores!G$4:I$38,3,FALSE)))</f>
        <v/>
      </c>
      <c r="P563" s="10"/>
      <c r="Q563" s="10"/>
      <c r="R563" s="6"/>
      <c r="S563" s="10"/>
      <c r="T563" s="10"/>
      <c r="U563" s="10"/>
    </row>
    <row r="564" spans="1:21" hidden="1" x14ac:dyDescent="0.2">
      <c r="A564" s="102"/>
      <c r="B564" s="102"/>
      <c r="C564" s="2"/>
      <c r="D564" s="2"/>
      <c r="E564" s="7"/>
      <c r="F564" s="7"/>
      <c r="G564" s="7"/>
      <c r="H564" s="7"/>
      <c r="I564" s="8" t="str">
        <f t="shared" si="48"/>
        <v/>
      </c>
      <c r="J564" s="7" t="str">
        <f t="shared" si="49"/>
        <v/>
      </c>
      <c r="K564" s="3" t="str">
        <f t="shared" si="50"/>
        <v/>
      </c>
      <c r="L564" s="4" t="str">
        <f t="shared" si="51"/>
        <v/>
      </c>
      <c r="M564" s="7" t="str">
        <f t="shared" si="52"/>
        <v/>
      </c>
      <c r="N564" s="9" t="str">
        <f t="shared" si="53"/>
        <v/>
      </c>
      <c r="O564" s="9" t="str">
        <f>IF(NOT(ISERROR(VLOOKUP(C564,Deflatores!G$42:H$64,2,FALSE))),VLOOKUP(C564,Deflatores!G$42:H$64,2,FALSE),IF(OR(ISBLANK(D564),ISBLANK(C564)),"",VLOOKUP(D564,Deflatores!G$4:H$38,2,FALSE)*K564+VLOOKUP(D564,Deflatores!G$4:I$38,3,FALSE)))</f>
        <v/>
      </c>
      <c r="P564" s="10"/>
      <c r="Q564" s="10"/>
      <c r="R564" s="6"/>
      <c r="S564" s="10"/>
      <c r="T564" s="10"/>
      <c r="U564" s="10"/>
    </row>
    <row r="565" spans="1:21" hidden="1" x14ac:dyDescent="0.2">
      <c r="A565" s="102"/>
      <c r="B565" s="102"/>
      <c r="C565" s="2"/>
      <c r="D565" s="2"/>
      <c r="E565" s="7"/>
      <c r="F565" s="7"/>
      <c r="G565" s="7"/>
      <c r="H565" s="7"/>
      <c r="I565" s="8" t="str">
        <f t="shared" si="48"/>
        <v/>
      </c>
      <c r="J565" s="7" t="str">
        <f t="shared" si="49"/>
        <v/>
      </c>
      <c r="K565" s="3" t="str">
        <f t="shared" si="50"/>
        <v/>
      </c>
      <c r="L565" s="4" t="str">
        <f t="shared" si="51"/>
        <v/>
      </c>
      <c r="M565" s="7" t="str">
        <f t="shared" si="52"/>
        <v/>
      </c>
      <c r="N565" s="9" t="str">
        <f t="shared" si="53"/>
        <v/>
      </c>
      <c r="O565" s="9" t="str">
        <f>IF(NOT(ISERROR(VLOOKUP(C565,Deflatores!G$42:H$64,2,FALSE))),VLOOKUP(C565,Deflatores!G$42:H$64,2,FALSE),IF(OR(ISBLANK(D565),ISBLANK(C565)),"",VLOOKUP(D565,Deflatores!G$4:H$38,2,FALSE)*K565+VLOOKUP(D565,Deflatores!G$4:I$38,3,FALSE)))</f>
        <v/>
      </c>
      <c r="P565" s="10"/>
      <c r="Q565" s="10"/>
      <c r="R565" s="6"/>
      <c r="S565" s="10"/>
      <c r="T565" s="10"/>
      <c r="U565" s="10"/>
    </row>
    <row r="566" spans="1:21" hidden="1" x14ac:dyDescent="0.2">
      <c r="A566" s="102"/>
      <c r="B566" s="102"/>
      <c r="C566" s="2"/>
      <c r="D566" s="2"/>
      <c r="E566" s="7"/>
      <c r="F566" s="7"/>
      <c r="G566" s="7"/>
      <c r="H566" s="7"/>
      <c r="I566" s="8" t="str">
        <f t="shared" si="48"/>
        <v/>
      </c>
      <c r="J566" s="7" t="str">
        <f t="shared" si="49"/>
        <v/>
      </c>
      <c r="K566" s="3" t="str">
        <f t="shared" si="50"/>
        <v/>
      </c>
      <c r="L566" s="4" t="str">
        <f t="shared" si="51"/>
        <v/>
      </c>
      <c r="M566" s="7" t="str">
        <f t="shared" si="52"/>
        <v/>
      </c>
      <c r="N566" s="9" t="str">
        <f t="shared" si="53"/>
        <v/>
      </c>
      <c r="O566" s="9" t="str">
        <f>IF(NOT(ISERROR(VLOOKUP(C566,Deflatores!G$42:H$64,2,FALSE))),VLOOKUP(C566,Deflatores!G$42:H$64,2,FALSE),IF(OR(ISBLANK(D566),ISBLANK(C566)),"",VLOOKUP(D566,Deflatores!G$4:H$38,2,FALSE)*K566+VLOOKUP(D566,Deflatores!G$4:I$38,3,FALSE)))</f>
        <v/>
      </c>
      <c r="P566" s="10"/>
      <c r="Q566" s="10"/>
      <c r="R566" s="6"/>
      <c r="S566" s="10"/>
      <c r="T566" s="10"/>
      <c r="U566" s="10"/>
    </row>
    <row r="567" spans="1:21" hidden="1" x14ac:dyDescent="0.2">
      <c r="A567" s="102"/>
      <c r="B567" s="102"/>
      <c r="C567" s="2"/>
      <c r="D567" s="2"/>
      <c r="E567" s="7"/>
      <c r="F567" s="7"/>
      <c r="G567" s="7"/>
      <c r="H567" s="7"/>
      <c r="I567" s="8" t="str">
        <f t="shared" si="48"/>
        <v/>
      </c>
      <c r="J567" s="7" t="str">
        <f t="shared" si="49"/>
        <v/>
      </c>
      <c r="K567" s="3" t="str">
        <f t="shared" si="50"/>
        <v/>
      </c>
      <c r="L567" s="4" t="str">
        <f t="shared" si="51"/>
        <v/>
      </c>
      <c r="M567" s="7" t="str">
        <f t="shared" si="52"/>
        <v/>
      </c>
      <c r="N567" s="9" t="str">
        <f t="shared" si="53"/>
        <v/>
      </c>
      <c r="O567" s="9" t="str">
        <f>IF(NOT(ISERROR(VLOOKUP(C567,Deflatores!G$42:H$64,2,FALSE))),VLOOKUP(C567,Deflatores!G$42:H$64,2,FALSE),IF(OR(ISBLANK(D567),ISBLANK(C567)),"",VLOOKUP(D567,Deflatores!G$4:H$38,2,FALSE)*K567+VLOOKUP(D567,Deflatores!G$4:I$38,3,FALSE)))</f>
        <v/>
      </c>
      <c r="P567" s="10"/>
      <c r="Q567" s="10"/>
      <c r="R567" s="6"/>
      <c r="S567" s="10"/>
      <c r="T567" s="10"/>
      <c r="U567" s="10"/>
    </row>
    <row r="568" spans="1:21" hidden="1" x14ac:dyDescent="0.2">
      <c r="A568" s="102"/>
      <c r="B568" s="102"/>
      <c r="C568" s="2"/>
      <c r="D568" s="2"/>
      <c r="E568" s="7"/>
      <c r="F568" s="7"/>
      <c r="G568" s="7"/>
      <c r="H568" s="7"/>
      <c r="I568" s="8" t="str">
        <f t="shared" si="48"/>
        <v/>
      </c>
      <c r="J568" s="7" t="str">
        <f t="shared" si="49"/>
        <v/>
      </c>
      <c r="K568" s="3" t="str">
        <f t="shared" si="50"/>
        <v/>
      </c>
      <c r="L568" s="4" t="str">
        <f t="shared" si="51"/>
        <v/>
      </c>
      <c r="M568" s="7" t="str">
        <f t="shared" si="52"/>
        <v/>
      </c>
      <c r="N568" s="9" t="str">
        <f t="shared" si="53"/>
        <v/>
      </c>
      <c r="O568" s="9" t="str">
        <f>IF(NOT(ISERROR(VLOOKUP(C568,Deflatores!G$42:H$64,2,FALSE))),VLOOKUP(C568,Deflatores!G$42:H$64,2,FALSE),IF(OR(ISBLANK(D568),ISBLANK(C568)),"",VLOOKUP(D568,Deflatores!G$4:H$38,2,FALSE)*K568+VLOOKUP(D568,Deflatores!G$4:I$38,3,FALSE)))</f>
        <v/>
      </c>
      <c r="P568" s="10"/>
      <c r="Q568" s="10"/>
      <c r="R568" s="6"/>
      <c r="S568" s="10"/>
      <c r="T568" s="10"/>
      <c r="U568" s="10"/>
    </row>
    <row r="569" spans="1:21" hidden="1" x14ac:dyDescent="0.2">
      <c r="A569" s="102"/>
      <c r="B569" s="102"/>
      <c r="C569" s="2"/>
      <c r="D569" s="2"/>
      <c r="E569" s="7"/>
      <c r="F569" s="7"/>
      <c r="G569" s="7"/>
      <c r="H569" s="7"/>
      <c r="I569" s="8" t="str">
        <f t="shared" si="48"/>
        <v/>
      </c>
      <c r="J569" s="7" t="str">
        <f t="shared" si="49"/>
        <v/>
      </c>
      <c r="K569" s="3" t="str">
        <f t="shared" si="50"/>
        <v/>
      </c>
      <c r="L569" s="4" t="str">
        <f t="shared" si="51"/>
        <v/>
      </c>
      <c r="M569" s="7" t="str">
        <f t="shared" si="52"/>
        <v/>
      </c>
      <c r="N569" s="9" t="str">
        <f t="shared" si="53"/>
        <v/>
      </c>
      <c r="O569" s="9" t="str">
        <f>IF(NOT(ISERROR(VLOOKUP(C569,Deflatores!G$42:H$64,2,FALSE))),VLOOKUP(C569,Deflatores!G$42:H$64,2,FALSE),IF(OR(ISBLANK(D569),ISBLANK(C569)),"",VLOOKUP(D569,Deflatores!G$4:H$38,2,FALSE)*K569+VLOOKUP(D569,Deflatores!G$4:I$38,3,FALSE)))</f>
        <v/>
      </c>
      <c r="P569" s="10"/>
      <c r="Q569" s="10"/>
      <c r="R569" s="6"/>
      <c r="S569" s="10"/>
      <c r="T569" s="10"/>
      <c r="U569" s="10"/>
    </row>
    <row r="570" spans="1:21" hidden="1" x14ac:dyDescent="0.2">
      <c r="A570" s="102"/>
      <c r="B570" s="102"/>
      <c r="C570" s="2"/>
      <c r="D570" s="2"/>
      <c r="E570" s="7"/>
      <c r="F570" s="7"/>
      <c r="G570" s="7"/>
      <c r="H570" s="7"/>
      <c r="I570" s="8" t="str">
        <f t="shared" si="48"/>
        <v/>
      </c>
      <c r="J570" s="7" t="str">
        <f t="shared" si="49"/>
        <v/>
      </c>
      <c r="K570" s="3" t="str">
        <f t="shared" si="50"/>
        <v/>
      </c>
      <c r="L570" s="4" t="str">
        <f t="shared" si="51"/>
        <v/>
      </c>
      <c r="M570" s="7" t="str">
        <f t="shared" si="52"/>
        <v/>
      </c>
      <c r="N570" s="9" t="str">
        <f t="shared" si="53"/>
        <v/>
      </c>
      <c r="O570" s="9" t="str">
        <f>IF(NOT(ISERROR(VLOOKUP(C570,Deflatores!G$42:H$64,2,FALSE))),VLOOKUP(C570,Deflatores!G$42:H$64,2,FALSE),IF(OR(ISBLANK(D570),ISBLANK(C570)),"",VLOOKUP(D570,Deflatores!G$4:H$38,2,FALSE)*K570+VLOOKUP(D570,Deflatores!G$4:I$38,3,FALSE)))</f>
        <v/>
      </c>
      <c r="P570" s="10"/>
      <c r="Q570" s="10"/>
      <c r="R570" s="6"/>
      <c r="S570" s="10"/>
      <c r="T570" s="10"/>
      <c r="U570" s="10"/>
    </row>
    <row r="571" spans="1:21" hidden="1" x14ac:dyDescent="0.2">
      <c r="A571" s="102"/>
      <c r="B571" s="102"/>
      <c r="C571" s="2"/>
      <c r="D571" s="2"/>
      <c r="E571" s="7"/>
      <c r="F571" s="7"/>
      <c r="G571" s="7"/>
      <c r="H571" s="7"/>
      <c r="I571" s="8" t="str">
        <f t="shared" si="48"/>
        <v/>
      </c>
      <c r="J571" s="7" t="str">
        <f t="shared" si="49"/>
        <v/>
      </c>
      <c r="K571" s="3" t="str">
        <f t="shared" si="50"/>
        <v/>
      </c>
      <c r="L571" s="4" t="str">
        <f t="shared" si="51"/>
        <v/>
      </c>
      <c r="M571" s="7" t="str">
        <f t="shared" si="52"/>
        <v/>
      </c>
      <c r="N571" s="9" t="str">
        <f t="shared" si="53"/>
        <v/>
      </c>
      <c r="O571" s="9" t="str">
        <f>IF(NOT(ISERROR(VLOOKUP(C571,Deflatores!G$42:H$64,2,FALSE))),VLOOKUP(C571,Deflatores!G$42:H$64,2,FALSE),IF(OR(ISBLANK(D571),ISBLANK(C571)),"",VLOOKUP(D571,Deflatores!G$4:H$38,2,FALSE)*K571+VLOOKUP(D571,Deflatores!G$4:I$38,3,FALSE)))</f>
        <v/>
      </c>
      <c r="P571" s="10"/>
      <c r="Q571" s="10"/>
      <c r="R571" s="6"/>
      <c r="S571" s="10"/>
      <c r="T571" s="10"/>
      <c r="U571" s="10"/>
    </row>
    <row r="572" spans="1:21" hidden="1" x14ac:dyDescent="0.2">
      <c r="A572" s="102"/>
      <c r="B572" s="102"/>
      <c r="C572" s="2"/>
      <c r="D572" s="2"/>
      <c r="E572" s="7"/>
      <c r="F572" s="7"/>
      <c r="G572" s="7"/>
      <c r="H572" s="7"/>
      <c r="I572" s="8" t="str">
        <f t="shared" si="48"/>
        <v/>
      </c>
      <c r="J572" s="7" t="str">
        <f t="shared" si="49"/>
        <v/>
      </c>
      <c r="K572" s="3" t="str">
        <f t="shared" si="50"/>
        <v/>
      </c>
      <c r="L572" s="4" t="str">
        <f t="shared" si="51"/>
        <v/>
      </c>
      <c r="M572" s="7" t="str">
        <f t="shared" si="52"/>
        <v/>
      </c>
      <c r="N572" s="9" t="str">
        <f t="shared" si="53"/>
        <v/>
      </c>
      <c r="O572" s="9" t="str">
        <f>IF(NOT(ISERROR(VLOOKUP(C572,Deflatores!G$42:H$64,2,FALSE))),VLOOKUP(C572,Deflatores!G$42:H$64,2,FALSE),IF(OR(ISBLANK(D572),ISBLANK(C572)),"",VLOOKUP(D572,Deflatores!G$4:H$38,2,FALSE)*K572+VLOOKUP(D572,Deflatores!G$4:I$38,3,FALSE)))</f>
        <v/>
      </c>
      <c r="P572" s="10"/>
      <c r="Q572" s="10"/>
      <c r="R572" s="6"/>
      <c r="S572" s="10"/>
      <c r="T572" s="10"/>
      <c r="U572" s="10"/>
    </row>
    <row r="573" spans="1:21" hidden="1" x14ac:dyDescent="0.2">
      <c r="A573" s="102"/>
      <c r="B573" s="102"/>
      <c r="C573" s="2"/>
      <c r="D573" s="2"/>
      <c r="E573" s="7"/>
      <c r="F573" s="7"/>
      <c r="G573" s="7"/>
      <c r="H573" s="7"/>
      <c r="I573" s="8" t="str">
        <f t="shared" si="48"/>
        <v/>
      </c>
      <c r="J573" s="7" t="str">
        <f t="shared" si="49"/>
        <v/>
      </c>
      <c r="K573" s="3" t="str">
        <f t="shared" si="50"/>
        <v/>
      </c>
      <c r="L573" s="4" t="str">
        <f t="shared" si="51"/>
        <v/>
      </c>
      <c r="M573" s="7" t="str">
        <f t="shared" si="52"/>
        <v/>
      </c>
      <c r="N573" s="9" t="str">
        <f t="shared" si="53"/>
        <v/>
      </c>
      <c r="O573" s="9" t="str">
        <f>IF(NOT(ISERROR(VLOOKUP(C573,Deflatores!G$42:H$64,2,FALSE))),VLOOKUP(C573,Deflatores!G$42:H$64,2,FALSE),IF(OR(ISBLANK(D573),ISBLANK(C573)),"",VLOOKUP(D573,Deflatores!G$4:H$38,2,FALSE)*K573+VLOOKUP(D573,Deflatores!G$4:I$38,3,FALSE)))</f>
        <v/>
      </c>
      <c r="P573" s="10"/>
      <c r="Q573" s="10"/>
      <c r="R573" s="6"/>
      <c r="S573" s="10"/>
      <c r="T573" s="10"/>
      <c r="U573" s="10"/>
    </row>
    <row r="574" spans="1:21" hidden="1" x14ac:dyDescent="0.2">
      <c r="A574" s="102"/>
      <c r="B574" s="102"/>
      <c r="C574" s="2"/>
      <c r="D574" s="2"/>
      <c r="E574" s="7"/>
      <c r="F574" s="7"/>
      <c r="G574" s="7"/>
      <c r="H574" s="7"/>
      <c r="I574" s="8" t="str">
        <f t="shared" si="48"/>
        <v/>
      </c>
      <c r="J574" s="7" t="str">
        <f t="shared" si="49"/>
        <v/>
      </c>
      <c r="K574" s="3" t="str">
        <f t="shared" si="50"/>
        <v/>
      </c>
      <c r="L574" s="4" t="str">
        <f t="shared" si="51"/>
        <v/>
      </c>
      <c r="M574" s="7" t="str">
        <f t="shared" si="52"/>
        <v/>
      </c>
      <c r="N574" s="9" t="str">
        <f t="shared" si="53"/>
        <v/>
      </c>
      <c r="O574" s="9" t="str">
        <f>IF(NOT(ISERROR(VLOOKUP(C574,Deflatores!G$42:H$64,2,FALSE))),VLOOKUP(C574,Deflatores!G$42:H$64,2,FALSE),IF(OR(ISBLANK(D574),ISBLANK(C574)),"",VLOOKUP(D574,Deflatores!G$4:H$38,2,FALSE)*K574+VLOOKUP(D574,Deflatores!G$4:I$38,3,FALSE)))</f>
        <v/>
      </c>
      <c r="P574" s="10"/>
      <c r="Q574" s="10"/>
      <c r="R574" s="6"/>
      <c r="S574" s="10"/>
      <c r="T574" s="10"/>
      <c r="U574" s="10"/>
    </row>
    <row r="575" spans="1:21" hidden="1" x14ac:dyDescent="0.2">
      <c r="A575" s="102"/>
      <c r="B575" s="102"/>
      <c r="C575" s="2"/>
      <c r="D575" s="2"/>
      <c r="E575" s="7"/>
      <c r="F575" s="7"/>
      <c r="G575" s="7"/>
      <c r="H575" s="7"/>
      <c r="I575" s="8" t="str">
        <f t="shared" si="48"/>
        <v/>
      </c>
      <c r="J575" s="7" t="str">
        <f t="shared" si="49"/>
        <v/>
      </c>
      <c r="K575" s="3" t="str">
        <f t="shared" si="50"/>
        <v/>
      </c>
      <c r="L575" s="4" t="str">
        <f t="shared" si="51"/>
        <v/>
      </c>
      <c r="M575" s="7" t="str">
        <f t="shared" si="52"/>
        <v/>
      </c>
      <c r="N575" s="9" t="str">
        <f t="shared" si="53"/>
        <v/>
      </c>
      <c r="O575" s="9" t="str">
        <f>IF(NOT(ISERROR(VLOOKUP(C575,Deflatores!G$42:H$64,2,FALSE))),VLOOKUP(C575,Deflatores!G$42:H$64,2,FALSE),IF(OR(ISBLANK(D575),ISBLANK(C575)),"",VLOOKUP(D575,Deflatores!G$4:H$38,2,FALSE)*K575+VLOOKUP(D575,Deflatores!G$4:I$38,3,FALSE)))</f>
        <v/>
      </c>
      <c r="P575" s="10"/>
      <c r="Q575" s="10"/>
      <c r="R575" s="6"/>
      <c r="S575" s="10"/>
      <c r="T575" s="10"/>
      <c r="U575" s="10"/>
    </row>
    <row r="576" spans="1:21" hidden="1" x14ac:dyDescent="0.2">
      <c r="A576" s="102"/>
      <c r="B576" s="102"/>
      <c r="C576" s="2"/>
      <c r="D576" s="2"/>
      <c r="E576" s="7"/>
      <c r="F576" s="7"/>
      <c r="G576" s="7"/>
      <c r="H576" s="7"/>
      <c r="I576" s="8" t="str">
        <f t="shared" si="48"/>
        <v/>
      </c>
      <c r="J576" s="7" t="str">
        <f t="shared" si="49"/>
        <v/>
      </c>
      <c r="K576" s="3" t="str">
        <f t="shared" si="50"/>
        <v/>
      </c>
      <c r="L576" s="4" t="str">
        <f t="shared" si="51"/>
        <v/>
      </c>
      <c r="M576" s="7" t="str">
        <f t="shared" si="52"/>
        <v/>
      </c>
      <c r="N576" s="9" t="str">
        <f t="shared" si="53"/>
        <v/>
      </c>
      <c r="O576" s="9" t="str">
        <f>IF(NOT(ISERROR(VLOOKUP(C576,Deflatores!G$42:H$64,2,FALSE))),VLOOKUP(C576,Deflatores!G$42:H$64,2,FALSE),IF(OR(ISBLANK(D576),ISBLANK(C576)),"",VLOOKUP(D576,Deflatores!G$4:H$38,2,FALSE)*K576+VLOOKUP(D576,Deflatores!G$4:I$38,3,FALSE)))</f>
        <v/>
      </c>
      <c r="P576" s="10"/>
      <c r="Q576" s="10"/>
      <c r="R576" s="6"/>
      <c r="S576" s="10"/>
      <c r="T576" s="10"/>
      <c r="U576" s="10"/>
    </row>
    <row r="577" spans="1:21" hidden="1" x14ac:dyDescent="0.2">
      <c r="A577" s="102"/>
      <c r="B577" s="102"/>
      <c r="C577" s="2"/>
      <c r="D577" s="2"/>
      <c r="E577" s="7"/>
      <c r="F577" s="7"/>
      <c r="G577" s="7"/>
      <c r="H577" s="7"/>
      <c r="I577" s="8" t="str">
        <f t="shared" si="48"/>
        <v/>
      </c>
      <c r="J577" s="7" t="str">
        <f t="shared" si="49"/>
        <v/>
      </c>
      <c r="K577" s="3" t="str">
        <f t="shared" si="50"/>
        <v/>
      </c>
      <c r="L577" s="4" t="str">
        <f t="shared" si="51"/>
        <v/>
      </c>
      <c r="M577" s="7" t="str">
        <f t="shared" si="52"/>
        <v/>
      </c>
      <c r="N577" s="9" t="str">
        <f t="shared" si="53"/>
        <v/>
      </c>
      <c r="O577" s="9" t="str">
        <f>IF(NOT(ISERROR(VLOOKUP(C577,Deflatores!G$42:H$64,2,FALSE))),VLOOKUP(C577,Deflatores!G$42:H$64,2,FALSE),IF(OR(ISBLANK(D577),ISBLANK(C577)),"",VLOOKUP(D577,Deflatores!G$4:H$38,2,FALSE)*K577+VLOOKUP(D577,Deflatores!G$4:I$38,3,FALSE)))</f>
        <v/>
      </c>
      <c r="P577" s="10"/>
      <c r="Q577" s="10"/>
      <c r="R577" s="6"/>
      <c r="S577" s="10"/>
      <c r="T577" s="10"/>
      <c r="U577" s="10"/>
    </row>
    <row r="578" spans="1:21" hidden="1" x14ac:dyDescent="0.2">
      <c r="A578" s="102"/>
      <c r="B578" s="102"/>
      <c r="C578" s="2"/>
      <c r="D578" s="2"/>
      <c r="E578" s="7"/>
      <c r="F578" s="7"/>
      <c r="G578" s="7"/>
      <c r="H578" s="7"/>
      <c r="I578" s="8" t="str">
        <f t="shared" si="48"/>
        <v/>
      </c>
      <c r="J578" s="7" t="str">
        <f t="shared" si="49"/>
        <v/>
      </c>
      <c r="K578" s="3" t="str">
        <f t="shared" si="50"/>
        <v/>
      </c>
      <c r="L578" s="4" t="str">
        <f t="shared" si="51"/>
        <v/>
      </c>
      <c r="M578" s="7" t="str">
        <f t="shared" si="52"/>
        <v/>
      </c>
      <c r="N578" s="9" t="str">
        <f t="shared" si="53"/>
        <v/>
      </c>
      <c r="O578" s="9" t="str">
        <f>IF(NOT(ISERROR(VLOOKUP(C578,Deflatores!G$42:H$64,2,FALSE))),VLOOKUP(C578,Deflatores!G$42:H$64,2,FALSE),IF(OR(ISBLANK(D578),ISBLANK(C578)),"",VLOOKUP(D578,Deflatores!G$4:H$38,2,FALSE)*K578+VLOOKUP(D578,Deflatores!G$4:I$38,3,FALSE)))</f>
        <v/>
      </c>
      <c r="P578" s="10"/>
      <c r="Q578" s="10"/>
      <c r="R578" s="6"/>
      <c r="S578" s="10"/>
      <c r="T578" s="10"/>
      <c r="U578" s="10"/>
    </row>
    <row r="579" spans="1:21" hidden="1" x14ac:dyDescent="0.2">
      <c r="A579" s="102"/>
      <c r="B579" s="102"/>
      <c r="C579" s="2"/>
      <c r="D579" s="2"/>
      <c r="E579" s="7"/>
      <c r="F579" s="7"/>
      <c r="G579" s="7"/>
      <c r="H579" s="7"/>
      <c r="I579" s="8" t="str">
        <f t="shared" si="48"/>
        <v/>
      </c>
      <c r="J579" s="7" t="str">
        <f t="shared" si="49"/>
        <v/>
      </c>
      <c r="K579" s="3" t="str">
        <f t="shared" si="50"/>
        <v/>
      </c>
      <c r="L579" s="4" t="str">
        <f t="shared" si="51"/>
        <v/>
      </c>
      <c r="M579" s="7" t="str">
        <f t="shared" si="52"/>
        <v/>
      </c>
      <c r="N579" s="9" t="str">
        <f t="shared" si="53"/>
        <v/>
      </c>
      <c r="O579" s="9" t="str">
        <f>IF(NOT(ISERROR(VLOOKUP(C579,Deflatores!G$42:H$64,2,FALSE))),VLOOKUP(C579,Deflatores!G$42:H$64,2,FALSE),IF(OR(ISBLANK(D579),ISBLANK(C579)),"",VLOOKUP(D579,Deflatores!G$4:H$38,2,FALSE)*K579+VLOOKUP(D579,Deflatores!G$4:I$38,3,FALSE)))</f>
        <v/>
      </c>
      <c r="P579" s="10"/>
      <c r="Q579" s="10"/>
      <c r="R579" s="6"/>
      <c r="S579" s="10"/>
      <c r="T579" s="10"/>
      <c r="U579" s="10"/>
    </row>
    <row r="580" spans="1:21" hidden="1" x14ac:dyDescent="0.2">
      <c r="A580" s="102"/>
      <c r="B580" s="102"/>
      <c r="C580" s="2"/>
      <c r="D580" s="2"/>
      <c r="E580" s="7"/>
      <c r="F580" s="7"/>
      <c r="G580" s="7"/>
      <c r="H580" s="7"/>
      <c r="I580" s="8" t="str">
        <f t="shared" si="48"/>
        <v/>
      </c>
      <c r="J580" s="7" t="str">
        <f t="shared" si="49"/>
        <v/>
      </c>
      <c r="K580" s="3" t="str">
        <f t="shared" si="50"/>
        <v/>
      </c>
      <c r="L580" s="4" t="str">
        <f t="shared" si="51"/>
        <v/>
      </c>
      <c r="M580" s="7" t="str">
        <f t="shared" si="52"/>
        <v/>
      </c>
      <c r="N580" s="9" t="str">
        <f t="shared" si="53"/>
        <v/>
      </c>
      <c r="O580" s="9" t="str">
        <f>IF(NOT(ISERROR(VLOOKUP(C580,Deflatores!G$42:H$64,2,FALSE))),VLOOKUP(C580,Deflatores!G$42:H$64,2,FALSE),IF(OR(ISBLANK(D580),ISBLANK(C580)),"",VLOOKUP(D580,Deflatores!G$4:H$38,2,FALSE)*K580+VLOOKUP(D580,Deflatores!G$4:I$38,3,FALSE)))</f>
        <v/>
      </c>
      <c r="P580" s="10"/>
      <c r="Q580" s="10"/>
      <c r="R580" s="6"/>
      <c r="S580" s="10"/>
      <c r="T580" s="10"/>
      <c r="U580" s="10"/>
    </row>
    <row r="581" spans="1:21" hidden="1" x14ac:dyDescent="0.2">
      <c r="A581" s="102"/>
      <c r="B581" s="102"/>
      <c r="C581" s="2"/>
      <c r="D581" s="2"/>
      <c r="E581" s="7"/>
      <c r="F581" s="7"/>
      <c r="G581" s="7"/>
      <c r="H581" s="7"/>
      <c r="I581" s="8" t="str">
        <f t="shared" si="48"/>
        <v/>
      </c>
      <c r="J581" s="7" t="str">
        <f t="shared" si="49"/>
        <v/>
      </c>
      <c r="K581" s="3" t="str">
        <f t="shared" si="50"/>
        <v/>
      </c>
      <c r="L581" s="4" t="str">
        <f t="shared" si="51"/>
        <v/>
      </c>
      <c r="M581" s="7" t="str">
        <f t="shared" si="52"/>
        <v/>
      </c>
      <c r="N581" s="9" t="str">
        <f t="shared" si="53"/>
        <v/>
      </c>
      <c r="O581" s="9" t="str">
        <f>IF(NOT(ISERROR(VLOOKUP(C581,Deflatores!G$42:H$64,2,FALSE))),VLOOKUP(C581,Deflatores!G$42:H$64,2,FALSE),IF(OR(ISBLANK(D581),ISBLANK(C581)),"",VLOOKUP(D581,Deflatores!G$4:H$38,2,FALSE)*K581+VLOOKUP(D581,Deflatores!G$4:I$38,3,FALSE)))</f>
        <v/>
      </c>
      <c r="P581" s="10"/>
      <c r="Q581" s="10"/>
      <c r="R581" s="6"/>
      <c r="S581" s="10"/>
      <c r="T581" s="10"/>
      <c r="U581" s="10"/>
    </row>
    <row r="582" spans="1:21" hidden="1" x14ac:dyDescent="0.2">
      <c r="A582" s="102"/>
      <c r="B582" s="102"/>
      <c r="C582" s="2"/>
      <c r="D582" s="2"/>
      <c r="E582" s="7"/>
      <c r="F582" s="7"/>
      <c r="G582" s="7"/>
      <c r="H582" s="7"/>
      <c r="I582" s="8" t="str">
        <f t="shared" si="48"/>
        <v/>
      </c>
      <c r="J582" s="7" t="str">
        <f t="shared" si="49"/>
        <v/>
      </c>
      <c r="K582" s="3" t="str">
        <f t="shared" si="50"/>
        <v/>
      </c>
      <c r="L582" s="4" t="str">
        <f t="shared" si="51"/>
        <v/>
      </c>
      <c r="M582" s="7" t="str">
        <f t="shared" si="52"/>
        <v/>
      </c>
      <c r="N582" s="9" t="str">
        <f t="shared" si="53"/>
        <v/>
      </c>
      <c r="O582" s="9" t="str">
        <f>IF(NOT(ISERROR(VLOOKUP(C582,Deflatores!G$42:H$64,2,FALSE))),VLOOKUP(C582,Deflatores!G$42:H$64,2,FALSE),IF(OR(ISBLANK(D582),ISBLANK(C582)),"",VLOOKUP(D582,Deflatores!G$4:H$38,2,FALSE)*K582+VLOOKUP(D582,Deflatores!G$4:I$38,3,FALSE)))</f>
        <v/>
      </c>
      <c r="P582" s="10"/>
      <c r="Q582" s="10"/>
      <c r="R582" s="6"/>
      <c r="S582" s="10"/>
      <c r="T582" s="10"/>
      <c r="U582" s="10"/>
    </row>
    <row r="583" spans="1:21" hidden="1" x14ac:dyDescent="0.2">
      <c r="A583" s="102"/>
      <c r="B583" s="102"/>
      <c r="C583" s="2"/>
      <c r="D583" s="2"/>
      <c r="E583" s="7"/>
      <c r="F583" s="7"/>
      <c r="G583" s="7"/>
      <c r="H583" s="7"/>
      <c r="I583" s="8" t="str">
        <f t="shared" si="48"/>
        <v/>
      </c>
      <c r="J583" s="7" t="str">
        <f t="shared" si="49"/>
        <v/>
      </c>
      <c r="K583" s="3" t="str">
        <f t="shared" si="50"/>
        <v/>
      </c>
      <c r="L583" s="4" t="str">
        <f t="shared" si="51"/>
        <v/>
      </c>
      <c r="M583" s="7" t="str">
        <f t="shared" si="52"/>
        <v/>
      </c>
      <c r="N583" s="9" t="str">
        <f t="shared" si="53"/>
        <v/>
      </c>
      <c r="O583" s="9" t="str">
        <f>IF(NOT(ISERROR(VLOOKUP(C583,Deflatores!G$42:H$64,2,FALSE))),VLOOKUP(C583,Deflatores!G$42:H$64,2,FALSE),IF(OR(ISBLANK(D583),ISBLANK(C583)),"",VLOOKUP(D583,Deflatores!G$4:H$38,2,FALSE)*K583+VLOOKUP(D583,Deflatores!G$4:I$38,3,FALSE)))</f>
        <v/>
      </c>
      <c r="P583" s="10"/>
      <c r="Q583" s="10"/>
      <c r="R583" s="6"/>
      <c r="S583" s="10"/>
      <c r="T583" s="10"/>
      <c r="U583" s="10"/>
    </row>
    <row r="584" spans="1:21" hidden="1" x14ac:dyDescent="0.2">
      <c r="A584" s="102"/>
      <c r="B584" s="102"/>
      <c r="C584" s="2"/>
      <c r="D584" s="2"/>
      <c r="E584" s="7"/>
      <c r="F584" s="7"/>
      <c r="G584" s="7"/>
      <c r="H584" s="7"/>
      <c r="I584" s="8" t="str">
        <f t="shared" si="48"/>
        <v/>
      </c>
      <c r="J584" s="7" t="str">
        <f t="shared" si="49"/>
        <v/>
      </c>
      <c r="K584" s="3" t="str">
        <f t="shared" si="50"/>
        <v/>
      </c>
      <c r="L584" s="4" t="str">
        <f t="shared" si="51"/>
        <v/>
      </c>
      <c r="M584" s="7" t="str">
        <f t="shared" si="52"/>
        <v/>
      </c>
      <c r="N584" s="9" t="str">
        <f t="shared" si="53"/>
        <v/>
      </c>
      <c r="O584" s="9" t="str">
        <f>IF(NOT(ISERROR(VLOOKUP(C584,Deflatores!G$42:H$64,2,FALSE))),VLOOKUP(C584,Deflatores!G$42:H$64,2,FALSE),IF(OR(ISBLANK(D584),ISBLANK(C584)),"",VLOOKUP(D584,Deflatores!G$4:H$38,2,FALSE)*K584+VLOOKUP(D584,Deflatores!G$4:I$38,3,FALSE)))</f>
        <v/>
      </c>
      <c r="P584" s="10"/>
      <c r="Q584" s="10"/>
      <c r="R584" s="6"/>
      <c r="S584" s="10"/>
      <c r="T584" s="10"/>
      <c r="U584" s="10"/>
    </row>
    <row r="585" spans="1:21" hidden="1" x14ac:dyDescent="0.2">
      <c r="A585" s="102"/>
      <c r="B585" s="102"/>
      <c r="C585" s="2"/>
      <c r="D585" s="2"/>
      <c r="E585" s="7"/>
      <c r="F585" s="7"/>
      <c r="G585" s="7"/>
      <c r="H585" s="7"/>
      <c r="I585" s="8" t="str">
        <f t="shared" si="48"/>
        <v/>
      </c>
      <c r="J585" s="7" t="str">
        <f t="shared" si="49"/>
        <v/>
      </c>
      <c r="K585" s="3" t="str">
        <f t="shared" si="50"/>
        <v/>
      </c>
      <c r="L585" s="4" t="str">
        <f t="shared" si="51"/>
        <v/>
      </c>
      <c r="M585" s="7" t="str">
        <f t="shared" si="52"/>
        <v/>
      </c>
      <c r="N585" s="9" t="str">
        <f t="shared" si="53"/>
        <v/>
      </c>
      <c r="O585" s="9" t="str">
        <f>IF(NOT(ISERROR(VLOOKUP(C585,Deflatores!G$42:H$64,2,FALSE))),VLOOKUP(C585,Deflatores!G$42:H$64,2,FALSE),IF(OR(ISBLANK(D585),ISBLANK(C585)),"",VLOOKUP(D585,Deflatores!G$4:H$38,2,FALSE)*K585+VLOOKUP(D585,Deflatores!G$4:I$38,3,FALSE)))</f>
        <v/>
      </c>
      <c r="P585" s="10"/>
      <c r="Q585" s="10"/>
      <c r="R585" s="6"/>
      <c r="S585" s="10"/>
      <c r="T585" s="10"/>
      <c r="U585" s="10"/>
    </row>
    <row r="586" spans="1:21" hidden="1" x14ac:dyDescent="0.2">
      <c r="A586" s="102"/>
      <c r="B586" s="102"/>
      <c r="C586" s="2"/>
      <c r="D586" s="2"/>
      <c r="E586" s="7"/>
      <c r="F586" s="7"/>
      <c r="G586" s="7"/>
      <c r="H586" s="7"/>
      <c r="I586" s="8" t="str">
        <f t="shared" si="48"/>
        <v/>
      </c>
      <c r="J586" s="7" t="str">
        <f t="shared" si="49"/>
        <v/>
      </c>
      <c r="K586" s="3" t="str">
        <f t="shared" si="50"/>
        <v/>
      </c>
      <c r="L586" s="4" t="str">
        <f t="shared" si="51"/>
        <v/>
      </c>
      <c r="M586" s="7" t="str">
        <f t="shared" si="52"/>
        <v/>
      </c>
      <c r="N586" s="9" t="str">
        <f t="shared" si="53"/>
        <v/>
      </c>
      <c r="O586" s="9" t="str">
        <f>IF(NOT(ISERROR(VLOOKUP(C586,Deflatores!G$42:H$64,2,FALSE))),VLOOKUP(C586,Deflatores!G$42:H$64,2,FALSE),IF(OR(ISBLANK(D586),ISBLANK(C586)),"",VLOOKUP(D586,Deflatores!G$4:H$38,2,FALSE)*K586+VLOOKUP(D586,Deflatores!G$4:I$38,3,FALSE)))</f>
        <v/>
      </c>
      <c r="P586" s="10"/>
      <c r="Q586" s="10"/>
      <c r="R586" s="6"/>
      <c r="S586" s="10"/>
      <c r="T586" s="10"/>
      <c r="U586" s="10"/>
    </row>
    <row r="587" spans="1:21" hidden="1" x14ac:dyDescent="0.2">
      <c r="A587" s="102"/>
      <c r="B587" s="102"/>
      <c r="C587" s="2"/>
      <c r="D587" s="2"/>
      <c r="E587" s="7"/>
      <c r="F587" s="7"/>
      <c r="G587" s="7"/>
      <c r="H587" s="7"/>
      <c r="I587" s="8" t="str">
        <f t="shared" si="48"/>
        <v/>
      </c>
      <c r="J587" s="7" t="str">
        <f t="shared" si="49"/>
        <v/>
      </c>
      <c r="K587" s="3" t="str">
        <f t="shared" si="50"/>
        <v/>
      </c>
      <c r="L587" s="4" t="str">
        <f t="shared" si="51"/>
        <v/>
      </c>
      <c r="M587" s="7" t="str">
        <f t="shared" si="52"/>
        <v/>
      </c>
      <c r="N587" s="9" t="str">
        <f t="shared" si="53"/>
        <v/>
      </c>
      <c r="O587" s="9" t="str">
        <f>IF(NOT(ISERROR(VLOOKUP(C587,Deflatores!G$42:H$64,2,FALSE))),VLOOKUP(C587,Deflatores!G$42:H$64,2,FALSE),IF(OR(ISBLANK(D587),ISBLANK(C587)),"",VLOOKUP(D587,Deflatores!G$4:H$38,2,FALSE)*K587+VLOOKUP(D587,Deflatores!G$4:I$38,3,FALSE)))</f>
        <v/>
      </c>
      <c r="P587" s="10"/>
      <c r="Q587" s="10"/>
      <c r="R587" s="6"/>
      <c r="S587" s="10"/>
      <c r="T587" s="10"/>
      <c r="U587" s="10"/>
    </row>
    <row r="588" spans="1:21" hidden="1" x14ac:dyDescent="0.2">
      <c r="A588" s="102"/>
      <c r="B588" s="102"/>
      <c r="C588" s="2"/>
      <c r="D588" s="2"/>
      <c r="E588" s="7"/>
      <c r="F588" s="7"/>
      <c r="G588" s="7"/>
      <c r="H588" s="7"/>
      <c r="I588" s="8" t="str">
        <f t="shared" si="48"/>
        <v/>
      </c>
      <c r="J588" s="7" t="str">
        <f t="shared" si="49"/>
        <v/>
      </c>
      <c r="K588" s="3" t="str">
        <f t="shared" si="50"/>
        <v/>
      </c>
      <c r="L588" s="4" t="str">
        <f t="shared" si="51"/>
        <v/>
      </c>
      <c r="M588" s="7" t="str">
        <f t="shared" si="52"/>
        <v/>
      </c>
      <c r="N588" s="9" t="str">
        <f t="shared" si="53"/>
        <v/>
      </c>
      <c r="O588" s="9" t="str">
        <f>IF(NOT(ISERROR(VLOOKUP(C588,Deflatores!G$42:H$64,2,FALSE))),VLOOKUP(C588,Deflatores!G$42:H$64,2,FALSE),IF(OR(ISBLANK(D588),ISBLANK(C588)),"",VLOOKUP(D588,Deflatores!G$4:H$38,2,FALSE)*K588+VLOOKUP(D588,Deflatores!G$4:I$38,3,FALSE)))</f>
        <v/>
      </c>
      <c r="P588" s="10"/>
      <c r="Q588" s="10"/>
      <c r="R588" s="6"/>
      <c r="S588" s="10"/>
      <c r="T588" s="10"/>
      <c r="U588" s="10"/>
    </row>
    <row r="589" spans="1:21" hidden="1" x14ac:dyDescent="0.2">
      <c r="A589" s="102"/>
      <c r="B589" s="102"/>
      <c r="C589" s="2"/>
      <c r="D589" s="2"/>
      <c r="E589" s="7"/>
      <c r="F589" s="7"/>
      <c r="G589" s="7"/>
      <c r="H589" s="7"/>
      <c r="I589" s="8" t="str">
        <f t="shared" si="48"/>
        <v/>
      </c>
      <c r="J589" s="7" t="str">
        <f t="shared" si="49"/>
        <v/>
      </c>
      <c r="K589" s="3" t="str">
        <f t="shared" si="50"/>
        <v/>
      </c>
      <c r="L589" s="4" t="str">
        <f t="shared" si="51"/>
        <v/>
      </c>
      <c r="M589" s="7" t="str">
        <f t="shared" si="52"/>
        <v/>
      </c>
      <c r="N589" s="9" t="str">
        <f t="shared" si="53"/>
        <v/>
      </c>
      <c r="O589" s="9" t="str">
        <f>IF(NOT(ISERROR(VLOOKUP(C589,Deflatores!G$42:H$64,2,FALSE))),VLOOKUP(C589,Deflatores!G$42:H$64,2,FALSE),IF(OR(ISBLANK(D589),ISBLANK(C589)),"",VLOOKUP(D589,Deflatores!G$4:H$38,2,FALSE)*K589+VLOOKUP(D589,Deflatores!G$4:I$38,3,FALSE)))</f>
        <v/>
      </c>
      <c r="P589" s="10"/>
      <c r="Q589" s="10"/>
      <c r="R589" s="6"/>
      <c r="S589" s="10"/>
      <c r="T589" s="10"/>
      <c r="U589" s="10"/>
    </row>
    <row r="590" spans="1:21" hidden="1" x14ac:dyDescent="0.2">
      <c r="A590" s="102"/>
      <c r="B590" s="102"/>
      <c r="C590" s="2"/>
      <c r="D590" s="2"/>
      <c r="E590" s="7"/>
      <c r="F590" s="7"/>
      <c r="G590" s="7"/>
      <c r="H590" s="7"/>
      <c r="I590" s="8" t="str">
        <f t="shared" ref="I590:I606" si="54">IF(ISBLANK(C590),"",IF(L590="L","Baixa",IF(L590="A","Média",IF(L590="","","Alta"))))</f>
        <v/>
      </c>
      <c r="J590" s="7" t="str">
        <f t="shared" ref="J590:J606" si="55">CONCATENATE(C590,L590)</f>
        <v/>
      </c>
      <c r="K590" s="3" t="str">
        <f t="shared" ref="K590:K606" si="56">IF(ISBLANK(C590),"",IF(C590="ALI",IF(L590="L",7,IF(L590="A",10,15)),IF(C590="AIE",IF(L590="L",5,IF(L590="A",7,10)),IF(C590="SE",IF(L590="L",4,IF(L590="A",5,7)),IF(OR(C590="EE",C590="CE"),IF(L590="L",3,IF(L590="A",4,6)),0)))))</f>
        <v/>
      </c>
      <c r="L590" s="4" t="str">
        <f t="shared" ref="L590:L606" si="57">IF(OR(ISBLANK(E590),ISBLANK(G590)),IF(OR(C590="ALI",C590="AIE"),"L",IF(OR(C590="EE",C590="SE",C590="CE"),"A","")),IF(C590="EE",IF(G590&gt;=3,IF(E590&gt;=5,"H","A"),IF(G590&gt;=2,IF(E590&gt;=16,"H",IF(E590&lt;=4,"L","A")),IF(E590&lt;=15,"L","A"))),IF(OR(C590="SE",C590="CE"),IF(G590&gt;=4,IF(E590&gt;=6,"H","A"),IF(G590&gt;=2,IF(E590&gt;=20,"H",IF(E590&lt;=5,"L","A")),IF(E590&lt;=19,"L","A"))),IF(OR(C590="ALI",C590="AIE"),IF(G590&gt;=6,IF(E590&gt;=20,"H","A"),IF(G590&gt;=2,IF(E590&gt;=51,"H",IF(E590&lt;=19,"L","A")),IF(E590&lt;=50,"L","A"))),""))))</f>
        <v/>
      </c>
      <c r="M590" s="7" t="str">
        <f t="shared" ref="M590:M606" si="58">CONCATENATE(C590,D590)</f>
        <v/>
      </c>
      <c r="N590" s="9" t="str">
        <f t="shared" ref="N590:N606" si="59">IF(OR(K590="",K590=0),O590,K590)</f>
        <v/>
      </c>
      <c r="O590" s="9" t="str">
        <f>IF(NOT(ISERROR(VLOOKUP(C590,Deflatores!G$42:H$64,2,FALSE))),VLOOKUP(C590,Deflatores!G$42:H$64,2,FALSE),IF(OR(ISBLANK(D590),ISBLANK(C590)),"",VLOOKUP(D590,Deflatores!G$4:H$38,2,FALSE)*K590+VLOOKUP(D590,Deflatores!G$4:I$38,3,FALSE)))</f>
        <v/>
      </c>
      <c r="P590" s="10"/>
      <c r="Q590" s="10"/>
      <c r="R590" s="6"/>
      <c r="S590" s="10"/>
      <c r="T590" s="10"/>
      <c r="U590" s="10"/>
    </row>
    <row r="591" spans="1:21" hidden="1" x14ac:dyDescent="0.2">
      <c r="A591" s="102"/>
      <c r="B591" s="102"/>
      <c r="C591" s="2"/>
      <c r="D591" s="2"/>
      <c r="E591" s="7"/>
      <c r="F591" s="7"/>
      <c r="G591" s="7"/>
      <c r="H591" s="7"/>
      <c r="I591" s="8" t="str">
        <f t="shared" si="54"/>
        <v/>
      </c>
      <c r="J591" s="7" t="str">
        <f t="shared" si="55"/>
        <v/>
      </c>
      <c r="K591" s="3" t="str">
        <f t="shared" si="56"/>
        <v/>
      </c>
      <c r="L591" s="4" t="str">
        <f t="shared" si="57"/>
        <v/>
      </c>
      <c r="M591" s="7" t="str">
        <f t="shared" si="58"/>
        <v/>
      </c>
      <c r="N591" s="9" t="str">
        <f t="shared" si="59"/>
        <v/>
      </c>
      <c r="O591" s="9" t="str">
        <f>IF(NOT(ISERROR(VLOOKUP(C591,Deflatores!G$42:H$64,2,FALSE))),VLOOKUP(C591,Deflatores!G$42:H$64,2,FALSE),IF(OR(ISBLANK(D591),ISBLANK(C591)),"",VLOOKUP(D591,Deflatores!G$4:H$38,2,FALSE)*K591+VLOOKUP(D591,Deflatores!G$4:I$38,3,FALSE)))</f>
        <v/>
      </c>
      <c r="P591" s="10"/>
      <c r="Q591" s="10"/>
      <c r="R591" s="6"/>
      <c r="S591" s="10"/>
      <c r="T591" s="10"/>
      <c r="U591" s="10"/>
    </row>
    <row r="592" spans="1:21" hidden="1" x14ac:dyDescent="0.2">
      <c r="A592" s="102"/>
      <c r="B592" s="102"/>
      <c r="C592" s="2"/>
      <c r="D592" s="2"/>
      <c r="E592" s="7"/>
      <c r="F592" s="7"/>
      <c r="G592" s="7"/>
      <c r="H592" s="7"/>
      <c r="I592" s="8" t="str">
        <f t="shared" si="54"/>
        <v/>
      </c>
      <c r="J592" s="7" t="str">
        <f t="shared" si="55"/>
        <v/>
      </c>
      <c r="K592" s="3" t="str">
        <f t="shared" si="56"/>
        <v/>
      </c>
      <c r="L592" s="4" t="str">
        <f t="shared" si="57"/>
        <v/>
      </c>
      <c r="M592" s="7" t="str">
        <f t="shared" si="58"/>
        <v/>
      </c>
      <c r="N592" s="9" t="str">
        <f t="shared" si="59"/>
        <v/>
      </c>
      <c r="O592" s="9" t="str">
        <f>IF(NOT(ISERROR(VLOOKUP(C592,Deflatores!G$42:H$64,2,FALSE))),VLOOKUP(C592,Deflatores!G$42:H$64,2,FALSE),IF(OR(ISBLANK(D592),ISBLANK(C592)),"",VLOOKUP(D592,Deflatores!G$4:H$38,2,FALSE)*K592+VLOOKUP(D592,Deflatores!G$4:I$38,3,FALSE)))</f>
        <v/>
      </c>
      <c r="P592" s="10"/>
      <c r="Q592" s="10"/>
      <c r="R592" s="6"/>
      <c r="S592" s="10"/>
      <c r="T592" s="10"/>
      <c r="U592" s="10"/>
    </row>
    <row r="593" spans="1:21" hidden="1" x14ac:dyDescent="0.2">
      <c r="A593" s="102"/>
      <c r="B593" s="102"/>
      <c r="C593" s="2"/>
      <c r="D593" s="2"/>
      <c r="E593" s="7"/>
      <c r="F593" s="7"/>
      <c r="G593" s="7"/>
      <c r="H593" s="7"/>
      <c r="I593" s="8" t="str">
        <f t="shared" si="54"/>
        <v/>
      </c>
      <c r="J593" s="7" t="str">
        <f t="shared" si="55"/>
        <v/>
      </c>
      <c r="K593" s="3" t="str">
        <f t="shared" si="56"/>
        <v/>
      </c>
      <c r="L593" s="4" t="str">
        <f t="shared" si="57"/>
        <v/>
      </c>
      <c r="M593" s="7" t="str">
        <f t="shared" si="58"/>
        <v/>
      </c>
      <c r="N593" s="9" t="str">
        <f t="shared" si="59"/>
        <v/>
      </c>
      <c r="O593" s="9" t="str">
        <f>IF(NOT(ISERROR(VLOOKUP(C593,Deflatores!G$42:H$64,2,FALSE))),VLOOKUP(C593,Deflatores!G$42:H$64,2,FALSE),IF(OR(ISBLANK(D593),ISBLANK(C593)),"",VLOOKUP(D593,Deflatores!G$4:H$38,2,FALSE)*K593+VLOOKUP(D593,Deflatores!G$4:I$38,3,FALSE)))</f>
        <v/>
      </c>
      <c r="P593" s="10"/>
      <c r="Q593" s="10"/>
      <c r="R593" s="6"/>
      <c r="S593" s="10"/>
      <c r="T593" s="10"/>
      <c r="U593" s="10"/>
    </row>
    <row r="594" spans="1:21" hidden="1" x14ac:dyDescent="0.2">
      <c r="A594" s="102"/>
      <c r="B594" s="102"/>
      <c r="C594" s="2"/>
      <c r="D594" s="2"/>
      <c r="E594" s="7"/>
      <c r="F594" s="7"/>
      <c r="G594" s="7"/>
      <c r="H594" s="7"/>
      <c r="I594" s="8" t="str">
        <f t="shared" si="54"/>
        <v/>
      </c>
      <c r="J594" s="7" t="str">
        <f t="shared" si="55"/>
        <v/>
      </c>
      <c r="K594" s="3" t="str">
        <f t="shared" si="56"/>
        <v/>
      </c>
      <c r="L594" s="4" t="str">
        <f t="shared" si="57"/>
        <v/>
      </c>
      <c r="M594" s="7" t="str">
        <f t="shared" si="58"/>
        <v/>
      </c>
      <c r="N594" s="9" t="str">
        <f t="shared" si="59"/>
        <v/>
      </c>
      <c r="O594" s="9" t="str">
        <f>IF(NOT(ISERROR(VLOOKUP(C594,Deflatores!G$42:H$64,2,FALSE))),VLOOKUP(C594,Deflatores!G$42:H$64,2,FALSE),IF(OR(ISBLANK(D594),ISBLANK(C594)),"",VLOOKUP(D594,Deflatores!G$4:H$38,2,FALSE)*K594+VLOOKUP(D594,Deflatores!G$4:I$38,3,FALSE)))</f>
        <v/>
      </c>
      <c r="P594" s="10"/>
      <c r="Q594" s="10"/>
      <c r="R594" s="6"/>
      <c r="S594" s="10"/>
      <c r="T594" s="10"/>
      <c r="U594" s="10"/>
    </row>
    <row r="595" spans="1:21" hidden="1" x14ac:dyDescent="0.2">
      <c r="A595" s="102"/>
      <c r="B595" s="102"/>
      <c r="C595" s="2"/>
      <c r="D595" s="2"/>
      <c r="E595" s="7"/>
      <c r="F595" s="7"/>
      <c r="G595" s="7"/>
      <c r="H595" s="7"/>
      <c r="I595" s="8" t="str">
        <f t="shared" si="54"/>
        <v/>
      </c>
      <c r="J595" s="7" t="str">
        <f t="shared" si="55"/>
        <v/>
      </c>
      <c r="K595" s="3" t="str">
        <f t="shared" si="56"/>
        <v/>
      </c>
      <c r="L595" s="4" t="str">
        <f t="shared" si="57"/>
        <v/>
      </c>
      <c r="M595" s="7" t="str">
        <f t="shared" si="58"/>
        <v/>
      </c>
      <c r="N595" s="9" t="str">
        <f t="shared" si="59"/>
        <v/>
      </c>
      <c r="O595" s="9" t="str">
        <f>IF(NOT(ISERROR(VLOOKUP(C595,Deflatores!G$42:H$64,2,FALSE))),VLOOKUP(C595,Deflatores!G$42:H$64,2,FALSE),IF(OR(ISBLANK(D595),ISBLANK(C595)),"",VLOOKUP(D595,Deflatores!G$4:H$38,2,FALSE)*K595+VLOOKUP(D595,Deflatores!G$4:I$38,3,FALSE)))</f>
        <v/>
      </c>
      <c r="P595" s="10"/>
      <c r="Q595" s="10"/>
      <c r="R595" s="6"/>
      <c r="S595" s="10"/>
      <c r="T595" s="10"/>
      <c r="U595" s="10"/>
    </row>
    <row r="596" spans="1:21" hidden="1" x14ac:dyDescent="0.2">
      <c r="A596" s="102"/>
      <c r="B596" s="102"/>
      <c r="C596" s="2"/>
      <c r="D596" s="2"/>
      <c r="E596" s="7"/>
      <c r="F596" s="7"/>
      <c r="G596" s="7"/>
      <c r="H596" s="7"/>
      <c r="I596" s="8" t="str">
        <f t="shared" si="54"/>
        <v/>
      </c>
      <c r="J596" s="7" t="str">
        <f t="shared" si="55"/>
        <v/>
      </c>
      <c r="K596" s="3" t="str">
        <f t="shared" si="56"/>
        <v/>
      </c>
      <c r="L596" s="4" t="str">
        <f t="shared" si="57"/>
        <v/>
      </c>
      <c r="M596" s="7" t="str">
        <f t="shared" si="58"/>
        <v/>
      </c>
      <c r="N596" s="9" t="str">
        <f t="shared" si="59"/>
        <v/>
      </c>
      <c r="O596" s="9" t="str">
        <f>IF(NOT(ISERROR(VLOOKUP(C596,Deflatores!G$42:H$64,2,FALSE))),VLOOKUP(C596,Deflatores!G$42:H$64,2,FALSE),IF(OR(ISBLANK(D596),ISBLANK(C596)),"",VLOOKUP(D596,Deflatores!G$4:H$38,2,FALSE)*K596+VLOOKUP(D596,Deflatores!G$4:I$38,3,FALSE)))</f>
        <v/>
      </c>
      <c r="P596" s="10"/>
      <c r="Q596" s="10"/>
      <c r="R596" s="6"/>
      <c r="S596" s="10"/>
      <c r="T596" s="10"/>
      <c r="U596" s="10"/>
    </row>
    <row r="597" spans="1:21" hidden="1" x14ac:dyDescent="0.2">
      <c r="A597" s="102"/>
      <c r="B597" s="102"/>
      <c r="C597" s="2"/>
      <c r="D597" s="2"/>
      <c r="E597" s="7"/>
      <c r="F597" s="7"/>
      <c r="G597" s="7"/>
      <c r="H597" s="7"/>
      <c r="I597" s="8" t="str">
        <f t="shared" si="54"/>
        <v/>
      </c>
      <c r="J597" s="7" t="str">
        <f t="shared" si="55"/>
        <v/>
      </c>
      <c r="K597" s="3" t="str">
        <f t="shared" si="56"/>
        <v/>
      </c>
      <c r="L597" s="4" t="str">
        <f t="shared" si="57"/>
        <v/>
      </c>
      <c r="M597" s="7" t="str">
        <f t="shared" si="58"/>
        <v/>
      </c>
      <c r="N597" s="9" t="str">
        <f t="shared" si="59"/>
        <v/>
      </c>
      <c r="O597" s="9" t="str">
        <f>IF(NOT(ISERROR(VLOOKUP(C597,Deflatores!G$42:H$64,2,FALSE))),VLOOKUP(C597,Deflatores!G$42:H$64,2,FALSE),IF(OR(ISBLANK(D597),ISBLANK(C597)),"",VLOOKUP(D597,Deflatores!G$4:H$38,2,FALSE)*K597+VLOOKUP(D597,Deflatores!G$4:I$38,3,FALSE)))</f>
        <v/>
      </c>
      <c r="P597" s="10"/>
      <c r="Q597" s="10"/>
      <c r="R597" s="6"/>
      <c r="S597" s="10"/>
      <c r="T597" s="10"/>
      <c r="U597" s="10"/>
    </row>
    <row r="598" spans="1:21" hidden="1" x14ac:dyDescent="0.2">
      <c r="A598" s="102"/>
      <c r="B598" s="102"/>
      <c r="C598" s="2"/>
      <c r="D598" s="2"/>
      <c r="E598" s="7"/>
      <c r="F598" s="7"/>
      <c r="G598" s="7"/>
      <c r="H598" s="7"/>
      <c r="I598" s="8" t="str">
        <f t="shared" si="54"/>
        <v/>
      </c>
      <c r="J598" s="7" t="str">
        <f t="shared" si="55"/>
        <v/>
      </c>
      <c r="K598" s="3" t="str">
        <f t="shared" si="56"/>
        <v/>
      </c>
      <c r="L598" s="4" t="str">
        <f t="shared" si="57"/>
        <v/>
      </c>
      <c r="M598" s="7" t="str">
        <f t="shared" si="58"/>
        <v/>
      </c>
      <c r="N598" s="9" t="str">
        <f t="shared" si="59"/>
        <v/>
      </c>
      <c r="O598" s="9" t="str">
        <f>IF(NOT(ISERROR(VLOOKUP(C598,Deflatores!G$42:H$64,2,FALSE))),VLOOKUP(C598,Deflatores!G$42:H$64,2,FALSE),IF(OR(ISBLANK(D598),ISBLANK(C598)),"",VLOOKUP(D598,Deflatores!G$4:H$38,2,FALSE)*K598+VLOOKUP(D598,Deflatores!G$4:I$38,3,FALSE)))</f>
        <v/>
      </c>
      <c r="P598" s="10"/>
      <c r="Q598" s="10"/>
      <c r="R598" s="6"/>
      <c r="S598" s="10"/>
      <c r="T598" s="10"/>
      <c r="U598" s="10"/>
    </row>
    <row r="599" spans="1:21" hidden="1" x14ac:dyDescent="0.2">
      <c r="A599" s="102"/>
      <c r="B599" s="102"/>
      <c r="C599" s="2"/>
      <c r="D599" s="2"/>
      <c r="E599" s="7"/>
      <c r="F599" s="7"/>
      <c r="G599" s="7"/>
      <c r="H599" s="7"/>
      <c r="I599" s="8" t="str">
        <f t="shared" si="54"/>
        <v/>
      </c>
      <c r="J599" s="7" t="str">
        <f t="shared" si="55"/>
        <v/>
      </c>
      <c r="K599" s="3" t="str">
        <f t="shared" si="56"/>
        <v/>
      </c>
      <c r="L599" s="4" t="str">
        <f t="shared" si="57"/>
        <v/>
      </c>
      <c r="M599" s="7" t="str">
        <f t="shared" si="58"/>
        <v/>
      </c>
      <c r="N599" s="9" t="str">
        <f t="shared" si="59"/>
        <v/>
      </c>
      <c r="O599" s="9" t="str">
        <f>IF(NOT(ISERROR(VLOOKUP(C599,Deflatores!G$42:H$64,2,FALSE))),VLOOKUP(C599,Deflatores!G$42:H$64,2,FALSE),IF(OR(ISBLANK(D599),ISBLANK(C599)),"",VLOOKUP(D599,Deflatores!G$4:H$38,2,FALSE)*K599+VLOOKUP(D599,Deflatores!G$4:I$38,3,FALSE)))</f>
        <v/>
      </c>
      <c r="P599" s="10"/>
      <c r="Q599" s="10"/>
      <c r="R599" s="6"/>
      <c r="S599" s="10"/>
      <c r="T599" s="10"/>
      <c r="U599" s="10"/>
    </row>
    <row r="600" spans="1:21" hidden="1" x14ac:dyDescent="0.2">
      <c r="A600" s="102"/>
      <c r="B600" s="102"/>
      <c r="C600" s="2"/>
      <c r="D600" s="2"/>
      <c r="E600" s="7"/>
      <c r="F600" s="7"/>
      <c r="G600" s="7"/>
      <c r="H600" s="7"/>
      <c r="I600" s="8" t="str">
        <f t="shared" si="54"/>
        <v/>
      </c>
      <c r="J600" s="7" t="str">
        <f t="shared" si="55"/>
        <v/>
      </c>
      <c r="K600" s="3" t="str">
        <f t="shared" si="56"/>
        <v/>
      </c>
      <c r="L600" s="4" t="str">
        <f t="shared" si="57"/>
        <v/>
      </c>
      <c r="M600" s="7" t="str">
        <f t="shared" si="58"/>
        <v/>
      </c>
      <c r="N600" s="9" t="str">
        <f t="shared" si="59"/>
        <v/>
      </c>
      <c r="O600" s="9" t="str">
        <f>IF(NOT(ISERROR(VLOOKUP(C600,Deflatores!G$42:H$64,2,FALSE))),VLOOKUP(C600,Deflatores!G$42:H$64,2,FALSE),IF(OR(ISBLANK(D600),ISBLANK(C600)),"",VLOOKUP(D600,Deflatores!G$4:H$38,2,FALSE)*K600+VLOOKUP(D600,Deflatores!G$4:I$38,3,FALSE)))</f>
        <v/>
      </c>
      <c r="P600" s="10"/>
      <c r="Q600" s="10"/>
      <c r="R600" s="6"/>
      <c r="S600" s="10"/>
      <c r="T600" s="10"/>
      <c r="U600" s="10"/>
    </row>
    <row r="601" spans="1:21" hidden="1" x14ac:dyDescent="0.2">
      <c r="A601" s="102"/>
      <c r="B601" s="102"/>
      <c r="C601" s="2"/>
      <c r="D601" s="2"/>
      <c r="E601" s="7"/>
      <c r="F601" s="7"/>
      <c r="G601" s="7"/>
      <c r="H601" s="7"/>
      <c r="I601" s="8" t="str">
        <f t="shared" si="54"/>
        <v/>
      </c>
      <c r="J601" s="7" t="str">
        <f t="shared" si="55"/>
        <v/>
      </c>
      <c r="K601" s="3" t="str">
        <f t="shared" si="56"/>
        <v/>
      </c>
      <c r="L601" s="4" t="str">
        <f t="shared" si="57"/>
        <v/>
      </c>
      <c r="M601" s="7" t="str">
        <f t="shared" si="58"/>
        <v/>
      </c>
      <c r="N601" s="9" t="str">
        <f t="shared" si="59"/>
        <v/>
      </c>
      <c r="O601" s="9" t="str">
        <f>IF(NOT(ISERROR(VLOOKUP(C601,Deflatores!G$42:H$64,2,FALSE))),VLOOKUP(C601,Deflatores!G$42:H$64,2,FALSE),IF(OR(ISBLANK(D601),ISBLANK(C601)),"",VLOOKUP(D601,Deflatores!G$4:H$38,2,FALSE)*K601+VLOOKUP(D601,Deflatores!G$4:I$38,3,FALSE)))</f>
        <v/>
      </c>
      <c r="P601" s="10"/>
      <c r="Q601" s="10"/>
      <c r="R601" s="6"/>
      <c r="S601" s="10"/>
      <c r="T601" s="10"/>
      <c r="U601" s="10"/>
    </row>
    <row r="602" spans="1:21" hidden="1" x14ac:dyDescent="0.2">
      <c r="A602" s="102"/>
      <c r="B602" s="102"/>
      <c r="C602" s="2"/>
      <c r="D602" s="2"/>
      <c r="E602" s="7"/>
      <c r="F602" s="7"/>
      <c r="G602" s="7"/>
      <c r="H602" s="7"/>
      <c r="I602" s="8" t="str">
        <f t="shared" si="54"/>
        <v/>
      </c>
      <c r="J602" s="7" t="str">
        <f t="shared" si="55"/>
        <v/>
      </c>
      <c r="K602" s="3" t="str">
        <f t="shared" si="56"/>
        <v/>
      </c>
      <c r="L602" s="4" t="str">
        <f t="shared" si="57"/>
        <v/>
      </c>
      <c r="M602" s="7" t="str">
        <f t="shared" si="58"/>
        <v/>
      </c>
      <c r="N602" s="9" t="str">
        <f t="shared" si="59"/>
        <v/>
      </c>
      <c r="O602" s="9" t="str">
        <f>IF(NOT(ISERROR(VLOOKUP(C602,Deflatores!G$42:H$64,2,FALSE))),VLOOKUP(C602,Deflatores!G$42:H$64,2,FALSE),IF(OR(ISBLANK(D602),ISBLANK(C602)),"",VLOOKUP(D602,Deflatores!G$4:H$38,2,FALSE)*K602+VLOOKUP(D602,Deflatores!G$4:I$38,3,FALSE)))</f>
        <v/>
      </c>
      <c r="P602" s="10"/>
      <c r="Q602" s="10"/>
      <c r="R602" s="6"/>
      <c r="S602" s="10"/>
      <c r="T602" s="10"/>
      <c r="U602" s="10"/>
    </row>
    <row r="603" spans="1:21" hidden="1" x14ac:dyDescent="0.2">
      <c r="A603" s="102"/>
      <c r="B603" s="102"/>
      <c r="C603" s="2"/>
      <c r="D603" s="2"/>
      <c r="E603" s="7"/>
      <c r="F603" s="7"/>
      <c r="G603" s="7"/>
      <c r="H603" s="7"/>
      <c r="I603" s="8" t="str">
        <f t="shared" si="54"/>
        <v/>
      </c>
      <c r="J603" s="7" t="str">
        <f t="shared" si="55"/>
        <v/>
      </c>
      <c r="K603" s="3" t="str">
        <f t="shared" si="56"/>
        <v/>
      </c>
      <c r="L603" s="4" t="str">
        <f t="shared" si="57"/>
        <v/>
      </c>
      <c r="M603" s="7" t="str">
        <f t="shared" si="58"/>
        <v/>
      </c>
      <c r="N603" s="9" t="str">
        <f t="shared" si="59"/>
        <v/>
      </c>
      <c r="O603" s="9" t="str">
        <f>IF(NOT(ISERROR(VLOOKUP(C603,Deflatores!G$42:H$64,2,FALSE))),VLOOKUP(C603,Deflatores!G$42:H$64,2,FALSE),IF(OR(ISBLANK(D603),ISBLANK(C603)),"",VLOOKUP(D603,Deflatores!G$4:H$38,2,FALSE)*K603+VLOOKUP(D603,Deflatores!G$4:I$38,3,FALSE)))</f>
        <v/>
      </c>
      <c r="P603" s="10"/>
      <c r="Q603" s="10"/>
      <c r="R603" s="6"/>
      <c r="S603" s="10"/>
      <c r="T603" s="10"/>
      <c r="U603" s="10"/>
    </row>
    <row r="604" spans="1:21" hidden="1" x14ac:dyDescent="0.2">
      <c r="A604" s="102"/>
      <c r="B604" s="102"/>
      <c r="C604" s="2"/>
      <c r="D604" s="2"/>
      <c r="E604" s="7"/>
      <c r="F604" s="7"/>
      <c r="G604" s="7"/>
      <c r="H604" s="7"/>
      <c r="I604" s="8" t="str">
        <f t="shared" si="54"/>
        <v/>
      </c>
      <c r="J604" s="7" t="str">
        <f t="shared" si="55"/>
        <v/>
      </c>
      <c r="K604" s="3" t="str">
        <f t="shared" si="56"/>
        <v/>
      </c>
      <c r="L604" s="4" t="str">
        <f t="shared" si="57"/>
        <v/>
      </c>
      <c r="M604" s="7" t="str">
        <f t="shared" si="58"/>
        <v/>
      </c>
      <c r="N604" s="9" t="str">
        <f t="shared" si="59"/>
        <v/>
      </c>
      <c r="O604" s="9" t="str">
        <f>IF(NOT(ISERROR(VLOOKUP(C604,Deflatores!G$42:H$64,2,FALSE))),VLOOKUP(C604,Deflatores!G$42:H$64,2,FALSE),IF(OR(ISBLANK(D604),ISBLANK(C604)),"",VLOOKUP(D604,Deflatores!G$4:H$38,2,FALSE)*K604+VLOOKUP(D604,Deflatores!G$4:I$38,3,FALSE)))</f>
        <v/>
      </c>
      <c r="P604" s="10"/>
      <c r="Q604" s="10"/>
      <c r="R604" s="6"/>
      <c r="S604" s="10"/>
      <c r="T604" s="10"/>
      <c r="U604" s="10"/>
    </row>
    <row r="605" spans="1:21" hidden="1" x14ac:dyDescent="0.2">
      <c r="A605" s="102"/>
      <c r="B605" s="102"/>
      <c r="C605" s="2"/>
      <c r="D605" s="2"/>
      <c r="E605" s="7"/>
      <c r="F605" s="7"/>
      <c r="G605" s="7"/>
      <c r="H605" s="7"/>
      <c r="I605" s="8" t="str">
        <f t="shared" si="54"/>
        <v/>
      </c>
      <c r="J605" s="7" t="str">
        <f t="shared" si="55"/>
        <v/>
      </c>
      <c r="K605" s="3" t="str">
        <f t="shared" si="56"/>
        <v/>
      </c>
      <c r="L605" s="4" t="str">
        <f t="shared" si="57"/>
        <v/>
      </c>
      <c r="M605" s="7" t="str">
        <f t="shared" si="58"/>
        <v/>
      </c>
      <c r="N605" s="9" t="str">
        <f t="shared" si="59"/>
        <v/>
      </c>
      <c r="O605" s="9" t="str">
        <f>IF(NOT(ISERROR(VLOOKUP(C605,Deflatores!G$42:H$64,2,FALSE))),VLOOKUP(C605,Deflatores!G$42:H$64,2,FALSE),IF(OR(ISBLANK(D605),ISBLANK(C605)),"",VLOOKUP(D605,Deflatores!G$4:H$38,2,FALSE)*K605+VLOOKUP(D605,Deflatores!G$4:I$38,3,FALSE)))</f>
        <v/>
      </c>
      <c r="P605" s="10"/>
      <c r="Q605" s="10"/>
      <c r="R605" s="6"/>
      <c r="S605" s="10"/>
      <c r="T605" s="10"/>
      <c r="U605" s="10"/>
    </row>
    <row r="606" spans="1:21" ht="13.5" hidden="1" thickBot="1" x14ac:dyDescent="0.25">
      <c r="A606" s="103"/>
      <c r="B606" s="103"/>
      <c r="C606" s="11"/>
      <c r="D606" s="11"/>
      <c r="E606" s="12"/>
      <c r="F606" s="12"/>
      <c r="G606" s="12"/>
      <c r="H606" s="12"/>
      <c r="I606" s="13" t="str">
        <f t="shared" si="54"/>
        <v/>
      </c>
      <c r="J606" s="7" t="str">
        <f t="shared" si="55"/>
        <v/>
      </c>
      <c r="K606" s="14" t="str">
        <f t="shared" si="56"/>
        <v/>
      </c>
      <c r="L606" s="4" t="str">
        <f t="shared" si="57"/>
        <v/>
      </c>
      <c r="M606" s="7" t="str">
        <f t="shared" si="58"/>
        <v/>
      </c>
      <c r="N606" s="15" t="str">
        <f t="shared" si="59"/>
        <v/>
      </c>
      <c r="O606" s="9" t="str">
        <f>IF(NOT(ISERROR(VLOOKUP(C606,Deflatores!G$42:H$64,2,FALSE))),VLOOKUP(C606,Deflatores!G$42:H$64,2,FALSE),IF(OR(ISBLANK(D606),ISBLANK(C606)),"",VLOOKUP(D606,Deflatores!G$4:H$38,2,FALSE)*K606+VLOOKUP(D606,Deflatores!G$4:I$38,3,FALSE)))</f>
        <v/>
      </c>
      <c r="P606" s="16"/>
      <c r="Q606" s="16"/>
      <c r="R606" s="17"/>
      <c r="S606" s="16"/>
      <c r="T606" s="16"/>
      <c r="U606" s="16"/>
    </row>
  </sheetData>
  <protectedRanges>
    <protectedRange algorithmName="SHA-512" hashValue="zu+VPVeZ+sLzRcFVTU+tlNZsJpZSk+sJcNkkG9rScrRNqgWKiOjc+Z0frmuATVlFCRbOwaQu87xpfpyEHlzzIQ==" saltValue="NIjMJbmh8uxC7cujpRee4A==" spinCount="100000" sqref="T8:T11" name="Fábrica_Métricas_6_1"/>
    <protectedRange algorithmName="SHA-512" hashValue="zu+VPVeZ+sLzRcFVTU+tlNZsJpZSk+sJcNkkG9rScrRNqgWKiOjc+Z0frmuATVlFCRbOwaQu87xpfpyEHlzzIQ==" saltValue="NIjMJbmh8uxC7cujpRee4A==" spinCount="100000" sqref="Q8:Q11" name="Fábrica_Métricas_6"/>
    <protectedRange algorithmName="SHA-512" hashValue="zu+VPVeZ+sLzRcFVTU+tlNZsJpZSk+sJcNkkG9rScrRNqgWKiOjc+Z0frmuATVlFCRbOwaQu87xpfpyEHlzzIQ==" saltValue="NIjMJbmh8uxC7cujpRee4A==" spinCount="100000" sqref="B8:B12" name="Fábrica_Métricas_3"/>
    <protectedRange algorithmName="SHA-512" hashValue="DcqTaSRA8KvTuc5/21tUqI8eK8DUPeaLsqWGjTUcMBt4uGrTDRzezrSXAkcwoCMdiyrbiVt3GozrEzjQbkM5cw==" saltValue="WRFh1xXjcvB7uN96quGPbg==" spinCount="100000" sqref="B8:B12" name="FSW_3"/>
    <protectedRange algorithmName="SHA-512" hashValue="aqOsBu875b5oTXbrsojuDkSrRRx5JUNR2JjEmG1Zio8HxmlDcRWhqjChsr/icjar5VE5bQYesSfrgFzxc3fPGA==" saltValue="A7n5HFECYdj5Qc74C2i0TA==" spinCount="100000" sqref="B13" name="FSW_1_1_1"/>
    <protectedRange algorithmName="SHA-512" hashValue="zu+VPVeZ+sLzRcFVTU+tlNZsJpZSk+sJcNkkG9rScrRNqgWKiOjc+Z0frmuATVlFCRbOwaQu87xpfpyEHlzzIQ==" saltValue="NIjMJbmh8uxC7cujpRee4A==" spinCount="100000" sqref="Q12:Q13" name="Fábrica_Métricas_2_1"/>
    <protectedRange algorithmName="SHA-512" hashValue="b86W7wwU/V3CusrEcXLabmcZEVlOxHUu1ZRfufKlqTcHyDUN8LpwbtxWNG5ZCi40TfVhf7Rh2naIa2uhRWgSrA==" saltValue="q/pDekxjQvRdTAvWjYHu9g==" spinCount="100000" sqref="R12:T12 S13:T13 U8:U11 R8:S11" name="Fábrica_Métricas_2"/>
    <protectedRange algorithmName="SHA-512" hashValue="/7xI91A99FqcPGKxhMlbxfR+XBp7vfOvWupdQ4wH9o9G0NWBPzJqJkUFqW/x1Bsrj+pJMbTziCOW1gIPJPM4Wg==" saltValue="81PXGy6mayUaTln/K4mrVA==" spinCount="100000" sqref="R8:R12 P8:P13" name="FSW_2"/>
    <protectedRange algorithmName="SHA-512" hashValue="/7xI91A99FqcPGKxhMlbxfR+XBp7vfOvWupdQ4wH9o9G0NWBPzJqJkUFqW/x1Bsrj+pJMbTziCOW1gIPJPM4Wg==" saltValue="81PXGy6mayUaTln/K4mrVA==" spinCount="100000" sqref="C8:H11 D12:D13" name="FSW_1"/>
    <protectedRange algorithmName="SHA-512" hashValue="FIACELnIib6GyZ00pKAeLXukwge1hsGRFDU3ewouqSr/sek7IjqzqW/X7T3F+pHwpm6O84mWQoJrQS5UVH/xrA==" saltValue="in4DGhOl+82RpLmmM7UgZQ==" spinCount="100000" sqref="C12:C13 E12:H13 R13 A8:A107" name="FSW"/>
    <protectedRange algorithmName="SHA-512" hashValue="g9lPsOFvUgN3B6wBcR83a/xG/IXAPVOIH3h94MurYktoYYRGK/savhiQvKXNtbe+jQHVxSGpLf008LWAMm+mRQ==" saltValue="NZsMVMVD2GTWmsCz9XZSvA==" spinCount="100000" sqref="S14:U49 U12:U13 S7:U7" name="Fábrica_Métricas"/>
  </protectedRanges>
  <mergeCells count="9">
    <mergeCell ref="R8:R11"/>
    <mergeCell ref="S8:S11"/>
    <mergeCell ref="B1:R3"/>
    <mergeCell ref="C4:M4"/>
    <mergeCell ref="C5:M5"/>
    <mergeCell ref="C6:M6"/>
    <mergeCell ref="A6:B6"/>
    <mergeCell ref="A5:B5"/>
    <mergeCell ref="A4:B4"/>
  </mergeCells>
  <conditionalFormatting sqref="C8:C55">
    <cfRule type="cellIs" dxfId="3" priority="1" operator="between">
      <formula>"Desenvolvimento"</formula>
      <formula>"Manutenção"</formula>
    </cfRule>
  </conditionalFormatting>
  <conditionalFormatting sqref="D8:D606">
    <cfRule type="cellIs" dxfId="2" priority="2" stopIfTrue="1" operator="equal">
      <formula>"I"</formula>
    </cfRule>
    <cfRule type="cellIs" dxfId="1" priority="3" stopIfTrue="1" operator="equal">
      <formula>"A"</formula>
    </cfRule>
    <cfRule type="cellIs" dxfId="0" priority="4" stopIfTrue="1" operator="equal">
      <formula>"E"</formula>
    </cfRule>
  </conditionalFormatting>
  <dataValidations xWindow="703" yWindow="417" count="5">
    <dataValidation type="list" operator="equal" allowBlank="1" showInputMessage="1" showErrorMessage="1" promptTitle="Tipo de Manutenção na Função" prompt="I, A, E _x000a_ou_x000a_Itens não mensuráveis" sqref="D14:D606" xr:uid="{E6DF442D-73CB-4E6E-9022-121FD5EAFCD9}">
      <formula1>TiposDeManutencao</formula1>
      <formula2>0</formula2>
    </dataValidation>
    <dataValidation type="list" operator="equal" allowBlank="1" showInputMessage="1" showErrorMessage="1" promptTitle="Tipo da Função" prompt="ALI, AIE, EE, SE, CE_x000a_ou_x000a_Itens não mensuráveis" sqref="C56:C606" xr:uid="{F7E9B0F8-1A9B-4130-A50D-94DC21E3A51D}">
      <formula1>TiposDeFuncao</formula1>
      <formula2>0</formula2>
    </dataValidation>
    <dataValidation type="list" allowBlank="1" showInputMessage="1" showErrorMessage="1" sqref="A8:A107" xr:uid="{A6A63AD0-5F60-46C2-923A-56F813C39D9C}">
      <formula1>"VALIDADO,DIVERGENTE"</formula1>
    </dataValidation>
    <dataValidation type="list" allowBlank="1" showInputMessage="1" showErrorMessage="1" promptTitle="Parecer Final (Reunião)" prompt="Será um alinhamento de tomada de decisão em reunião entre as partes envolvidas sobre a decisão da contratante." sqref="U8:U55" xr:uid="{A0563F69-EBA2-496E-8559-52098ECBB127}">
      <formula1>"ACEITO, REJEITADO, Aguardando Ajustes FSW"</formula1>
    </dataValidation>
    <dataValidation type="list" allowBlank="1" showInputMessage="1" showErrorMessage="1" errorTitle="Erro" error="Selecione uma das opções apresentada" sqref="C8:C55" xr:uid="{6AC550A2-B62F-4358-AB7D-7FCA5C0E1EB6}">
      <formula1>"-------,EE,SE,CE,ALI,AIE"</formula1>
      <formula2>0</formula2>
    </dataValidation>
  </dataValidations>
  <pageMargins left="0.70833333333333337" right="0.70833333333333337" top="0.74791666666666667" bottom="0.74861111111111112" header="0.51180555555555551" footer="0.31527777777777777"/>
  <pageSetup paperSize="9" scale="30" firstPageNumber="0" fitToHeight="0" orientation="landscape" horizontalDpi="300" verticalDpi="300" r:id="rId1"/>
  <headerFooter alignWithMargins="0">
    <oddFooter>&amp;CPágina &amp;P de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5336-8029-4825-BFDB-AF7999BA0EC2}">
  <sheetPr codeName="Plan3"/>
  <dimension ref="A1:L64"/>
  <sheetViews>
    <sheetView showGridLines="0" topLeftCell="B1" zoomScaleNormal="100" zoomScaleSheetLayoutView="100" workbookViewId="0">
      <pane ySplit="1" topLeftCell="A2" activePane="bottomLeft" state="frozen"/>
      <selection activeCell="B11" sqref="B11"/>
      <selection pane="bottomLeft" activeCell="F10" sqref="F10"/>
    </sheetView>
  </sheetViews>
  <sheetFormatPr defaultColWidth="11.5703125" defaultRowHeight="12.75" x14ac:dyDescent="0.2"/>
  <cols>
    <col min="4" max="4" width="10.5703125" customWidth="1"/>
    <col min="5" max="5" width="23.42578125" customWidth="1"/>
    <col min="6" max="6" width="53.42578125" customWidth="1"/>
    <col min="7" max="7" width="7.5703125" style="18" customWidth="1"/>
    <col min="8" max="8" width="13.42578125" style="19" customWidth="1"/>
    <col min="9" max="9" width="9.85546875" style="19" customWidth="1"/>
    <col min="10" max="11" width="10.5703125" customWidth="1"/>
    <col min="12" max="12" width="0" style="18" hidden="1" customWidth="1"/>
  </cols>
  <sheetData>
    <row r="1" spans="1:12" ht="50.25" customHeight="1" x14ac:dyDescent="0.25">
      <c r="A1" s="183" t="s">
        <v>50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20"/>
    </row>
    <row r="2" spans="1:12" ht="14.85" customHeight="1" x14ac:dyDescent="0.2">
      <c r="A2" s="217" t="s">
        <v>51</v>
      </c>
      <c r="B2" s="217"/>
      <c r="C2" s="217"/>
      <c r="D2" s="217"/>
      <c r="E2" s="217"/>
      <c r="F2" s="217"/>
      <c r="G2" s="215" t="s">
        <v>52</v>
      </c>
      <c r="H2" s="215" t="s">
        <v>53</v>
      </c>
      <c r="I2" s="215"/>
      <c r="J2" s="222" t="s">
        <v>22</v>
      </c>
      <c r="K2" s="224" t="s">
        <v>7</v>
      </c>
    </row>
    <row r="3" spans="1:12" ht="14.85" customHeight="1" x14ac:dyDescent="0.2">
      <c r="A3" s="174" t="s">
        <v>54</v>
      </c>
      <c r="B3" s="215" t="s">
        <v>55</v>
      </c>
      <c r="C3" s="215"/>
      <c r="D3" s="215"/>
      <c r="E3" s="215"/>
      <c r="F3" s="173" t="s">
        <v>56</v>
      </c>
      <c r="G3" s="215"/>
      <c r="H3" s="173" t="s">
        <v>57</v>
      </c>
      <c r="I3" s="173" t="s">
        <v>58</v>
      </c>
      <c r="J3" s="223"/>
      <c r="K3" s="225"/>
    </row>
    <row r="4" spans="1:12" x14ac:dyDescent="0.2">
      <c r="A4" s="176" t="s">
        <v>59</v>
      </c>
      <c r="B4" s="181" t="s">
        <v>60</v>
      </c>
      <c r="C4" s="181"/>
      <c r="D4" s="181"/>
      <c r="E4" s="181"/>
      <c r="F4" s="171"/>
      <c r="G4" s="21" t="s">
        <v>61</v>
      </c>
      <c r="H4" s="85">
        <v>1</v>
      </c>
      <c r="I4" s="86"/>
      <c r="J4" s="87">
        <f>SUMIF(Contagem_PF!$C$8:$C$606,Deflatores!G4,Contagem_PF!$J$8:$J$606)</f>
        <v>0</v>
      </c>
      <c r="K4" s="88">
        <f>IF(H4="",COUNTIF(Contagem_PF!C$8:C$606,G4)*I4,H4*J4)</f>
        <v>0</v>
      </c>
    </row>
    <row r="5" spans="1:12" x14ac:dyDescent="0.2">
      <c r="A5" s="176" t="s">
        <v>62</v>
      </c>
      <c r="B5" s="181" t="s">
        <v>63</v>
      </c>
      <c r="C5" s="181"/>
      <c r="D5" s="181"/>
      <c r="E5" s="181"/>
      <c r="F5" s="171" t="s">
        <v>64</v>
      </c>
      <c r="G5" s="21" t="s">
        <v>65</v>
      </c>
      <c r="H5" s="85">
        <v>0.5</v>
      </c>
      <c r="I5" s="86"/>
      <c r="J5" s="87">
        <f>SUMIF(Contagem_PF!$C$8:$C$606,Deflatores!G5,Contagem_PF!$J$8:$J$606)</f>
        <v>0</v>
      </c>
      <c r="K5" s="88">
        <f>IF(H5="",COUNTIF(Contagem_PF!C$8:C$606,G5)*I5,H5*J5)</f>
        <v>0</v>
      </c>
    </row>
    <row r="6" spans="1:12" x14ac:dyDescent="0.2">
      <c r="A6" s="176" t="s">
        <v>66</v>
      </c>
      <c r="B6" s="181" t="s">
        <v>67</v>
      </c>
      <c r="C6" s="181"/>
      <c r="D6" s="181"/>
      <c r="E6" s="181"/>
      <c r="F6" s="171" t="s">
        <v>64</v>
      </c>
      <c r="G6" s="21" t="s">
        <v>68</v>
      </c>
      <c r="H6" s="85">
        <v>0.4</v>
      </c>
      <c r="I6" s="86"/>
      <c r="J6" s="87">
        <f>SUMIF(Contagem_PF!$C$8:$C$606,Deflatores!G6,Contagem_PF!$J$8:$J$606)</f>
        <v>0</v>
      </c>
      <c r="K6" s="88">
        <f>IF(H6="",COUNTIF(Contagem_PF!C$8:C$606,G6)*I6,H6*J6)</f>
        <v>0</v>
      </c>
    </row>
    <row r="7" spans="1:12" x14ac:dyDescent="0.2">
      <c r="A7" s="176"/>
      <c r="B7" s="181" t="s">
        <v>69</v>
      </c>
      <c r="C7" s="181"/>
      <c r="D7" s="181"/>
      <c r="E7" s="181"/>
      <c r="F7" s="171" t="s">
        <v>64</v>
      </c>
      <c r="G7" s="21" t="s">
        <v>70</v>
      </c>
      <c r="H7" s="85">
        <v>0.5</v>
      </c>
      <c r="I7" s="86"/>
      <c r="J7" s="87">
        <f>SUMIF(Contagem_PF!$C$8:$C$606,Deflatores!G7,Contagem_PF!$J$8:$J$606)</f>
        <v>0</v>
      </c>
      <c r="K7" s="88">
        <f>IF(H7="",COUNTIF(Contagem_PF!C$8:C$606,G7)*I7,H7*J7)</f>
        <v>0</v>
      </c>
    </row>
    <row r="8" spans="1:12" x14ac:dyDescent="0.2">
      <c r="A8" s="176"/>
      <c r="B8" s="181" t="s">
        <v>71</v>
      </c>
      <c r="C8" s="181"/>
      <c r="D8" s="181"/>
      <c r="E8" s="181"/>
      <c r="F8" s="171" t="s">
        <v>64</v>
      </c>
      <c r="G8" s="21" t="s">
        <v>72</v>
      </c>
      <c r="H8" s="85">
        <v>0.75</v>
      </c>
      <c r="I8" s="86"/>
      <c r="J8" s="87">
        <f>SUMIF(Contagem_PF!$C$8:$C$606,Deflatores!G8,Contagem_PF!$J$8:$J$606)</f>
        <v>0</v>
      </c>
      <c r="K8" s="88">
        <f>IF(H8="",COUNTIF(Contagem_PF!C$8:C$606,G8)*I8,H8*J8)</f>
        <v>0</v>
      </c>
    </row>
    <row r="9" spans="1:12" x14ac:dyDescent="0.2">
      <c r="A9" s="176"/>
      <c r="B9" s="181" t="s">
        <v>73</v>
      </c>
      <c r="C9" s="181"/>
      <c r="D9" s="181"/>
      <c r="E9" s="181"/>
      <c r="F9" s="171" t="s">
        <v>64</v>
      </c>
      <c r="G9" s="21" t="s">
        <v>74</v>
      </c>
      <c r="H9" s="85">
        <v>0.9</v>
      </c>
      <c r="I9" s="86"/>
      <c r="J9" s="87">
        <f>SUMIF(Contagem_PF!$C$8:$C$606,Deflatores!G9,Contagem_PF!$J$8:$J$606)</f>
        <v>0</v>
      </c>
      <c r="K9" s="88">
        <f>IF(H9="",COUNTIF(Contagem_PF!C$8:C$606,G9)*I9,H9*J9)</f>
        <v>0</v>
      </c>
    </row>
    <row r="10" spans="1:12" x14ac:dyDescent="0.2">
      <c r="A10" s="176"/>
      <c r="B10" s="181" t="s">
        <v>75</v>
      </c>
      <c r="C10" s="181"/>
      <c r="D10" s="181"/>
      <c r="E10" s="181"/>
      <c r="F10" s="171" t="s">
        <v>76</v>
      </c>
      <c r="G10" s="21" t="s">
        <v>77</v>
      </c>
      <c r="H10" s="85">
        <v>1</v>
      </c>
      <c r="I10" s="86"/>
      <c r="J10" s="87">
        <f>SUMIF(Contagem_PF!$C$8:$C$606,Deflatores!G10,Contagem_PF!$J$8:$J$606)</f>
        <v>0</v>
      </c>
      <c r="K10" s="88">
        <f>IF(H10="",COUNTIF(Contagem_PF!C$8:C$606,G10)*I10,H10*J10)</f>
        <v>0</v>
      </c>
    </row>
    <row r="11" spans="1:12" x14ac:dyDescent="0.2">
      <c r="A11" s="176"/>
      <c r="B11" s="181" t="s">
        <v>78</v>
      </c>
      <c r="C11" s="181"/>
      <c r="D11" s="181"/>
      <c r="E11" s="181"/>
      <c r="F11" s="171" t="s">
        <v>79</v>
      </c>
      <c r="G11" s="21" t="s">
        <v>80</v>
      </c>
      <c r="H11" s="85">
        <v>0.5</v>
      </c>
      <c r="I11" s="86"/>
      <c r="J11" s="87">
        <f>SUMIF(Contagem_PF!$C$8:$C$606,Deflatores!G11,Contagem_PF!$J$8:$J$606)</f>
        <v>0</v>
      </c>
      <c r="K11" s="88">
        <f>IF(H11="",COUNTIF(Contagem_PF!C$8:C$606,G11)*I11,H11*J11)</f>
        <v>0</v>
      </c>
    </row>
    <row r="12" spans="1:12" ht="13.5" customHeight="1" x14ac:dyDescent="0.2">
      <c r="A12" s="176"/>
      <c r="B12" s="181" t="s">
        <v>81</v>
      </c>
      <c r="C12" s="181"/>
      <c r="D12" s="181"/>
      <c r="E12" s="181"/>
      <c r="F12" s="171" t="s">
        <v>79</v>
      </c>
      <c r="G12" s="21" t="s">
        <v>82</v>
      </c>
      <c r="H12" s="85">
        <v>0.5</v>
      </c>
      <c r="I12" s="86"/>
      <c r="J12" s="87">
        <f>SUMIF(Contagem_PF!$C$8:$C$606,Deflatores!G12,Contagem_PF!$J$8:$J$606)</f>
        <v>0</v>
      </c>
      <c r="K12" s="88">
        <f>IF(H12="",COUNTIF(Contagem_PF!C$8:C$606,G12)*I12,H12*J12)</f>
        <v>0</v>
      </c>
    </row>
    <row r="13" spans="1:12" ht="13.5" customHeight="1" x14ac:dyDescent="0.2">
      <c r="A13" s="176"/>
      <c r="B13" s="181" t="s">
        <v>83</v>
      </c>
      <c r="C13" s="181"/>
      <c r="D13" s="181"/>
      <c r="E13" s="181"/>
      <c r="F13" s="171" t="s">
        <v>79</v>
      </c>
      <c r="G13" s="21" t="s">
        <v>84</v>
      </c>
      <c r="H13" s="85">
        <v>0.75</v>
      </c>
      <c r="I13" s="86"/>
      <c r="J13" s="87">
        <f>SUMIF(Contagem_PF!$C$8:$C$606,Deflatores!G13,Contagem_PF!$J$8:$J$606)</f>
        <v>0</v>
      </c>
      <c r="K13" s="88">
        <f>IF(H13="",COUNTIF(Contagem_PF!C$8:C$606,G13)*I13,H13*J13)</f>
        <v>0</v>
      </c>
    </row>
    <row r="14" spans="1:12" ht="13.5" customHeight="1" x14ac:dyDescent="0.2">
      <c r="A14" s="176"/>
      <c r="B14" s="181" t="s">
        <v>85</v>
      </c>
      <c r="C14" s="181"/>
      <c r="D14" s="181"/>
      <c r="E14" s="181"/>
      <c r="F14" s="171" t="s">
        <v>79</v>
      </c>
      <c r="G14" s="21" t="s">
        <v>86</v>
      </c>
      <c r="H14" s="85">
        <v>0.9</v>
      </c>
      <c r="I14" s="86"/>
      <c r="J14" s="87">
        <f>SUMIF(Contagem_PF!$C$8:$C$606,Deflatores!G14,Contagem_PF!$J$8:$J$606)</f>
        <v>0</v>
      </c>
      <c r="K14" s="88">
        <f>IF(H14="",COUNTIF(Contagem_PF!C$8:C$606,G14)*I14,H14*J14)</f>
        <v>0</v>
      </c>
    </row>
    <row r="15" spans="1:12" ht="13.5" customHeight="1" x14ac:dyDescent="0.2">
      <c r="A15" s="176"/>
      <c r="B15" s="181" t="s">
        <v>87</v>
      </c>
      <c r="C15" s="181"/>
      <c r="D15" s="181"/>
      <c r="E15" s="181"/>
      <c r="F15" s="171" t="s">
        <v>79</v>
      </c>
      <c r="G15" s="21" t="s">
        <v>88</v>
      </c>
      <c r="H15" s="85">
        <v>0</v>
      </c>
      <c r="I15" s="86"/>
      <c r="J15" s="87">
        <f>SUMIF(Contagem_PF!$C$8:$C$606,Deflatores!G15,Contagem_PF!$J$8:$J$606)</f>
        <v>0</v>
      </c>
      <c r="K15" s="88">
        <f>IF(H15="",COUNTIF(Contagem_PF!C$8:C$606,G15)*I15,H15*J15)</f>
        <v>0</v>
      </c>
    </row>
    <row r="16" spans="1:12" ht="13.5" customHeight="1" x14ac:dyDescent="0.2">
      <c r="A16" s="176"/>
      <c r="B16" s="181" t="s">
        <v>89</v>
      </c>
      <c r="C16" s="181"/>
      <c r="D16" s="181"/>
      <c r="E16" s="181"/>
      <c r="F16" s="171" t="s">
        <v>90</v>
      </c>
      <c r="G16" s="21" t="s">
        <v>91</v>
      </c>
      <c r="H16" s="85">
        <v>1</v>
      </c>
      <c r="I16" s="86"/>
      <c r="J16" s="87">
        <f>SUMIF(Contagem_PF!$C$8:$C$606,Deflatores!G16,Contagem_PF!$J$8:$J$606)</f>
        <v>0</v>
      </c>
      <c r="K16" s="88">
        <f>IF(H16="",COUNTIF(Contagem_PF!C$8:C$606,G16)*I16,H16*J16)</f>
        <v>0</v>
      </c>
    </row>
    <row r="17" spans="1:11" x14ac:dyDescent="0.2">
      <c r="A17" s="176"/>
      <c r="B17" s="181" t="s">
        <v>92</v>
      </c>
      <c r="C17" s="181"/>
      <c r="D17" s="181"/>
      <c r="E17" s="181"/>
      <c r="F17" s="171" t="s">
        <v>93</v>
      </c>
      <c r="G17" s="21" t="s">
        <v>94</v>
      </c>
      <c r="H17" s="85">
        <v>1</v>
      </c>
      <c r="I17" s="86"/>
      <c r="J17" s="87">
        <f>SUMIF(Contagem_PF!$C$8:$C$606,Deflatores!G17,Contagem_PF!$J$8:$J$606)</f>
        <v>0</v>
      </c>
      <c r="K17" s="88">
        <f>IF(H17="",COUNTIF(Contagem_PF!C$8:C$606,G17)*I17,H17*J17)</f>
        <v>0</v>
      </c>
    </row>
    <row r="18" spans="1:11" ht="13.5" customHeight="1" x14ac:dyDescent="0.2">
      <c r="A18" s="176"/>
      <c r="B18" s="181" t="s">
        <v>95</v>
      </c>
      <c r="C18" s="181"/>
      <c r="D18" s="181"/>
      <c r="E18" s="181"/>
      <c r="F18" s="171" t="s">
        <v>93</v>
      </c>
      <c r="G18" s="21" t="s">
        <v>96</v>
      </c>
      <c r="H18" s="85">
        <v>0.3</v>
      </c>
      <c r="I18" s="86"/>
      <c r="J18" s="87">
        <f>SUMIF(Contagem_PF!$C$8:$C$606,Deflatores!G18,Contagem_PF!$J$8:$J$606)</f>
        <v>0</v>
      </c>
      <c r="K18" s="88">
        <f>IF(H18="",COUNTIF(Contagem_PF!C$8:C$606,G18)*I18,H18*J18)</f>
        <v>0</v>
      </c>
    </row>
    <row r="19" spans="1:11" ht="13.5" customHeight="1" x14ac:dyDescent="0.2">
      <c r="A19" s="176"/>
      <c r="B19" s="181" t="s">
        <v>97</v>
      </c>
      <c r="C19" s="181"/>
      <c r="D19" s="181"/>
      <c r="E19" s="181"/>
      <c r="F19" s="171" t="s">
        <v>98</v>
      </c>
      <c r="G19" s="21" t="s">
        <v>99</v>
      </c>
      <c r="H19" s="85">
        <v>0.3</v>
      </c>
      <c r="I19" s="86"/>
      <c r="J19" s="87">
        <f>SUMIF(Contagem_PF!$C$8:$C$606,Deflatores!G19,Contagem_PF!$J$8:$J$606)</f>
        <v>0</v>
      </c>
      <c r="K19" s="88">
        <f>IF(H19="",COUNTIF(Contagem_PF!C$8:C$606,G19)*I19,H19*J19)</f>
        <v>0</v>
      </c>
    </row>
    <row r="20" spans="1:11" ht="13.5" customHeight="1" x14ac:dyDescent="0.2">
      <c r="A20" s="176"/>
      <c r="B20" s="181" t="s">
        <v>100</v>
      </c>
      <c r="C20" s="181"/>
      <c r="D20" s="181"/>
      <c r="E20" s="181"/>
      <c r="F20" s="171" t="s">
        <v>101</v>
      </c>
      <c r="G20" s="21" t="s">
        <v>102</v>
      </c>
      <c r="H20" s="85">
        <v>0.3</v>
      </c>
      <c r="I20" s="86"/>
      <c r="J20" s="87">
        <f>SUMIF(Contagem_PF!$C$8:$C$606,Deflatores!G20,Contagem_PF!$J$8:$J$606)</f>
        <v>0</v>
      </c>
      <c r="K20" s="88">
        <f>IF(H20="",COUNTIF(Contagem_PF!C$8:C$606,G20)*I20,H20*J20)</f>
        <v>0</v>
      </c>
    </row>
    <row r="21" spans="1:11" ht="13.5" customHeight="1" x14ac:dyDescent="0.2">
      <c r="A21" s="176"/>
      <c r="B21" s="181" t="s">
        <v>103</v>
      </c>
      <c r="C21" s="181"/>
      <c r="D21" s="181"/>
      <c r="E21" s="181"/>
      <c r="F21" s="171" t="s">
        <v>104</v>
      </c>
      <c r="G21" s="21" t="s">
        <v>105</v>
      </c>
      <c r="H21" s="85">
        <v>0.3</v>
      </c>
      <c r="I21" s="86"/>
      <c r="J21" s="87">
        <f>SUMIF(Contagem_PF!$C$8:$C$606,Deflatores!G21,Contagem_PF!$J$8:$J$606)</f>
        <v>0</v>
      </c>
      <c r="K21" s="88">
        <f>IF(H21="",COUNTIF(Contagem_PF!C$8:C$606,G21)*I21,H21*J21)</f>
        <v>0</v>
      </c>
    </row>
    <row r="22" spans="1:11" x14ac:dyDescent="0.2">
      <c r="A22" s="176"/>
      <c r="B22" s="181" t="s">
        <v>106</v>
      </c>
      <c r="C22" s="181"/>
      <c r="D22" s="181"/>
      <c r="E22" s="181"/>
      <c r="F22" s="171" t="s">
        <v>107</v>
      </c>
      <c r="G22" s="21" t="s">
        <v>108</v>
      </c>
      <c r="H22" s="85"/>
      <c r="I22" s="86">
        <v>0.6</v>
      </c>
      <c r="J22" s="87">
        <f>SUMIF(Contagem_PF!$C$8:$C$606,Deflatores!G22,Contagem_PF!$J$8:$J$606)</f>
        <v>0</v>
      </c>
      <c r="K22" s="88">
        <f>IF(H22="",COUNTIF(Contagem_PF!C$8:C$606,G22)*I22,H22*J22)</f>
        <v>0</v>
      </c>
    </row>
    <row r="23" spans="1:11" ht="27" customHeight="1" x14ac:dyDescent="0.2">
      <c r="A23" s="176"/>
      <c r="B23" s="218" t="s">
        <v>109</v>
      </c>
      <c r="C23" s="219"/>
      <c r="D23" s="219"/>
      <c r="E23" s="220"/>
      <c r="F23" s="175" t="s">
        <v>110</v>
      </c>
      <c r="G23" s="21" t="s">
        <v>111</v>
      </c>
      <c r="H23" s="85">
        <v>0.5</v>
      </c>
      <c r="I23" s="86"/>
      <c r="J23" s="87">
        <f>SUMIF(Contagem_PF!$C$8:$C$606,Deflatores!G23,Contagem_PF!$J$8:$J$606)</f>
        <v>0</v>
      </c>
      <c r="K23" s="88">
        <f>IF(H23="",COUNTIF(Contagem_PF!C$8:C$606,G23)*I23,H23*J23)</f>
        <v>0</v>
      </c>
    </row>
    <row r="24" spans="1:11" ht="27" customHeight="1" x14ac:dyDescent="0.2">
      <c r="A24" s="176"/>
      <c r="B24" s="218" t="s">
        <v>112</v>
      </c>
      <c r="C24" s="219"/>
      <c r="D24" s="219"/>
      <c r="E24" s="220"/>
      <c r="F24" s="175" t="s">
        <v>110</v>
      </c>
      <c r="G24" s="21" t="s">
        <v>113</v>
      </c>
      <c r="H24" s="85">
        <v>0.5</v>
      </c>
      <c r="I24" s="86"/>
      <c r="J24" s="87">
        <f>SUMIF(Contagem_PF!$C$8:$C$606,Deflatores!G24,Contagem_PF!$J$8:$J$606)</f>
        <v>0</v>
      </c>
      <c r="K24" s="88">
        <f>IF(H24="",COUNTIF(Contagem_PF!C$8:C$606,G24)*I24,H24*J24)</f>
        <v>0</v>
      </c>
    </row>
    <row r="25" spans="1:11" ht="27" customHeight="1" x14ac:dyDescent="0.2">
      <c r="A25" s="176"/>
      <c r="B25" s="221" t="s">
        <v>114</v>
      </c>
      <c r="C25" s="181"/>
      <c r="D25" s="181"/>
      <c r="E25" s="181"/>
      <c r="F25" s="175" t="s">
        <v>110</v>
      </c>
      <c r="G25" s="21" t="s">
        <v>115</v>
      </c>
      <c r="H25" s="85">
        <v>0.75</v>
      </c>
      <c r="I25" s="86"/>
      <c r="J25" s="87">
        <f>SUMIF(Contagem_PF!$C$8:$C$606,Deflatores!G25,Contagem_PF!$J$8:$J$606)</f>
        <v>0</v>
      </c>
      <c r="K25" s="88">
        <f>IF(H25="",COUNTIF(Contagem_PF!C$8:C$606,G25)*I25,H25*J25)</f>
        <v>0</v>
      </c>
    </row>
    <row r="26" spans="1:11" ht="13.5" customHeight="1" x14ac:dyDescent="0.2">
      <c r="A26" s="176"/>
      <c r="B26" s="181" t="s">
        <v>116</v>
      </c>
      <c r="C26" s="181"/>
      <c r="D26" s="181"/>
      <c r="E26" s="181"/>
      <c r="F26" s="171" t="s">
        <v>117</v>
      </c>
      <c r="G26" s="21" t="s">
        <v>118</v>
      </c>
      <c r="H26" s="85">
        <v>1</v>
      </c>
      <c r="I26" s="86"/>
      <c r="J26" s="87">
        <f>SUMIF(Contagem_PF!$C$8:$C$606,Deflatores!G26,Contagem_PF!$J$8:$J$606)</f>
        <v>0</v>
      </c>
      <c r="K26" s="88">
        <f>IF(H26="",COUNTIF(Contagem_PF!C$8:C$606,G26)*I26,H26*J26)</f>
        <v>0</v>
      </c>
    </row>
    <row r="27" spans="1:11" ht="13.5" customHeight="1" x14ac:dyDescent="0.2">
      <c r="A27" s="176"/>
      <c r="B27" s="181" t="s">
        <v>119</v>
      </c>
      <c r="C27" s="181"/>
      <c r="D27" s="181"/>
      <c r="E27" s="181"/>
      <c r="F27" s="171" t="s">
        <v>117</v>
      </c>
      <c r="G27" s="21" t="s">
        <v>120</v>
      </c>
      <c r="H27" s="85">
        <v>1</v>
      </c>
      <c r="I27" s="86"/>
      <c r="J27" s="87">
        <f>SUMIF(Contagem_PF!$C$8:$C$606,Deflatores!G27,Contagem_PF!$J$8:$J$606)</f>
        <v>0</v>
      </c>
      <c r="K27" s="88">
        <f>IF(H27="",COUNTIF(Contagem_PF!C$8:C$606,G27)*I27,H27*J27)</f>
        <v>0</v>
      </c>
    </row>
    <row r="28" spans="1:11" ht="13.5" customHeight="1" x14ac:dyDescent="0.2">
      <c r="A28" s="176"/>
      <c r="B28" s="181" t="s">
        <v>121</v>
      </c>
      <c r="C28" s="181"/>
      <c r="D28" s="181"/>
      <c r="E28" s="181"/>
      <c r="F28" s="171" t="s">
        <v>117</v>
      </c>
      <c r="G28" s="21" t="s">
        <v>122</v>
      </c>
      <c r="H28" s="85">
        <v>0.6</v>
      </c>
      <c r="I28" s="86"/>
      <c r="J28" s="87">
        <f>SUMIF(Contagem_PF!$C$8:$C$606,Deflatores!G28,Contagem_PF!$J$8:$J$606)</f>
        <v>0</v>
      </c>
      <c r="K28" s="88">
        <f>IF(H28="",COUNTIF(Contagem_PF!C$8:C$606,G28)*I28,H28*J28)</f>
        <v>0</v>
      </c>
    </row>
    <row r="29" spans="1:11" ht="13.5" customHeight="1" x14ac:dyDescent="0.2">
      <c r="A29" s="176"/>
      <c r="B29" s="181" t="s">
        <v>123</v>
      </c>
      <c r="C29" s="181"/>
      <c r="D29" s="181"/>
      <c r="E29" s="181"/>
      <c r="F29" s="171" t="s">
        <v>124</v>
      </c>
      <c r="G29" s="21" t="s">
        <v>125</v>
      </c>
      <c r="H29" s="85">
        <v>1</v>
      </c>
      <c r="I29" s="86"/>
      <c r="J29" s="87">
        <f>SUMIF(Contagem_PF!$C$8:$C$606,Deflatores!G29,Contagem_PF!$J$8:$J$606)</f>
        <v>0</v>
      </c>
      <c r="K29" s="88">
        <f>IF(H29="",COUNTIF(Contagem_PF!C$8:C$606,G29)*I29,H29*J29)</f>
        <v>0</v>
      </c>
    </row>
    <row r="30" spans="1:11" ht="13.5" customHeight="1" x14ac:dyDescent="0.2">
      <c r="A30" s="176"/>
      <c r="B30" s="181" t="s">
        <v>126</v>
      </c>
      <c r="C30" s="181"/>
      <c r="D30" s="181"/>
      <c r="E30" s="181"/>
      <c r="F30" s="171" t="s">
        <v>127</v>
      </c>
      <c r="G30" s="21" t="s">
        <v>128</v>
      </c>
      <c r="H30" s="85">
        <v>0.1</v>
      </c>
      <c r="I30" s="86"/>
      <c r="J30" s="87">
        <f>SUMIF(Contagem_PF!$C$8:$C$606,Deflatores!G30,Contagem_PF!$J$8:$J$606)</f>
        <v>0</v>
      </c>
      <c r="K30" s="88">
        <f>IF(H30="",COUNTIF(Contagem_PF!C$8:C$606,G30)*I30,H30*J30)</f>
        <v>0</v>
      </c>
    </row>
    <row r="31" spans="1:11" ht="13.5" customHeight="1" x14ac:dyDescent="0.2">
      <c r="A31" s="176"/>
      <c r="B31" s="181" t="s">
        <v>129</v>
      </c>
      <c r="C31" s="181"/>
      <c r="D31" s="181"/>
      <c r="E31" s="181"/>
      <c r="F31" s="171" t="s">
        <v>130</v>
      </c>
      <c r="G31" s="21" t="s">
        <v>131</v>
      </c>
      <c r="H31" s="85">
        <v>0.1</v>
      </c>
      <c r="I31" s="86"/>
      <c r="J31" s="87">
        <f>SUMIF(Contagem_PF!$C$8:$C$606,Deflatores!G31,Contagem_PF!$J$8:$J$606)</f>
        <v>0</v>
      </c>
      <c r="K31" s="88">
        <f>IF(H31="",COUNTIF(Contagem_PF!C$8:C$606,G31)*I31,H31*J31)</f>
        <v>0</v>
      </c>
    </row>
    <row r="32" spans="1:11" ht="13.5" customHeight="1" x14ac:dyDescent="0.2">
      <c r="A32" s="176"/>
      <c r="B32" s="98" t="s">
        <v>132</v>
      </c>
      <c r="C32" s="99"/>
      <c r="D32" s="99"/>
      <c r="E32" s="100"/>
      <c r="F32" s="171" t="s">
        <v>133</v>
      </c>
      <c r="G32" s="21" t="s">
        <v>134</v>
      </c>
      <c r="H32" s="85">
        <v>0.25</v>
      </c>
      <c r="I32" s="86"/>
      <c r="J32" s="87">
        <f>SUMIF(Contagem_PF!$C$8:$C$606,Deflatores!G32,Contagem_PF!$J$8:$J$606)</f>
        <v>0</v>
      </c>
      <c r="K32" s="88">
        <f>IF(H32="",COUNTIF(Contagem_PF!C$8:C$606,G32)*I32,H32*J32)</f>
        <v>0</v>
      </c>
    </row>
    <row r="33" spans="1:12" ht="13.5" customHeight="1" x14ac:dyDescent="0.2">
      <c r="A33" s="176"/>
      <c r="B33" s="98" t="s">
        <v>135</v>
      </c>
      <c r="C33" s="99"/>
      <c r="D33" s="99"/>
      <c r="E33" s="100"/>
      <c r="F33" s="171" t="s">
        <v>136</v>
      </c>
      <c r="G33" s="21" t="s">
        <v>137</v>
      </c>
      <c r="H33" s="85">
        <v>0.2</v>
      </c>
      <c r="I33" s="86"/>
      <c r="J33" s="87">
        <f>SUMIF(Contagem_PF!$C$8:$C$606,Deflatores!G33,Contagem_PF!$J$8:$J$606)</f>
        <v>0</v>
      </c>
      <c r="K33" s="88">
        <f>IF(H33="",COUNTIF(Contagem_PF!C$8:C$606,G33)*I33,H33*J33)</f>
        <v>0</v>
      </c>
    </row>
    <row r="34" spans="1:12" ht="13.5" customHeight="1" x14ac:dyDescent="0.2">
      <c r="A34" s="176"/>
      <c r="B34" s="98" t="s">
        <v>138</v>
      </c>
      <c r="C34" s="99"/>
      <c r="D34" s="99"/>
      <c r="E34" s="100"/>
      <c r="F34" s="171" t="s">
        <v>136</v>
      </c>
      <c r="G34" s="21" t="s">
        <v>139</v>
      </c>
      <c r="H34" s="85">
        <v>0.15</v>
      </c>
      <c r="I34" s="86"/>
      <c r="J34" s="87">
        <f>SUMIF(Contagem_PF!$C$8:$C$606,Deflatores!G34,Contagem_PF!$J$8:$J$606)</f>
        <v>0</v>
      </c>
      <c r="K34" s="88">
        <f>IF(H34="",COUNTIF(Contagem_PF!C$8:C$606,G34)*I34,H34*J34)</f>
        <v>0</v>
      </c>
    </row>
    <row r="35" spans="1:12" ht="13.5" customHeight="1" x14ac:dyDescent="0.2">
      <c r="A35" s="176"/>
      <c r="B35" s="98" t="s">
        <v>140</v>
      </c>
      <c r="C35" s="99"/>
      <c r="D35" s="99"/>
      <c r="E35" s="100"/>
      <c r="F35" s="171" t="s">
        <v>141</v>
      </c>
      <c r="G35" s="21" t="s">
        <v>142</v>
      </c>
      <c r="H35" s="85">
        <v>0.15</v>
      </c>
      <c r="I35" s="86"/>
      <c r="J35" s="87">
        <f>SUMIF(Contagem_PF!$C$8:$C$606,Deflatores!G35,Contagem_PF!$J$8:$J$606)</f>
        <v>0</v>
      </c>
      <c r="K35" s="88">
        <f>IF(H35="",COUNTIF(Contagem_PF!C$8:C$606,G35)*I35,H35*J35)</f>
        <v>0</v>
      </c>
    </row>
    <row r="36" spans="1:12" ht="13.5" customHeight="1" x14ac:dyDescent="0.2">
      <c r="A36" s="176"/>
      <c r="B36" s="181" t="s">
        <v>143</v>
      </c>
      <c r="C36" s="181"/>
      <c r="D36" s="181"/>
      <c r="E36" s="181"/>
      <c r="F36" s="171" t="s">
        <v>144</v>
      </c>
      <c r="G36" s="21" t="s">
        <v>145</v>
      </c>
      <c r="H36" s="85">
        <v>1</v>
      </c>
      <c r="I36" s="86"/>
      <c r="J36" s="87">
        <f>SUMIF(Contagem_PF!$C$8:$C$606,Deflatores!G36,Contagem_PF!$J$8:$J$606)</f>
        <v>0</v>
      </c>
      <c r="K36" s="88">
        <f>IF(H36="",COUNTIF(Contagem_PF!C$8:C$606,G36)*I36,H36*J36)</f>
        <v>0</v>
      </c>
    </row>
    <row r="37" spans="1:12" ht="13.5" customHeight="1" x14ac:dyDescent="0.2">
      <c r="A37" s="176"/>
      <c r="B37" s="181"/>
      <c r="C37" s="181"/>
      <c r="D37" s="181"/>
      <c r="E37" s="181"/>
      <c r="F37" s="171"/>
      <c r="G37" s="21" t="s">
        <v>146</v>
      </c>
      <c r="H37" s="85"/>
      <c r="I37" s="86"/>
      <c r="J37" s="87">
        <f>SUMIF(Contagem_PF!$C$8:$C$606,Deflatores!G37,Contagem_PF!$J$8:$J$606)</f>
        <v>0</v>
      </c>
      <c r="K37" s="88">
        <f>IF(H37="",COUNTIF(Contagem_PF!C$8:C$606,G37)*I37,H37*J37)</f>
        <v>0</v>
      </c>
      <c r="L37" s="18" t="s">
        <v>147</v>
      </c>
    </row>
    <row r="38" spans="1:12" ht="13.5" customHeight="1" x14ac:dyDescent="0.2">
      <c r="A38" s="176"/>
      <c r="B38" s="181"/>
      <c r="C38" s="181"/>
      <c r="D38" s="181"/>
      <c r="E38" s="181"/>
      <c r="F38" s="171"/>
      <c r="G38" s="21" t="s">
        <v>146</v>
      </c>
      <c r="H38" s="85"/>
      <c r="I38" s="86"/>
      <c r="J38" s="87">
        <f>SUMIF(Contagem_PF!$C$8:$C$606,Deflatores!G38,Contagem_PF!$J$8:$J$606)</f>
        <v>0</v>
      </c>
      <c r="K38" s="88">
        <f>IF(H38="",COUNTIF(Contagem_PF!C$8:C$606,G38)*I38,H38*J38)</f>
        <v>0</v>
      </c>
      <c r="L38" s="18" t="s">
        <v>148</v>
      </c>
    </row>
    <row r="39" spans="1:12" ht="13.5" x14ac:dyDescent="0.25">
      <c r="A39" s="63"/>
      <c r="B39" s="64"/>
      <c r="C39" s="64"/>
      <c r="D39" s="64"/>
      <c r="E39" s="64"/>
      <c r="F39" s="64"/>
      <c r="G39" s="65"/>
      <c r="H39" s="66"/>
      <c r="I39" s="66"/>
      <c r="J39" s="67"/>
      <c r="K39" s="68"/>
      <c r="L39" s="18" t="s">
        <v>149</v>
      </c>
    </row>
    <row r="40" spans="1:12" ht="14.85" customHeight="1" x14ac:dyDescent="0.2">
      <c r="A40" s="217" t="s">
        <v>50</v>
      </c>
      <c r="B40" s="217"/>
      <c r="C40" s="217"/>
      <c r="D40" s="217"/>
      <c r="E40" s="217"/>
      <c r="F40" s="217"/>
      <c r="G40" s="215" t="s">
        <v>52</v>
      </c>
      <c r="H40" s="215" t="s">
        <v>53</v>
      </c>
      <c r="I40" s="215"/>
      <c r="J40" s="215" t="s">
        <v>150</v>
      </c>
      <c r="K40" s="216" t="s">
        <v>151</v>
      </c>
      <c r="L40" s="18" t="s">
        <v>152</v>
      </c>
    </row>
    <row r="41" spans="1:12" ht="14.85" customHeight="1" x14ac:dyDescent="0.2">
      <c r="A41" s="174" t="s">
        <v>54</v>
      </c>
      <c r="B41" s="215" t="s">
        <v>55</v>
      </c>
      <c r="C41" s="215"/>
      <c r="D41" s="215"/>
      <c r="E41" s="215"/>
      <c r="F41" s="173" t="s">
        <v>56</v>
      </c>
      <c r="G41" s="215"/>
      <c r="H41" s="215"/>
      <c r="I41" s="215"/>
      <c r="J41" s="215"/>
      <c r="K41" s="216"/>
      <c r="L41" s="18" t="s">
        <v>153</v>
      </c>
    </row>
    <row r="42" spans="1:12" ht="13.5" customHeight="1" x14ac:dyDescent="0.25">
      <c r="A42" s="23"/>
      <c r="B42" s="181" t="s">
        <v>154</v>
      </c>
      <c r="C42" s="181"/>
      <c r="D42" s="181"/>
      <c r="E42" s="181"/>
      <c r="F42" s="171" t="s">
        <v>155</v>
      </c>
      <c r="G42" s="21" t="s">
        <v>156</v>
      </c>
      <c r="H42" s="212">
        <v>0.6</v>
      </c>
      <c r="I42" s="212"/>
      <c r="J42" s="24">
        <f>COUNTIF(Contagem_PF!B$8:B$606,G42)</f>
        <v>0</v>
      </c>
      <c r="K42" s="22">
        <f>SUMIF(Contagem_PF!B$8:B$606,$G42,Contagem_PF!M$8:M$606)</f>
        <v>0</v>
      </c>
      <c r="L42" s="18" t="str">
        <f t="shared" ref="L42:L64" si="0">""&amp;G42</f>
        <v>PAG</v>
      </c>
    </row>
    <row r="43" spans="1:12" ht="13.5" customHeight="1" x14ac:dyDescent="0.25">
      <c r="A43" s="23"/>
      <c r="B43" s="181" t="s">
        <v>157</v>
      </c>
      <c r="C43" s="181"/>
      <c r="D43" s="181"/>
      <c r="E43" s="181"/>
      <c r="F43" s="171" t="s">
        <v>107</v>
      </c>
      <c r="G43" s="21" t="s">
        <v>158</v>
      </c>
      <c r="H43" s="212">
        <v>0.6</v>
      </c>
      <c r="I43" s="212"/>
      <c r="J43" s="24">
        <f>COUNTIF(Contagem_PF!B$8:B$606,G43)</f>
        <v>0</v>
      </c>
      <c r="K43" s="22">
        <f>SUMIF(Contagem_PF!B$8:B$606,$G43,Contagem_PF!M$8:M$606)</f>
        <v>0</v>
      </c>
      <c r="L43" s="18" t="str">
        <f t="shared" si="0"/>
        <v>COSNF</v>
      </c>
    </row>
    <row r="44" spans="1:12" ht="13.5" customHeight="1" x14ac:dyDescent="0.25">
      <c r="A44" s="23"/>
      <c r="B44" s="181" t="s">
        <v>159</v>
      </c>
      <c r="C44" s="181"/>
      <c r="D44" s="181"/>
      <c r="E44" s="181"/>
      <c r="F44" s="171"/>
      <c r="G44" s="21" t="s">
        <v>160</v>
      </c>
      <c r="H44" s="212">
        <v>0</v>
      </c>
      <c r="I44" s="212"/>
      <c r="J44" s="24">
        <f>COUNTIF(Contagem_PF!B$8:B$606,G44)</f>
        <v>0</v>
      </c>
      <c r="K44" s="22">
        <f>SUMIF(Contagem_PF!B$8:B$606,$G44,Contagem_PF!M$8:M$606)</f>
        <v>0</v>
      </c>
      <c r="L44" s="18" t="str">
        <f t="shared" si="0"/>
        <v>DC</v>
      </c>
    </row>
    <row r="45" spans="1:12" ht="13.5" customHeight="1" x14ac:dyDescent="0.25">
      <c r="A45" s="23"/>
      <c r="B45" s="181"/>
      <c r="C45" s="181"/>
      <c r="D45" s="181"/>
      <c r="E45" s="181"/>
      <c r="F45" s="171"/>
      <c r="G45" s="21" t="s">
        <v>146</v>
      </c>
      <c r="H45" s="212"/>
      <c r="I45" s="212"/>
      <c r="J45" s="24">
        <f>COUNTIF(Contagem_PF!B$8:B$606,G45)</f>
        <v>0</v>
      </c>
      <c r="K45" s="22">
        <f>SUMIF(Contagem_PF!B$8:B$606,$G45,Contagem_PF!M$8:M$606)</f>
        <v>0</v>
      </c>
      <c r="L45" s="18" t="str">
        <f t="shared" si="0"/>
        <v xml:space="preserve">           .</v>
      </c>
    </row>
    <row r="46" spans="1:12" ht="13.5" customHeight="1" x14ac:dyDescent="0.25">
      <c r="A46" s="23"/>
      <c r="B46" s="181"/>
      <c r="C46" s="181"/>
      <c r="D46" s="181"/>
      <c r="E46" s="181"/>
      <c r="F46" s="171"/>
      <c r="G46" s="21" t="s">
        <v>146</v>
      </c>
      <c r="H46" s="212"/>
      <c r="I46" s="212"/>
      <c r="J46" s="24">
        <f>COUNTIF(Contagem_PF!B$8:B$606,G46)</f>
        <v>0</v>
      </c>
      <c r="K46" s="22">
        <f>SUMIF(Contagem_PF!B$8:B$606,$G46,Contagem_PF!M$8:M$606)</f>
        <v>0</v>
      </c>
      <c r="L46" s="18" t="str">
        <f t="shared" si="0"/>
        <v xml:space="preserve">           .</v>
      </c>
    </row>
    <row r="47" spans="1:12" ht="13.5" x14ac:dyDescent="0.25">
      <c r="A47" s="23"/>
      <c r="B47" s="181"/>
      <c r="C47" s="181"/>
      <c r="D47" s="181"/>
      <c r="E47" s="181"/>
      <c r="F47" s="171"/>
      <c r="G47" s="21" t="s">
        <v>146</v>
      </c>
      <c r="H47" s="212"/>
      <c r="I47" s="212"/>
      <c r="J47" s="24">
        <f>COUNTIF(Contagem_PF!B$8:B$606,G47)</f>
        <v>0</v>
      </c>
      <c r="K47" s="22">
        <f>SUMIF(Contagem_PF!B$8:B$606,$G47,Contagem_PF!M$8:M$606)</f>
        <v>0</v>
      </c>
      <c r="L47" s="18" t="str">
        <f t="shared" si="0"/>
        <v xml:space="preserve">           .</v>
      </c>
    </row>
    <row r="48" spans="1:12" ht="13.5" x14ac:dyDescent="0.25">
      <c r="A48" s="23"/>
      <c r="B48" s="181"/>
      <c r="C48" s="181"/>
      <c r="D48" s="181"/>
      <c r="E48" s="181"/>
      <c r="F48" s="171"/>
      <c r="G48" s="21" t="s">
        <v>146</v>
      </c>
      <c r="H48" s="212"/>
      <c r="I48" s="212"/>
      <c r="J48" s="24">
        <f>COUNTIF(Contagem_PF!B$8:B$606,G48)</f>
        <v>0</v>
      </c>
      <c r="K48" s="22">
        <f>SUMIF(Contagem_PF!B$8:B$606,$G48,Contagem_PF!M$8:M$606)</f>
        <v>0</v>
      </c>
      <c r="L48" s="18" t="str">
        <f t="shared" si="0"/>
        <v xml:space="preserve">           .</v>
      </c>
    </row>
    <row r="49" spans="1:12" ht="13.5" x14ac:dyDescent="0.25">
      <c r="A49" s="23"/>
      <c r="B49" s="181"/>
      <c r="C49" s="181"/>
      <c r="D49" s="181"/>
      <c r="E49" s="181"/>
      <c r="F49" s="171"/>
      <c r="G49" s="21" t="s">
        <v>146</v>
      </c>
      <c r="H49" s="212"/>
      <c r="I49" s="212"/>
      <c r="J49" s="24">
        <f>COUNTIF(Contagem_PF!B$8:B$606,G49)</f>
        <v>0</v>
      </c>
      <c r="K49" s="22">
        <f>SUMIF(Contagem_PF!B$8:B$606,$G49,Contagem_PF!M$8:M$606)</f>
        <v>0</v>
      </c>
      <c r="L49" s="18" t="str">
        <f t="shared" si="0"/>
        <v xml:space="preserve">           .</v>
      </c>
    </row>
    <row r="50" spans="1:12" ht="13.5" x14ac:dyDescent="0.25">
      <c r="A50" s="23"/>
      <c r="B50" s="181"/>
      <c r="C50" s="181"/>
      <c r="D50" s="181"/>
      <c r="E50" s="181"/>
      <c r="F50" s="171"/>
      <c r="G50" s="21" t="s">
        <v>146</v>
      </c>
      <c r="H50" s="212"/>
      <c r="I50" s="212"/>
      <c r="J50" s="24">
        <f>COUNTIF(Contagem_PF!B$8:B$606,G50)</f>
        <v>0</v>
      </c>
      <c r="K50" s="22">
        <f>SUMIF(Contagem_PF!B$8:B$606,$G50,Contagem_PF!M$8:M$606)</f>
        <v>0</v>
      </c>
      <c r="L50" s="18" t="str">
        <f t="shared" si="0"/>
        <v xml:space="preserve">           .</v>
      </c>
    </row>
    <row r="51" spans="1:12" ht="13.5" x14ac:dyDescent="0.25">
      <c r="A51" s="23"/>
      <c r="B51" s="181"/>
      <c r="C51" s="181"/>
      <c r="D51" s="181"/>
      <c r="E51" s="181"/>
      <c r="F51" s="171"/>
      <c r="G51" s="21" t="s">
        <v>146</v>
      </c>
      <c r="H51" s="212"/>
      <c r="I51" s="212"/>
      <c r="J51" s="24">
        <f>COUNTIF(Contagem_PF!B$8:B$606,G51)</f>
        <v>0</v>
      </c>
      <c r="K51" s="22">
        <f>SUMIF(Contagem_PF!B$8:B$606,$G51,Contagem_PF!M$8:M$606)</f>
        <v>0</v>
      </c>
      <c r="L51" s="18" t="str">
        <f t="shared" si="0"/>
        <v xml:space="preserve">           .</v>
      </c>
    </row>
    <row r="52" spans="1:12" ht="13.5" x14ac:dyDescent="0.25">
      <c r="A52" s="23"/>
      <c r="B52" s="181"/>
      <c r="C52" s="181"/>
      <c r="D52" s="181"/>
      <c r="E52" s="181"/>
      <c r="F52" s="171"/>
      <c r="G52" s="21" t="s">
        <v>146</v>
      </c>
      <c r="H52" s="212"/>
      <c r="I52" s="212"/>
      <c r="J52" s="24">
        <f>COUNTIF(Contagem_PF!B$8:B$606,G52)</f>
        <v>0</v>
      </c>
      <c r="K52" s="22">
        <f>SUMIF(Contagem_PF!B$8:B$606,$G52,Contagem_PF!M$8:M$606)</f>
        <v>0</v>
      </c>
      <c r="L52" s="18" t="str">
        <f t="shared" si="0"/>
        <v xml:space="preserve">           .</v>
      </c>
    </row>
    <row r="53" spans="1:12" ht="13.5" x14ac:dyDescent="0.25">
      <c r="A53" s="23"/>
      <c r="B53" s="181"/>
      <c r="C53" s="181"/>
      <c r="D53" s="181"/>
      <c r="E53" s="181"/>
      <c r="F53" s="171"/>
      <c r="G53" s="21" t="s">
        <v>146</v>
      </c>
      <c r="H53" s="212"/>
      <c r="I53" s="212"/>
      <c r="J53" s="24">
        <f>COUNTIF(Contagem_PF!B$8:B$606,G53)</f>
        <v>0</v>
      </c>
      <c r="K53" s="22">
        <f>SUMIF(Contagem_PF!B$8:B$606,$G53,Contagem_PF!M$8:M$606)</f>
        <v>0</v>
      </c>
      <c r="L53" s="18" t="str">
        <f t="shared" si="0"/>
        <v xml:space="preserve">           .</v>
      </c>
    </row>
    <row r="54" spans="1:12" ht="13.5" x14ac:dyDescent="0.25">
      <c r="A54" s="23"/>
      <c r="B54" s="181"/>
      <c r="C54" s="181"/>
      <c r="D54" s="181"/>
      <c r="E54" s="181"/>
      <c r="F54" s="171"/>
      <c r="G54" s="21" t="s">
        <v>146</v>
      </c>
      <c r="H54" s="212"/>
      <c r="I54" s="212"/>
      <c r="J54" s="24">
        <f>COUNTIF(Contagem_PF!B$8:B$606,G54)</f>
        <v>0</v>
      </c>
      <c r="K54" s="22">
        <f>SUMIF(Contagem_PF!B$8:B$606,$G54,Contagem_PF!M$8:M$606)</f>
        <v>0</v>
      </c>
      <c r="L54" s="18" t="str">
        <f t="shared" si="0"/>
        <v xml:space="preserve">           .</v>
      </c>
    </row>
    <row r="55" spans="1:12" ht="13.5" x14ac:dyDescent="0.25">
      <c r="A55" s="23"/>
      <c r="B55" s="181"/>
      <c r="C55" s="181"/>
      <c r="D55" s="181"/>
      <c r="E55" s="181"/>
      <c r="F55" s="171"/>
      <c r="G55" s="21" t="s">
        <v>146</v>
      </c>
      <c r="H55" s="212"/>
      <c r="I55" s="212"/>
      <c r="J55" s="24">
        <f>COUNTIF(Contagem_PF!B$8:B$606,G55)</f>
        <v>0</v>
      </c>
      <c r="K55" s="22">
        <f>SUMIF(Contagem_PF!B$8:B$606,$G55,Contagem_PF!M$8:M$606)</f>
        <v>0</v>
      </c>
      <c r="L55" s="18" t="str">
        <f t="shared" si="0"/>
        <v xml:space="preserve">           .</v>
      </c>
    </row>
    <row r="56" spans="1:12" ht="13.5" x14ac:dyDescent="0.25">
      <c r="A56" s="23"/>
      <c r="B56" s="181"/>
      <c r="C56" s="181"/>
      <c r="D56" s="181"/>
      <c r="E56" s="181"/>
      <c r="F56" s="171"/>
      <c r="G56" s="21" t="s">
        <v>146</v>
      </c>
      <c r="H56" s="212"/>
      <c r="I56" s="212"/>
      <c r="J56" s="24">
        <f>COUNTIF(Contagem_PF!B$8:B$606,G56)</f>
        <v>0</v>
      </c>
      <c r="K56" s="22">
        <f>SUMIF(Contagem_PF!B$8:B$606,$G56,Contagem_PF!M$8:M$606)</f>
        <v>0</v>
      </c>
      <c r="L56" s="18" t="str">
        <f t="shared" si="0"/>
        <v xml:space="preserve">           .</v>
      </c>
    </row>
    <row r="57" spans="1:12" ht="13.5" x14ac:dyDescent="0.25">
      <c r="A57" s="23"/>
      <c r="B57" s="181"/>
      <c r="C57" s="181"/>
      <c r="D57" s="181"/>
      <c r="E57" s="181"/>
      <c r="F57" s="171"/>
      <c r="G57" s="21" t="s">
        <v>146</v>
      </c>
      <c r="H57" s="212"/>
      <c r="I57" s="212"/>
      <c r="J57" s="24">
        <f>COUNTIF(Contagem_PF!B$8:B$606,G57)</f>
        <v>0</v>
      </c>
      <c r="K57" s="22">
        <f>SUMIF(Contagem_PF!B$8:B$606,$G57,Contagem_PF!M$8:M$606)</f>
        <v>0</v>
      </c>
      <c r="L57" s="18" t="str">
        <f t="shared" si="0"/>
        <v xml:space="preserve">           .</v>
      </c>
    </row>
    <row r="58" spans="1:12" ht="13.5" x14ac:dyDescent="0.25">
      <c r="A58" s="23"/>
      <c r="B58" s="181"/>
      <c r="C58" s="181"/>
      <c r="D58" s="181"/>
      <c r="E58" s="181"/>
      <c r="F58" s="171"/>
      <c r="G58" s="21" t="s">
        <v>146</v>
      </c>
      <c r="H58" s="212"/>
      <c r="I58" s="212"/>
      <c r="J58" s="24">
        <f>COUNTIF(Contagem_PF!B$8:B$606,G58)</f>
        <v>0</v>
      </c>
      <c r="K58" s="22">
        <f>SUMIF(Contagem_PF!B$8:B$606,$G58,Contagem_PF!M$8:M$606)</f>
        <v>0</v>
      </c>
      <c r="L58" s="18" t="str">
        <f t="shared" si="0"/>
        <v xml:space="preserve">           .</v>
      </c>
    </row>
    <row r="59" spans="1:12" ht="13.5" x14ac:dyDescent="0.25">
      <c r="A59" s="23"/>
      <c r="B59" s="181"/>
      <c r="C59" s="181"/>
      <c r="D59" s="181"/>
      <c r="E59" s="181"/>
      <c r="F59" s="171"/>
      <c r="G59" s="21" t="s">
        <v>146</v>
      </c>
      <c r="H59" s="212"/>
      <c r="I59" s="212"/>
      <c r="J59" s="24">
        <f>COUNTIF(Contagem_PF!B$8:B$606,G59)</f>
        <v>0</v>
      </c>
      <c r="K59" s="22">
        <f>SUMIF(Contagem_PF!B$8:B$606,$G59,Contagem_PF!M$8:M$606)</f>
        <v>0</v>
      </c>
      <c r="L59" s="18" t="str">
        <f t="shared" si="0"/>
        <v xml:space="preserve">           .</v>
      </c>
    </row>
    <row r="60" spans="1:12" ht="13.5" x14ac:dyDescent="0.25">
      <c r="A60" s="23"/>
      <c r="B60" s="181"/>
      <c r="C60" s="181"/>
      <c r="D60" s="181"/>
      <c r="E60" s="181"/>
      <c r="F60" s="171"/>
      <c r="G60" s="21" t="s">
        <v>146</v>
      </c>
      <c r="H60" s="212"/>
      <c r="I60" s="212"/>
      <c r="J60" s="24">
        <f>COUNTIF(Contagem_PF!B$8:B$606,G60)</f>
        <v>0</v>
      </c>
      <c r="K60" s="22">
        <f>SUMIF(Contagem_PF!B$8:B$606,$G60,Contagem_PF!M$8:M$606)</f>
        <v>0</v>
      </c>
      <c r="L60" s="18" t="str">
        <f t="shared" si="0"/>
        <v xml:space="preserve">           .</v>
      </c>
    </row>
    <row r="61" spans="1:12" ht="13.5" x14ac:dyDescent="0.25">
      <c r="A61" s="23"/>
      <c r="B61" s="181"/>
      <c r="C61" s="181"/>
      <c r="D61" s="181"/>
      <c r="E61" s="181"/>
      <c r="F61" s="171"/>
      <c r="G61" s="21" t="s">
        <v>146</v>
      </c>
      <c r="H61" s="212"/>
      <c r="I61" s="212"/>
      <c r="J61" s="24">
        <f>COUNTIF(Contagem_PF!B$8:B$606,G61)</f>
        <v>0</v>
      </c>
      <c r="K61" s="22">
        <f>SUMIF(Contagem_PF!B$8:B$606,$G61,Contagem_PF!M$8:M$606)</f>
        <v>0</v>
      </c>
      <c r="L61" s="18" t="str">
        <f t="shared" si="0"/>
        <v xml:space="preserve">           .</v>
      </c>
    </row>
    <row r="62" spans="1:12" ht="13.5" x14ac:dyDescent="0.25">
      <c r="A62" s="23"/>
      <c r="B62" s="181"/>
      <c r="C62" s="181"/>
      <c r="D62" s="181"/>
      <c r="E62" s="181"/>
      <c r="F62" s="171"/>
      <c r="G62" s="21" t="s">
        <v>146</v>
      </c>
      <c r="H62" s="212"/>
      <c r="I62" s="212"/>
      <c r="J62" s="24">
        <f>COUNTIF(Contagem_PF!B$8:B$606,G62)</f>
        <v>0</v>
      </c>
      <c r="K62" s="22">
        <f>SUMIF(Contagem_PF!B$8:B$606,$G62,Contagem_PF!M$8:M$606)</f>
        <v>0</v>
      </c>
      <c r="L62" s="18" t="str">
        <f t="shared" si="0"/>
        <v xml:space="preserve">           .</v>
      </c>
    </row>
    <row r="63" spans="1:12" ht="13.5" x14ac:dyDescent="0.25">
      <c r="A63" s="23"/>
      <c r="B63" s="181"/>
      <c r="C63" s="181"/>
      <c r="D63" s="181"/>
      <c r="E63" s="181"/>
      <c r="F63" s="171"/>
      <c r="G63" s="21" t="s">
        <v>146</v>
      </c>
      <c r="H63" s="212"/>
      <c r="I63" s="212"/>
      <c r="J63" s="24">
        <f>COUNTIF(Contagem_PF!B$8:B$606,G63)</f>
        <v>0</v>
      </c>
      <c r="K63" s="22">
        <f>SUMIF(Contagem_PF!B$8:B$606,$G63,Contagem_PF!M$8:M$606)</f>
        <v>0</v>
      </c>
      <c r="L63" s="18" t="str">
        <f t="shared" si="0"/>
        <v xml:space="preserve">           .</v>
      </c>
    </row>
    <row r="64" spans="1:12" ht="13.5" x14ac:dyDescent="0.25">
      <c r="A64" s="25"/>
      <c r="B64" s="213"/>
      <c r="C64" s="213"/>
      <c r="D64" s="213"/>
      <c r="E64" s="213"/>
      <c r="F64" s="172"/>
      <c r="G64" s="26" t="s">
        <v>146</v>
      </c>
      <c r="H64" s="214"/>
      <c r="I64" s="214"/>
      <c r="J64" s="27">
        <f>COUNTIF(Contagem_PF!B$8:B$606,G64)</f>
        <v>0</v>
      </c>
      <c r="K64" s="28">
        <f>SUMIF(Contagem_PF!B$8:B$606,$G64,Contagem_PF!M$8:M$606)</f>
        <v>0</v>
      </c>
      <c r="L64" s="18" t="str">
        <f t="shared" si="0"/>
        <v xml:space="preserve">           .</v>
      </c>
    </row>
  </sheetData>
  <sheetProtection algorithmName="SHA-512" hashValue="RGaCVRVp2/GPUtIQXCZMfubni99ksx9tbKAzkfHbtBn8Q02xSlRVB1LeJQxxUraQyLJna6fp2ngAT1rOe5XzpA==" saltValue="qfC2PN6lAZYdWnBbNpfhsA==" spinCount="100000" sheet="1" selectLockedCells="1" selectUnlockedCells="1"/>
  <mergeCells count="90">
    <mergeCell ref="B4:E4"/>
    <mergeCell ref="B5:E5"/>
    <mergeCell ref="A1:K1"/>
    <mergeCell ref="A2:F2"/>
    <mergeCell ref="G2:G3"/>
    <mergeCell ref="H2:I2"/>
    <mergeCell ref="J2:J3"/>
    <mergeCell ref="K2:K3"/>
    <mergeCell ref="B3:E3"/>
    <mergeCell ref="B17:E17"/>
    <mergeCell ref="B6:E6"/>
    <mergeCell ref="B7:E7"/>
    <mergeCell ref="B8:E8"/>
    <mergeCell ref="B9:E9"/>
    <mergeCell ref="B10:E10"/>
    <mergeCell ref="B11:E11"/>
    <mergeCell ref="B12:E12"/>
    <mergeCell ref="B13:E13"/>
    <mergeCell ref="B15:E15"/>
    <mergeCell ref="B16:E16"/>
    <mergeCell ref="B14:E14"/>
    <mergeCell ref="B30:E30"/>
    <mergeCell ref="B18:E18"/>
    <mergeCell ref="B19:E19"/>
    <mergeCell ref="B20:E20"/>
    <mergeCell ref="B21:E21"/>
    <mergeCell ref="B22:E22"/>
    <mergeCell ref="B24:E24"/>
    <mergeCell ref="B23:E23"/>
    <mergeCell ref="B25:E25"/>
    <mergeCell ref="B26:E26"/>
    <mergeCell ref="B27:E27"/>
    <mergeCell ref="B28:E28"/>
    <mergeCell ref="B29:E29"/>
    <mergeCell ref="B31:E31"/>
    <mergeCell ref="B36:E36"/>
    <mergeCell ref="B37:E37"/>
    <mergeCell ref="B38:E38"/>
    <mergeCell ref="A40:F40"/>
    <mergeCell ref="J40:J41"/>
    <mergeCell ref="K40:K41"/>
    <mergeCell ref="B41:E41"/>
    <mergeCell ref="B42:E42"/>
    <mergeCell ref="H42:I42"/>
    <mergeCell ref="G40:G41"/>
    <mergeCell ref="B43:E43"/>
    <mergeCell ref="H43:I43"/>
    <mergeCell ref="B44:E44"/>
    <mergeCell ref="H44:I44"/>
    <mergeCell ref="H40:I41"/>
    <mergeCell ref="B45:E45"/>
    <mergeCell ref="H45:I45"/>
    <mergeCell ref="B46:E46"/>
    <mergeCell ref="H46:I46"/>
    <mergeCell ref="B47:E47"/>
    <mergeCell ref="H47:I47"/>
    <mergeCell ref="B48:E48"/>
    <mergeCell ref="H48:I48"/>
    <mergeCell ref="B49:E49"/>
    <mergeCell ref="H49:I49"/>
    <mergeCell ref="B50:E50"/>
    <mergeCell ref="H50:I50"/>
    <mergeCell ref="B51:E51"/>
    <mergeCell ref="H51:I51"/>
    <mergeCell ref="B52:E52"/>
    <mergeCell ref="H52:I52"/>
    <mergeCell ref="B53:E53"/>
    <mergeCell ref="H53:I53"/>
    <mergeCell ref="B54:E54"/>
    <mergeCell ref="H54:I54"/>
    <mergeCell ref="B55:E55"/>
    <mergeCell ref="H55:I55"/>
    <mergeCell ref="B56:E56"/>
    <mergeCell ref="H56:I56"/>
    <mergeCell ref="B57:E57"/>
    <mergeCell ref="H57:I57"/>
    <mergeCell ref="B58:E58"/>
    <mergeCell ref="H58:I58"/>
    <mergeCell ref="B59:E59"/>
    <mergeCell ref="H59:I59"/>
    <mergeCell ref="B63:E63"/>
    <mergeCell ref="H63:I63"/>
    <mergeCell ref="B64:E64"/>
    <mergeCell ref="H64:I64"/>
    <mergeCell ref="B60:E60"/>
    <mergeCell ref="H60:I60"/>
    <mergeCell ref="B61:E61"/>
    <mergeCell ref="H61:I61"/>
    <mergeCell ref="B62:E62"/>
    <mergeCell ref="H62:I62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 r:id="rId1"/>
  <headerFooter alignWithMargins="0">
    <oddFooter>&amp;CPágina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3E64-9305-4300-AFD0-654603EE6A8D}">
  <sheetPr codeName="Plan4"/>
  <dimension ref="A1:L52"/>
  <sheetViews>
    <sheetView showGridLines="0" zoomScaleNormal="100" zoomScaleSheetLayoutView="100" workbookViewId="0">
      <pane ySplit="8" topLeftCell="A9" activePane="bottomLeft" state="frozen"/>
      <selection activeCell="B11" sqref="B11"/>
      <selection pane="bottomLeft" activeCell="H7" sqref="H7:H8"/>
    </sheetView>
  </sheetViews>
  <sheetFormatPr defaultRowHeight="12.75" x14ac:dyDescent="0.2"/>
  <cols>
    <col min="1" max="1" width="2.85546875" customWidth="1"/>
    <col min="2" max="2" width="8.42578125" customWidth="1"/>
    <col min="3" max="3" width="11.5703125" customWidth="1"/>
    <col min="4" max="4" width="1.140625" customWidth="1"/>
    <col min="5" max="5" width="7.5703125" customWidth="1"/>
    <col min="6" max="6" width="5.85546875" customWidth="1"/>
    <col min="7" max="7" width="13.42578125" customWidth="1"/>
    <col min="8" max="8" width="8.42578125" customWidth="1"/>
    <col min="9" max="9" width="5.85546875" customWidth="1"/>
    <col min="10" max="10" width="11.5703125" customWidth="1"/>
    <col min="11" max="11" width="8.42578125" customWidth="1"/>
    <col min="12" max="12" width="6.5703125" customWidth="1"/>
  </cols>
  <sheetData>
    <row r="1" spans="1:12" x14ac:dyDescent="0.2">
      <c r="A1" s="183" t="s">
        <v>161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</row>
    <row r="2" spans="1:12" x14ac:dyDescent="0.2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</row>
    <row r="3" spans="1:12" ht="20.25" customHeight="1" x14ac:dyDescent="0.2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</row>
    <row r="4" spans="1:12" x14ac:dyDescent="0.2">
      <c r="A4" s="231" t="str">
        <f>'Info Gerais'!A5&amp;" : "&amp;'Info Gerais'!F5</f>
        <v xml:space="preserve">Aplicação : </v>
      </c>
      <c r="B4" s="231"/>
      <c r="C4" s="231"/>
      <c r="D4" s="231"/>
      <c r="E4" s="231"/>
      <c r="F4" s="232" t="str">
        <f>'Info Gerais'!A8&amp;" : "&amp;'Info Gerais'!F8</f>
        <v xml:space="preserve">Projeto : </v>
      </c>
      <c r="G4" s="232"/>
      <c r="H4" s="232"/>
      <c r="I4" s="232"/>
      <c r="J4" s="232"/>
      <c r="K4" s="232"/>
      <c r="L4" s="232"/>
    </row>
    <row r="5" spans="1:12" x14ac:dyDescent="0.2">
      <c r="A5" s="231" t="str">
        <f>'Info Gerais'!A9&amp;" : "&amp;'Info Gerais'!F9</f>
        <v xml:space="preserve">Responsável : </v>
      </c>
      <c r="B5" s="231"/>
      <c r="C5" s="231"/>
      <c r="D5" s="231"/>
      <c r="E5" s="231"/>
      <c r="F5" s="232" t="str">
        <f>'Info Gerais'!A10&amp;" : "&amp;'Info Gerais'!F10</f>
        <v xml:space="preserve">Revisor : </v>
      </c>
      <c r="G5" s="232"/>
      <c r="H5" s="232"/>
      <c r="I5" s="232"/>
      <c r="J5" s="232"/>
      <c r="K5" s="232"/>
      <c r="L5" s="232"/>
    </row>
    <row r="6" spans="1:12" x14ac:dyDescent="0.2">
      <c r="A6" s="231" t="str">
        <f>'Info Gerais'!A4&amp;" : "&amp;'Info Gerais'!F4</f>
        <v>Empresa : BASIS</v>
      </c>
      <c r="B6" s="231"/>
      <c r="C6" s="231"/>
      <c r="D6" s="231"/>
      <c r="E6" s="231"/>
      <c r="F6" s="232" t="str">
        <f>"Tipo de Contagem : "&amp;'Info Gerais'!F6</f>
        <v xml:space="preserve">Tipo de Contagem : </v>
      </c>
      <c r="G6" s="232"/>
      <c r="H6" s="232"/>
      <c r="I6" s="232"/>
      <c r="J6" s="232"/>
      <c r="K6" s="232"/>
      <c r="L6" s="232"/>
    </row>
    <row r="7" spans="1:12" ht="12.75" customHeight="1" x14ac:dyDescent="0.2">
      <c r="A7" s="227" t="s">
        <v>162</v>
      </c>
      <c r="B7" s="227"/>
      <c r="C7" s="228" t="s">
        <v>163</v>
      </c>
      <c r="D7" s="228"/>
      <c r="E7" s="228"/>
      <c r="F7" s="228"/>
      <c r="G7" s="229" t="s">
        <v>164</v>
      </c>
      <c r="H7" s="229" t="s">
        <v>165</v>
      </c>
      <c r="I7" s="61"/>
      <c r="J7" s="229" t="s">
        <v>166</v>
      </c>
      <c r="K7" s="229"/>
      <c r="L7" s="230" t="s">
        <v>165</v>
      </c>
    </row>
    <row r="8" spans="1:12" x14ac:dyDescent="0.2">
      <c r="A8" s="227"/>
      <c r="B8" s="227"/>
      <c r="C8" s="228"/>
      <c r="D8" s="228"/>
      <c r="E8" s="228"/>
      <c r="F8" s="228"/>
      <c r="G8" s="229"/>
      <c r="H8" s="229"/>
      <c r="I8" s="62"/>
      <c r="J8" s="229"/>
      <c r="K8" s="229"/>
      <c r="L8" s="230"/>
    </row>
    <row r="9" spans="1:12" ht="6" customHeight="1" x14ac:dyDescent="0.25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ht="13.5" x14ac:dyDescent="0.25">
      <c r="A10" s="44"/>
      <c r="B10" s="45" t="s">
        <v>149</v>
      </c>
      <c r="C10" s="46">
        <f>COUNTIF(Contagem_PF!I8:I606,"EEL")</f>
        <v>0</v>
      </c>
      <c r="D10" s="45"/>
      <c r="E10" s="47" t="s">
        <v>167</v>
      </c>
      <c r="F10" s="47" t="s">
        <v>168</v>
      </c>
      <c r="G10" s="46">
        <f>C10*3</f>
        <v>0</v>
      </c>
      <c r="H10" s="45"/>
      <c r="I10" s="29"/>
      <c r="J10" s="48" t="str">
        <f>Deflatores!$G$4&amp;"="</f>
        <v>I=</v>
      </c>
      <c r="K10" s="49">
        <f>SUMIF(Contagem_PF!$L$8:$L$606,"EE"&amp;Deflatores!G4,Contagem_PF!$N$8:$N$606)</f>
        <v>0</v>
      </c>
      <c r="L10" s="50"/>
    </row>
    <row r="11" spans="1:12" ht="13.5" x14ac:dyDescent="0.25">
      <c r="A11" s="51"/>
      <c r="B11" s="45"/>
      <c r="C11" s="46">
        <f>COUNTIF(Contagem_PF!I8:I606,"EEA")</f>
        <v>0</v>
      </c>
      <c r="D11" s="45"/>
      <c r="E11" s="47" t="s">
        <v>169</v>
      </c>
      <c r="F11" s="47" t="s">
        <v>170</v>
      </c>
      <c r="G11" s="46">
        <f>C11*4</f>
        <v>0</v>
      </c>
      <c r="H11" s="45"/>
      <c r="I11" s="29"/>
      <c r="J11" s="48" t="str">
        <f>Deflatores!$G$5&amp;"="</f>
        <v>A=</v>
      </c>
      <c r="K11" s="49">
        <f>SUMIF(Contagem_PF!$L$8:$L$606,"EE"&amp;Deflatores!G5,Contagem_PF!$N$8:$N$606)</f>
        <v>0</v>
      </c>
      <c r="L11" s="50"/>
    </row>
    <row r="12" spans="1:12" ht="13.5" x14ac:dyDescent="0.25">
      <c r="A12" s="51"/>
      <c r="B12" s="45"/>
      <c r="C12" s="46">
        <f>COUNTIF(Contagem_PF!I8:I606,"EEH")</f>
        <v>0</v>
      </c>
      <c r="D12" s="45"/>
      <c r="E12" s="47" t="s">
        <v>171</v>
      </c>
      <c r="F12" s="47" t="s">
        <v>172</v>
      </c>
      <c r="G12" s="46">
        <f>C12*6</f>
        <v>0</v>
      </c>
      <c r="H12" s="45"/>
      <c r="I12" s="29"/>
      <c r="J12" s="48" t="str">
        <f>Deflatores!$G$6&amp;"="</f>
        <v>E=</v>
      </c>
      <c r="K12" s="49">
        <f>SUMIF(Contagem_PF!$L$8:$L$606,"EE"&amp;Deflatores!G6,Contagem_PF!$N$8:$N$606)</f>
        <v>0</v>
      </c>
      <c r="L12" s="52"/>
    </row>
    <row r="13" spans="1:12" ht="13.5" x14ac:dyDescent="0.25">
      <c r="A13" s="51"/>
      <c r="B13" s="45"/>
      <c r="C13" s="45"/>
      <c r="D13" s="45"/>
      <c r="E13" s="45"/>
      <c r="F13" s="45"/>
      <c r="G13" s="45"/>
      <c r="H13" s="45"/>
      <c r="I13" s="45"/>
      <c r="J13" s="45"/>
      <c r="K13" s="53"/>
      <c r="L13" s="50"/>
    </row>
    <row r="14" spans="1:12" ht="13.5" x14ac:dyDescent="0.25">
      <c r="A14" s="51"/>
      <c r="B14" s="54" t="s">
        <v>173</v>
      </c>
      <c r="C14" s="46">
        <f>SUM(C10:C12)</f>
        <v>0</v>
      </c>
      <c r="D14" s="45"/>
      <c r="E14" s="45"/>
      <c r="F14" s="54" t="s">
        <v>174</v>
      </c>
      <c r="G14" s="46">
        <f>SUM(G10:G12)</f>
        <v>0</v>
      </c>
      <c r="H14" s="29" t="str">
        <f>IF($G$45&lt;&gt;0,G14/$G$45,"")</f>
        <v/>
      </c>
      <c r="J14" s="48"/>
      <c r="K14" s="49">
        <f>SUM(K10:K13)</f>
        <v>0</v>
      </c>
      <c r="L14" s="30" t="str">
        <f>IF('Sumário 2'!L11&lt;&gt;0,K14/'Sumário 2'!L11,"")</f>
        <v/>
      </c>
    </row>
    <row r="15" spans="1:12" ht="6" customHeight="1" x14ac:dyDescent="0.25">
      <c r="A15" s="55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56"/>
    </row>
    <row r="16" spans="1:12" ht="6" customHeight="1" x14ac:dyDescent="0.25">
      <c r="A16" s="51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50"/>
    </row>
    <row r="17" spans="1:12" ht="13.5" x14ac:dyDescent="0.25">
      <c r="A17" s="51"/>
      <c r="B17" s="45" t="s">
        <v>153</v>
      </c>
      <c r="C17" s="48">
        <f>COUNTIF(Contagem_PF!I8:I606,"SEL")</f>
        <v>0</v>
      </c>
      <c r="D17" s="45"/>
      <c r="E17" s="47" t="s">
        <v>167</v>
      </c>
      <c r="F17" s="47" t="s">
        <v>170</v>
      </c>
      <c r="G17" s="48">
        <f>C17*4</f>
        <v>0</v>
      </c>
      <c r="H17" s="45"/>
      <c r="I17" s="45"/>
      <c r="J17" s="48" t="str">
        <f>Deflatores!$G$4&amp;"="</f>
        <v>I=</v>
      </c>
      <c r="K17" s="57">
        <f>SUMIF(Contagem_PF!$L$8:$L$606,"SE"&amp;Deflatores!$G$4,Contagem_PF!$N$8:$N$606)</f>
        <v>0</v>
      </c>
      <c r="L17" s="50"/>
    </row>
    <row r="18" spans="1:12" ht="13.5" x14ac:dyDescent="0.25">
      <c r="A18" s="51"/>
      <c r="B18" s="45"/>
      <c r="C18" s="48">
        <f>COUNTIF(Contagem_PF!I8:I606,"SEA")</f>
        <v>0</v>
      </c>
      <c r="D18" s="45"/>
      <c r="E18" s="47" t="s">
        <v>169</v>
      </c>
      <c r="F18" s="47" t="s">
        <v>175</v>
      </c>
      <c r="G18" s="48">
        <f>C18*5</f>
        <v>0</v>
      </c>
      <c r="H18" s="45"/>
      <c r="I18" s="45"/>
      <c r="J18" s="48" t="str">
        <f>Deflatores!$G$5&amp;"="</f>
        <v>A=</v>
      </c>
      <c r="K18" s="57">
        <f>SUMIF(Contagem_PF!$L$8:$L$606,"SE"&amp;Deflatores!$G$5,Contagem_PF!$N$8:$N$606)</f>
        <v>0</v>
      </c>
      <c r="L18" s="50"/>
    </row>
    <row r="19" spans="1:12" ht="13.5" x14ac:dyDescent="0.25">
      <c r="A19" s="51"/>
      <c r="B19" s="45"/>
      <c r="C19" s="48">
        <f>COUNTIF(Contagem_PF!I8:I606,"SEH")</f>
        <v>0</v>
      </c>
      <c r="D19" s="45"/>
      <c r="E19" s="47" t="s">
        <v>171</v>
      </c>
      <c r="F19" s="47" t="s">
        <v>176</v>
      </c>
      <c r="G19" s="48">
        <f>C19*7</f>
        <v>0</v>
      </c>
      <c r="H19" s="45"/>
      <c r="I19" s="45"/>
      <c r="J19" s="48" t="str">
        <f>Deflatores!$G$6&amp;"="</f>
        <v>E=</v>
      </c>
      <c r="K19" s="57">
        <f>SUMIF(Contagem_PF!$L$8:$L$606,"SE"&amp;Deflatores!$G$6,Contagem_PF!$N$8:$N$606)</f>
        <v>0</v>
      </c>
      <c r="L19" s="52"/>
    </row>
    <row r="20" spans="1:12" ht="13.5" x14ac:dyDescent="0.25">
      <c r="A20" s="51"/>
      <c r="B20" s="45"/>
      <c r="C20" s="45"/>
      <c r="D20" s="45"/>
      <c r="E20" s="45"/>
      <c r="F20" s="45"/>
      <c r="G20" s="45"/>
      <c r="H20" s="45"/>
      <c r="I20" s="45"/>
      <c r="J20" s="45"/>
      <c r="K20" s="53"/>
      <c r="L20" s="50"/>
    </row>
    <row r="21" spans="1:12" ht="13.5" x14ac:dyDescent="0.25">
      <c r="A21" s="51"/>
      <c r="B21" s="54" t="s">
        <v>173</v>
      </c>
      <c r="C21" s="46">
        <f>SUM(C17:C19)</f>
        <v>0</v>
      </c>
      <c r="D21" s="45"/>
      <c r="E21" s="45"/>
      <c r="F21" s="54" t="s">
        <v>174</v>
      </c>
      <c r="G21" s="46">
        <f>SUM(G17:G19)</f>
        <v>0</v>
      </c>
      <c r="H21" s="29" t="str">
        <f>IF($G$45&lt;&gt;0,G21/$G$45,"")</f>
        <v/>
      </c>
      <c r="J21" s="48"/>
      <c r="K21" s="49">
        <f>SUM(K17:K20)</f>
        <v>0</v>
      </c>
      <c r="L21" s="30" t="str">
        <f>IF('Sumário 2'!L11&lt;&gt;0,K21/'Sumário 2'!L11,"")</f>
        <v/>
      </c>
    </row>
    <row r="22" spans="1:12" ht="6" customHeight="1" x14ac:dyDescent="0.25">
      <c r="A22" s="55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56"/>
    </row>
    <row r="23" spans="1:12" ht="6" customHeight="1" x14ac:dyDescent="0.25">
      <c r="A23" s="41"/>
      <c r="B23" s="42"/>
      <c r="C23" s="45"/>
      <c r="D23" s="42"/>
      <c r="E23" s="42"/>
      <c r="F23" s="42"/>
      <c r="G23" s="45"/>
      <c r="H23" s="42"/>
      <c r="I23" s="42"/>
      <c r="J23" s="42"/>
      <c r="K23" s="42"/>
      <c r="L23" s="43"/>
    </row>
    <row r="24" spans="1:12" ht="13.5" x14ac:dyDescent="0.25">
      <c r="A24" s="51"/>
      <c r="B24" s="45" t="s">
        <v>152</v>
      </c>
      <c r="C24" s="46">
        <f>COUNTIF(Contagem_PF!I8:I606,"CEL")</f>
        <v>0</v>
      </c>
      <c r="D24" s="45"/>
      <c r="E24" s="47" t="s">
        <v>167</v>
      </c>
      <c r="F24" s="47" t="s">
        <v>168</v>
      </c>
      <c r="G24" s="46">
        <f>C24*3</f>
        <v>0</v>
      </c>
      <c r="H24" s="45"/>
      <c r="I24" s="45"/>
      <c r="J24" s="48" t="str">
        <f>Deflatores!$G$4&amp;"="</f>
        <v>I=</v>
      </c>
      <c r="K24" s="49">
        <f>SUMIF(Contagem_PF!$L$8:$L$606,"CE"&amp;Deflatores!$G$4,Contagem_PF!$N$8:$N$606)</f>
        <v>0</v>
      </c>
      <c r="L24" s="50"/>
    </row>
    <row r="25" spans="1:12" ht="13.5" x14ac:dyDescent="0.25">
      <c r="A25" s="51"/>
      <c r="B25" s="45"/>
      <c r="C25" s="46">
        <f>COUNTIF(Contagem_PF!I8:I606,"CEA")</f>
        <v>0</v>
      </c>
      <c r="D25" s="45"/>
      <c r="E25" s="47" t="s">
        <v>169</v>
      </c>
      <c r="F25" s="47" t="s">
        <v>170</v>
      </c>
      <c r="G25" s="46">
        <f>C25*4</f>
        <v>0</v>
      </c>
      <c r="H25" s="45"/>
      <c r="I25" s="45"/>
      <c r="J25" s="48" t="str">
        <f>Deflatores!$G$5&amp;"="</f>
        <v>A=</v>
      </c>
      <c r="K25" s="49">
        <f>SUMIF(Contagem_PF!$L$8:$L$606,"CE"&amp;Deflatores!$G$5,Contagem_PF!$N$8:$N$606)</f>
        <v>0</v>
      </c>
      <c r="L25" s="50"/>
    </row>
    <row r="26" spans="1:12" ht="13.5" x14ac:dyDescent="0.25">
      <c r="A26" s="51"/>
      <c r="B26" s="45"/>
      <c r="C26" s="46">
        <f>COUNTIF(Contagem_PF!I8:I606,"CEH")</f>
        <v>0</v>
      </c>
      <c r="D26" s="45"/>
      <c r="E26" s="47" t="s">
        <v>171</v>
      </c>
      <c r="F26" s="47" t="s">
        <v>172</v>
      </c>
      <c r="G26" s="46">
        <f>C26*6</f>
        <v>0</v>
      </c>
      <c r="H26" s="45"/>
      <c r="I26" s="45"/>
      <c r="J26" s="48" t="str">
        <f>Deflatores!$G$6&amp;"="</f>
        <v>E=</v>
      </c>
      <c r="K26" s="49">
        <f>SUMIF(Contagem_PF!$L$8:$L$606,"CE"&amp;Deflatores!$G$6,Contagem_PF!$N$8:$N$606)</f>
        <v>0</v>
      </c>
      <c r="L26" s="52"/>
    </row>
    <row r="27" spans="1:12" ht="13.5" x14ac:dyDescent="0.25">
      <c r="A27" s="51"/>
      <c r="B27" s="45"/>
      <c r="C27" s="45"/>
      <c r="D27" s="45"/>
      <c r="E27" s="45"/>
      <c r="F27" s="45"/>
      <c r="G27" s="45"/>
      <c r="H27" s="45"/>
      <c r="I27" s="45"/>
      <c r="J27" s="45"/>
      <c r="K27" s="53"/>
      <c r="L27" s="50"/>
    </row>
    <row r="28" spans="1:12" ht="13.5" x14ac:dyDescent="0.25">
      <c r="A28" s="51"/>
      <c r="B28" s="54" t="s">
        <v>173</v>
      </c>
      <c r="C28" s="46">
        <f>SUM(C24:C26)</f>
        <v>0</v>
      </c>
      <c r="D28" s="45"/>
      <c r="E28" s="45"/>
      <c r="F28" s="54" t="s">
        <v>174</v>
      </c>
      <c r="G28" s="46">
        <f>SUM(G24:G26)</f>
        <v>0</v>
      </c>
      <c r="H28" s="29" t="str">
        <f>IF($G$45&lt;&gt;0,G28/$G$45,"")</f>
        <v/>
      </c>
      <c r="J28" s="48"/>
      <c r="K28" s="49">
        <f>SUM(K24:K27)</f>
        <v>0</v>
      </c>
      <c r="L28" s="30" t="str">
        <f>IF('Sumário 2'!L11&lt;&gt;0,K28/'Sumário 2'!L11,"")</f>
        <v/>
      </c>
    </row>
    <row r="29" spans="1:12" ht="6" customHeight="1" x14ac:dyDescent="0.25">
      <c r="A29" s="55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56"/>
    </row>
    <row r="30" spans="1:12" ht="6" customHeight="1" x14ac:dyDescent="0.25">
      <c r="A30" s="41"/>
      <c r="B30" s="42"/>
      <c r="C30" s="45"/>
      <c r="D30" s="42"/>
      <c r="E30" s="42"/>
      <c r="F30" s="42"/>
      <c r="G30" s="45"/>
      <c r="H30" s="42"/>
      <c r="I30" s="42"/>
      <c r="J30" s="42"/>
      <c r="K30" s="42"/>
      <c r="L30" s="43"/>
    </row>
    <row r="31" spans="1:12" ht="13.5" x14ac:dyDescent="0.25">
      <c r="A31" s="51"/>
      <c r="B31" s="45" t="s">
        <v>147</v>
      </c>
      <c r="C31" s="46">
        <f>COUNTIF(Contagem_PF!I8:I606,"ALIL")</f>
        <v>0</v>
      </c>
      <c r="D31" s="45"/>
      <c r="E31" s="45" t="s">
        <v>167</v>
      </c>
      <c r="F31" s="45" t="s">
        <v>176</v>
      </c>
      <c r="G31" s="46">
        <f>C31*7</f>
        <v>0</v>
      </c>
      <c r="H31" s="45"/>
      <c r="I31" s="45"/>
      <c r="J31" s="48" t="str">
        <f>Deflatores!$G$4&amp;"="</f>
        <v>I=</v>
      </c>
      <c r="K31" s="49">
        <f>SUMIF(Contagem_PF!$L$8:$L$606,"ALI"&amp;Deflatores!$G$4,Contagem_PF!$N$8:$N$606)</f>
        <v>0</v>
      </c>
      <c r="L31" s="50"/>
    </row>
    <row r="32" spans="1:12" ht="13.5" x14ac:dyDescent="0.25">
      <c r="A32" s="51"/>
      <c r="B32" s="45"/>
      <c r="C32" s="46">
        <f>COUNTIF(Contagem_PF!I8:I606,"ALIA")</f>
        <v>0</v>
      </c>
      <c r="D32" s="45"/>
      <c r="E32" s="45" t="s">
        <v>169</v>
      </c>
      <c r="F32" s="45" t="s">
        <v>177</v>
      </c>
      <c r="G32" s="46">
        <f>C32*10</f>
        <v>0</v>
      </c>
      <c r="H32" s="45"/>
      <c r="I32" s="45"/>
      <c r="J32" s="48" t="str">
        <f>Deflatores!$G$5&amp;"="</f>
        <v>A=</v>
      </c>
      <c r="K32" s="49">
        <f>SUMIF(Contagem_PF!$L$8:$L$606,"ALI"&amp;Deflatores!$G$5,Contagem_PF!$N$8:$N$606)</f>
        <v>0</v>
      </c>
      <c r="L32" s="50"/>
    </row>
    <row r="33" spans="1:12" ht="13.5" x14ac:dyDescent="0.25">
      <c r="A33" s="51"/>
      <c r="B33" s="45"/>
      <c r="C33" s="46">
        <f>COUNTIF(Contagem_PF!I8:I606,"ALIH")</f>
        <v>0</v>
      </c>
      <c r="D33" s="45"/>
      <c r="E33" s="45" t="s">
        <v>171</v>
      </c>
      <c r="F33" s="45" t="s">
        <v>178</v>
      </c>
      <c r="G33" s="46">
        <f>C33*15</f>
        <v>0</v>
      </c>
      <c r="H33" s="45"/>
      <c r="I33" s="45"/>
      <c r="J33" s="48" t="str">
        <f>Deflatores!$G$6&amp;"="</f>
        <v>E=</v>
      </c>
      <c r="K33" s="49">
        <f>SUMIF(Contagem_PF!$L$8:$L$606,"ALI"&amp;Deflatores!$G$6,Contagem_PF!$N$8:$N$606)</f>
        <v>0</v>
      </c>
      <c r="L33" s="52"/>
    </row>
    <row r="34" spans="1:12" ht="13.5" x14ac:dyDescent="0.25">
      <c r="A34" s="51"/>
      <c r="B34" s="45"/>
      <c r="C34" s="45"/>
      <c r="D34" s="45"/>
      <c r="E34" s="45"/>
      <c r="F34" s="45"/>
      <c r="G34" s="45"/>
      <c r="H34" s="45"/>
      <c r="I34" s="45"/>
      <c r="J34" s="45"/>
      <c r="K34" s="53"/>
      <c r="L34" s="50"/>
    </row>
    <row r="35" spans="1:12" ht="13.5" x14ac:dyDescent="0.25">
      <c r="A35" s="51"/>
      <c r="B35" s="54" t="s">
        <v>173</v>
      </c>
      <c r="C35" s="46">
        <f>SUM(C31:C33)</f>
        <v>0</v>
      </c>
      <c r="D35" s="45"/>
      <c r="E35" s="45"/>
      <c r="F35" s="54" t="s">
        <v>174</v>
      </c>
      <c r="G35" s="46">
        <f>SUM(G31:G33)</f>
        <v>0</v>
      </c>
      <c r="H35" s="29" t="str">
        <f>IF($G$45&lt;&gt;0,G35/$G$45,"")</f>
        <v/>
      </c>
      <c r="J35" s="48"/>
      <c r="K35" s="49">
        <f>SUM(K31:K34)</f>
        <v>0</v>
      </c>
      <c r="L35" s="30" t="str">
        <f>IF('Sumário 2'!L11&lt;&gt;0,K35/'Sumário 2'!L11,"")</f>
        <v/>
      </c>
    </row>
    <row r="36" spans="1:12" ht="6" customHeight="1" x14ac:dyDescent="0.25">
      <c r="A36" s="55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56"/>
    </row>
    <row r="37" spans="1:12" ht="6" customHeight="1" x14ac:dyDescent="0.25">
      <c r="A37" s="41"/>
      <c r="B37" s="42"/>
      <c r="C37" s="45"/>
      <c r="D37" s="42"/>
      <c r="E37" s="42"/>
      <c r="F37" s="42"/>
      <c r="G37" s="45"/>
      <c r="H37" s="42"/>
      <c r="I37" s="42"/>
      <c r="J37" s="42"/>
      <c r="K37" s="42"/>
      <c r="L37" s="43"/>
    </row>
    <row r="38" spans="1:12" ht="13.5" x14ac:dyDescent="0.25">
      <c r="A38" s="51"/>
      <c r="B38" s="45" t="s">
        <v>148</v>
      </c>
      <c r="C38" s="46">
        <f>COUNTIF(Contagem_PF!I8:I606,"AIEL")</f>
        <v>0</v>
      </c>
      <c r="D38" s="45"/>
      <c r="E38" s="45" t="s">
        <v>167</v>
      </c>
      <c r="F38" s="45" t="s">
        <v>175</v>
      </c>
      <c r="G38" s="46">
        <f>C38*5</f>
        <v>0</v>
      </c>
      <c r="H38" s="45"/>
      <c r="I38" s="45"/>
      <c r="J38" s="48" t="str">
        <f>Deflatores!$G$4&amp;"="</f>
        <v>I=</v>
      </c>
      <c r="K38" s="49">
        <f>SUMIF(Contagem_PF!$L$8:$L$606,"AIE"&amp;Deflatores!$G$4,Contagem_PF!$N$8:$N$606)</f>
        <v>0</v>
      </c>
      <c r="L38" s="50"/>
    </row>
    <row r="39" spans="1:12" ht="13.5" x14ac:dyDescent="0.25">
      <c r="A39" s="51"/>
      <c r="B39" s="45"/>
      <c r="C39" s="46">
        <f>COUNTIF(Contagem_PF!I8:I606,"AIEA")</f>
        <v>0</v>
      </c>
      <c r="D39" s="45"/>
      <c r="E39" s="45" t="s">
        <v>169</v>
      </c>
      <c r="F39" s="45" t="s">
        <v>176</v>
      </c>
      <c r="G39" s="46">
        <f>C39*7</f>
        <v>0</v>
      </c>
      <c r="H39" s="45"/>
      <c r="I39" s="45"/>
      <c r="J39" s="48" t="str">
        <f>Deflatores!$G$5&amp;"="</f>
        <v>A=</v>
      </c>
      <c r="K39" s="49">
        <f>SUMIF(Contagem_PF!$L$8:$L$606,"AIE"&amp;Deflatores!$G$5,Contagem_PF!$N$8:$N$606)</f>
        <v>0</v>
      </c>
      <c r="L39" s="50"/>
    </row>
    <row r="40" spans="1:12" ht="13.5" x14ac:dyDescent="0.25">
      <c r="A40" s="51"/>
      <c r="B40" s="45"/>
      <c r="C40" s="46">
        <f>COUNTIF(Contagem_PF!I8:I606,"AIEH")</f>
        <v>0</v>
      </c>
      <c r="D40" s="45"/>
      <c r="E40" s="45" t="s">
        <v>171</v>
      </c>
      <c r="F40" s="45" t="s">
        <v>177</v>
      </c>
      <c r="G40" s="46">
        <f>C40*10</f>
        <v>0</v>
      </c>
      <c r="H40" s="45"/>
      <c r="I40" s="45"/>
      <c r="J40" s="48" t="str">
        <f>Deflatores!$G$6&amp;"="</f>
        <v>E=</v>
      </c>
      <c r="K40" s="49">
        <f>SUMIF(Contagem_PF!$L$8:$L$606,"AIE"&amp;Deflatores!$G$6,Contagem_PF!$N$8:$N$606)</f>
        <v>0</v>
      </c>
      <c r="L40" s="52"/>
    </row>
    <row r="41" spans="1:12" ht="13.5" x14ac:dyDescent="0.25">
      <c r="A41" s="51"/>
      <c r="B41" s="45"/>
      <c r="C41" s="45"/>
      <c r="D41" s="45"/>
      <c r="E41" s="45"/>
      <c r="F41" s="45"/>
      <c r="G41" s="45"/>
      <c r="H41" s="45"/>
      <c r="I41" s="45"/>
      <c r="J41" s="45"/>
      <c r="K41" s="53"/>
      <c r="L41" s="50"/>
    </row>
    <row r="42" spans="1:12" ht="13.5" x14ac:dyDescent="0.25">
      <c r="A42" s="51"/>
      <c r="B42" s="54" t="s">
        <v>173</v>
      </c>
      <c r="C42" s="46">
        <f>SUM(C38:C40)</f>
        <v>0</v>
      </c>
      <c r="D42" s="45"/>
      <c r="E42" s="45"/>
      <c r="F42" s="54" t="s">
        <v>174</v>
      </c>
      <c r="G42" s="46">
        <f>SUM(G38:G40)</f>
        <v>0</v>
      </c>
      <c r="H42" s="29" t="str">
        <f>IF($G$45&lt;&gt;0,G42/$G$45,"")</f>
        <v/>
      </c>
      <c r="J42" s="48"/>
      <c r="K42" s="49">
        <f>SUM(K38:K41)</f>
        <v>0</v>
      </c>
      <c r="L42" s="30" t="str">
        <f>IF('Sumário 2'!L11&lt;&gt;0,K42/'Sumário 2'!L11,"")</f>
        <v/>
      </c>
    </row>
    <row r="43" spans="1:12" ht="6" customHeight="1" x14ac:dyDescent="0.25">
      <c r="A43" s="55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56"/>
    </row>
    <row r="44" spans="1:12" ht="6" customHeight="1" x14ac:dyDescent="0.25">
      <c r="A44" s="51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50"/>
    </row>
    <row r="45" spans="1:12" ht="13.5" x14ac:dyDescent="0.25">
      <c r="A45" s="51"/>
      <c r="B45" s="226" t="s">
        <v>179</v>
      </c>
      <c r="C45" s="226"/>
      <c r="D45" s="226"/>
      <c r="E45" s="226"/>
      <c r="F45" s="226"/>
      <c r="G45" s="46">
        <f>SUM(G14+G21+G28+G35+G42)</f>
        <v>0</v>
      </c>
      <c r="H45" s="45"/>
      <c r="I45" s="45"/>
      <c r="J45" s="45"/>
      <c r="K45" s="45"/>
      <c r="L45" s="50"/>
    </row>
    <row r="46" spans="1:12" ht="13.5" x14ac:dyDescent="0.25">
      <c r="A46" s="51"/>
      <c r="B46" s="226" t="s">
        <v>180</v>
      </c>
      <c r="C46" s="226"/>
      <c r="D46" s="226"/>
      <c r="E46" s="226"/>
      <c r="F46" s="226"/>
      <c r="G46" s="46">
        <f>(C10+C11+C12)*4+(C17+C18+C19)*5+(C24+C25+C26)*4+(C31+C32+C33)*7+(C38+C39+C40)*5</f>
        <v>0</v>
      </c>
      <c r="H46" s="45"/>
      <c r="I46" s="45"/>
      <c r="J46" s="45"/>
      <c r="K46" s="45"/>
      <c r="L46" s="50"/>
    </row>
    <row r="47" spans="1:12" ht="13.5" x14ac:dyDescent="0.25">
      <c r="A47" s="51"/>
      <c r="B47" s="226" t="s">
        <v>181</v>
      </c>
      <c r="C47" s="226"/>
      <c r="D47" s="226"/>
      <c r="E47" s="226"/>
      <c r="F47" s="226"/>
      <c r="G47" s="46">
        <f>(C31+C32+C33)*35+(C38+C39+C40)*15</f>
        <v>0</v>
      </c>
      <c r="H47" s="45"/>
      <c r="I47" s="45"/>
      <c r="J47" s="45"/>
      <c r="K47" s="45"/>
      <c r="L47" s="50"/>
    </row>
    <row r="48" spans="1:12" ht="13.5" x14ac:dyDescent="0.25">
      <c r="A48" s="51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50"/>
    </row>
    <row r="49" spans="1:12" ht="13.5" x14ac:dyDescent="0.25">
      <c r="A49" s="51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50"/>
    </row>
    <row r="50" spans="1:12" ht="13.5" x14ac:dyDescent="0.25">
      <c r="A50" s="51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50"/>
    </row>
    <row r="51" spans="1:12" ht="13.5" x14ac:dyDescent="0.25">
      <c r="A51" s="51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50"/>
    </row>
    <row r="52" spans="1:12" ht="13.5" x14ac:dyDescent="0.25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60"/>
    </row>
  </sheetData>
  <sheetProtection algorithmName="SHA-512" hashValue="F72SzJF9Mu2bqGV45pj5O5dtPKuGldIlIBpt8+eEzA/2YxtgQfm6LJuX/8hkqvGzrwL86nKmfxoC4snpV8PVRQ==" saltValue="JGR2L2FFq6RAmdzyNPXR3g==" spinCount="100000" sheet="1" selectLockedCells="1" selectUnlockedCells="1"/>
  <mergeCells count="16">
    <mergeCell ref="G7:G8"/>
    <mergeCell ref="H7:H8"/>
    <mergeCell ref="J7:K8"/>
    <mergeCell ref="L7:L8"/>
    <mergeCell ref="A1:L3"/>
    <mergeCell ref="A4:E4"/>
    <mergeCell ref="F4:L4"/>
    <mergeCell ref="A5:E5"/>
    <mergeCell ref="F5:L5"/>
    <mergeCell ref="A6:E6"/>
    <mergeCell ref="F6:L6"/>
    <mergeCell ref="B45:F45"/>
    <mergeCell ref="B46:F46"/>
    <mergeCell ref="B47:F47"/>
    <mergeCell ref="A7:B8"/>
    <mergeCell ref="C7:F8"/>
  </mergeCell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1E16-792E-462F-906A-EA54CC4BD071}">
  <sheetPr codeName="Plan5"/>
  <dimension ref="A1:M70"/>
  <sheetViews>
    <sheetView showGridLines="0" zoomScaleNormal="100" zoomScaleSheetLayoutView="100" workbookViewId="0">
      <pane ySplit="6" topLeftCell="A7" activePane="bottomLeft" state="frozen"/>
      <selection activeCell="B11" sqref="B11"/>
      <selection pane="bottomLeft" activeCell="H46" sqref="H46"/>
    </sheetView>
  </sheetViews>
  <sheetFormatPr defaultColWidth="11.5703125" defaultRowHeight="12.75" x14ac:dyDescent="0.2"/>
  <cols>
    <col min="1" max="1" width="3.140625" customWidth="1"/>
    <col min="2" max="2" width="32.5703125" customWidth="1"/>
    <col min="3" max="3" width="36.42578125" customWidth="1"/>
    <col min="4" max="4" width="7" customWidth="1"/>
    <col min="5" max="5" width="9.85546875" customWidth="1"/>
    <col min="6" max="6" width="9.42578125" customWidth="1"/>
    <col min="7" max="8" width="12.42578125" customWidth="1"/>
    <col min="9" max="9" width="12.5703125" customWidth="1"/>
    <col min="10" max="10" width="7.5703125" customWidth="1"/>
    <col min="11" max="11" width="2.140625" customWidth="1"/>
    <col min="12" max="12" width="13.5703125" customWidth="1"/>
    <col min="13" max="13" width="1.85546875" customWidth="1"/>
  </cols>
  <sheetData>
    <row r="1" spans="1:13" x14ac:dyDescent="0.2">
      <c r="A1" s="183" t="s">
        <v>182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</row>
    <row r="2" spans="1:13" ht="21" customHeight="1" x14ac:dyDescent="0.2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</row>
    <row r="3" spans="1:13" ht="22.5" customHeight="1" x14ac:dyDescent="0.2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</row>
    <row r="4" spans="1:13" x14ac:dyDescent="0.2">
      <c r="A4" s="231" t="str">
        <f>'Info Gerais'!A5&amp;" : "&amp;'Info Gerais'!F5</f>
        <v xml:space="preserve">Aplicação : </v>
      </c>
      <c r="B4" s="231"/>
      <c r="C4" s="231"/>
      <c r="D4" s="231"/>
      <c r="E4" s="231"/>
      <c r="F4" s="232" t="str">
        <f>'Info Gerais'!A8&amp;" : "&amp;'Info Gerais'!F8</f>
        <v xml:space="preserve">Projeto : </v>
      </c>
      <c r="G4" s="232"/>
      <c r="H4" s="232"/>
      <c r="I4" s="232"/>
      <c r="J4" s="232"/>
      <c r="K4" s="232"/>
      <c r="L4" s="232"/>
      <c r="M4" s="232"/>
    </row>
    <row r="5" spans="1:13" x14ac:dyDescent="0.2">
      <c r="A5" s="234" t="str">
        <f>'Info Gerais'!A9&amp;" : "&amp;'Info Gerais'!F9</f>
        <v xml:space="preserve">Responsável : </v>
      </c>
      <c r="B5" s="234"/>
      <c r="C5" s="234"/>
      <c r="D5" s="234"/>
      <c r="E5" s="234"/>
      <c r="F5" s="232" t="str">
        <f>'Info Gerais'!A10&amp;" : "&amp;'Info Gerais'!F10</f>
        <v xml:space="preserve">Revisor : </v>
      </c>
      <c r="G5" s="232"/>
      <c r="H5" s="232"/>
      <c r="I5" s="232"/>
      <c r="J5" s="232"/>
      <c r="K5" s="232"/>
      <c r="L5" s="232"/>
      <c r="M5" s="232"/>
    </row>
    <row r="6" spans="1:13" x14ac:dyDescent="0.2">
      <c r="A6" s="234" t="str">
        <f>'Info Gerais'!A4&amp;" : "&amp;'Info Gerais'!F4</f>
        <v>Empresa : BASIS</v>
      </c>
      <c r="B6" s="234"/>
      <c r="C6" s="234"/>
      <c r="D6" s="234"/>
      <c r="E6" s="234"/>
      <c r="F6" s="232" t="str">
        <f>"Tipo de Contagem : "&amp;'Info Gerais'!F6</f>
        <v xml:space="preserve">Tipo de Contagem : </v>
      </c>
      <c r="G6" s="232"/>
      <c r="H6" s="232"/>
      <c r="I6" s="232"/>
      <c r="J6" s="232"/>
      <c r="K6" s="232"/>
      <c r="L6" s="232"/>
      <c r="M6" s="232"/>
    </row>
    <row r="7" spans="1:13" x14ac:dyDescent="0.2">
      <c r="A7" s="69"/>
      <c r="M7" s="70"/>
    </row>
    <row r="8" spans="1:13" ht="13.5" x14ac:dyDescent="0.25">
      <c r="A8" s="69"/>
      <c r="B8" s="235"/>
      <c r="C8" s="235"/>
      <c r="D8" s="235"/>
      <c r="E8" s="235"/>
      <c r="F8" s="235"/>
      <c r="G8" s="235"/>
      <c r="H8" s="235"/>
      <c r="I8" s="235"/>
      <c r="M8" s="70"/>
    </row>
    <row r="9" spans="1:13" ht="13.5" x14ac:dyDescent="0.25">
      <c r="A9" s="69"/>
      <c r="B9" s="236" t="s">
        <v>183</v>
      </c>
      <c r="C9" s="236"/>
      <c r="D9" s="236"/>
      <c r="E9" s="31" t="s">
        <v>150</v>
      </c>
      <c r="F9" s="31" t="s">
        <v>3</v>
      </c>
      <c r="G9" s="31" t="s">
        <v>184</v>
      </c>
      <c r="H9" s="31" t="s">
        <v>185</v>
      </c>
      <c r="I9" s="31" t="s">
        <v>7</v>
      </c>
      <c r="J9" s="31" t="s">
        <v>186</v>
      </c>
      <c r="M9" s="70"/>
    </row>
    <row r="10" spans="1:13" ht="13.5" customHeight="1" x14ac:dyDescent="0.25">
      <c r="A10" s="69"/>
      <c r="B10" s="181" t="str">
        <f>""&amp;Deflatores!B4</f>
        <v>Inclusão</v>
      </c>
      <c r="C10" s="181"/>
      <c r="D10" s="21" t="str">
        <f>""&amp;Deflatores!G4</f>
        <v>I</v>
      </c>
      <c r="E10" s="89">
        <f>IF(D10="","",COUNTIF(Contagem_PF!C$8:C$606,D10))</f>
        <v>0</v>
      </c>
      <c r="F10" s="90">
        <f>SUMIF(Contagem_PF!$C$8:$C$606,Deflatores!G4,Contagem_PF!$J$8:$J$606)</f>
        <v>0</v>
      </c>
      <c r="G10" s="91">
        <f>IF(ISBLANK(Deflatores!H4),"",Deflatores!H4)</f>
        <v>1</v>
      </c>
      <c r="H10" s="90" t="str">
        <f>IF(ISBLANK(Deflatores!I4),"",Deflatores!I4)</f>
        <v/>
      </c>
      <c r="I10" s="92">
        <f>IF(F10=0,Deflatores!K4,F10*G10)</f>
        <v>0</v>
      </c>
      <c r="J10" s="93" t="str">
        <f t="shared" ref="J10:J44" si="0">IF($L$11&lt;&gt;0,I10/$L$11,"")</f>
        <v/>
      </c>
      <c r="L10" s="36" t="s">
        <v>7</v>
      </c>
      <c r="M10" s="50"/>
    </row>
    <row r="11" spans="1:13" ht="13.5" customHeight="1" x14ac:dyDescent="0.25">
      <c r="A11" s="69"/>
      <c r="B11" s="181" t="str">
        <f>""&amp;Deflatores!B5</f>
        <v>Alteração (sem conhecimento do Fator de Impacto)</v>
      </c>
      <c r="C11" s="181"/>
      <c r="D11" s="21" t="str">
        <f>""&amp;Deflatores!G5</f>
        <v>A</v>
      </c>
      <c r="E11" s="89">
        <f>IF(D11="","",COUNTIF(Contagem_PF!C$8:C$606,D11))</f>
        <v>0</v>
      </c>
      <c r="F11" s="90">
        <f>SUMIF(Contagem_PF!$C$8:$C$606,Deflatores!G5,Contagem_PF!$J$8:$J$606)</f>
        <v>0</v>
      </c>
      <c r="G11" s="91">
        <f>IF(ISBLANK(Deflatores!H5),"",Deflatores!H5)</f>
        <v>0.5</v>
      </c>
      <c r="H11" s="90" t="str">
        <f>IF(ISBLANK(Deflatores!I5),"",Deflatores!I5)</f>
        <v/>
      </c>
      <c r="I11" s="92">
        <f>IF(F11=0,Deflatores!K5,F11*G11)</f>
        <v>0</v>
      </c>
      <c r="J11" s="93" t="str">
        <f t="shared" si="0"/>
        <v/>
      </c>
      <c r="K11" s="80"/>
      <c r="L11" s="37">
        <f>'Info Gerais'!Q6</f>
        <v>0</v>
      </c>
      <c r="M11" s="50"/>
    </row>
    <row r="12" spans="1:13" ht="13.5" customHeight="1" x14ac:dyDescent="0.25">
      <c r="A12" s="69"/>
      <c r="B12" s="181" t="str">
        <f>""&amp;Deflatores!B6</f>
        <v>Exclusão</v>
      </c>
      <c r="C12" s="181"/>
      <c r="D12" s="21" t="str">
        <f>""&amp;Deflatores!G6</f>
        <v>E</v>
      </c>
      <c r="E12" s="89">
        <f>IF(D12="","",COUNTIF(Contagem_PF!C$8:C$606,D12))</f>
        <v>0</v>
      </c>
      <c r="F12" s="90">
        <f>SUMIF(Contagem_PF!$C$8:$C$606,Deflatores!G6,Contagem_PF!$J$8:$J$606)</f>
        <v>0</v>
      </c>
      <c r="G12" s="91">
        <f>IF(ISBLANK(Deflatores!H6),"",Deflatores!H6)</f>
        <v>0.4</v>
      </c>
      <c r="H12" s="90" t="str">
        <f>IF(ISBLANK(Deflatores!I6),"",Deflatores!I6)</f>
        <v/>
      </c>
      <c r="I12" s="92">
        <f>IF(F12=0,Deflatores!K6,F12*G12)</f>
        <v>0</v>
      </c>
      <c r="J12" s="93" t="str">
        <f t="shared" si="0"/>
        <v/>
      </c>
      <c r="K12" s="80"/>
      <c r="L12" s="81"/>
      <c r="M12" s="50"/>
    </row>
    <row r="13" spans="1:13" ht="13.5" customHeight="1" x14ac:dyDescent="0.25">
      <c r="A13" s="69"/>
      <c r="B13" s="181" t="str">
        <f>""&amp;Deflatores!B7</f>
        <v>Alteração (50%) de função desenvolvida ou já alterada pela empresa atual</v>
      </c>
      <c r="C13" s="181"/>
      <c r="D13" s="21" t="str">
        <f>""&amp;Deflatores!G7</f>
        <v>A50</v>
      </c>
      <c r="E13" s="89">
        <f>IF(D13="","",COUNTIF(Contagem_PF!C$8:C$606,D13))</f>
        <v>0</v>
      </c>
      <c r="F13" s="90">
        <f>SUMIF(Contagem_PF!$C$8:$C$606,Deflatores!G7,Contagem_PF!$J$8:$J$606)</f>
        <v>0</v>
      </c>
      <c r="G13" s="91">
        <f>IF(ISBLANK(Deflatores!H7),"",Deflatores!H7)</f>
        <v>0.5</v>
      </c>
      <c r="H13" s="90" t="str">
        <f>IF(ISBLANK(Deflatores!I7),"",Deflatores!I7)</f>
        <v/>
      </c>
      <c r="I13" s="92">
        <f>Deflatores!K7</f>
        <v>0</v>
      </c>
      <c r="J13" s="93" t="str">
        <f t="shared" si="0"/>
        <v/>
      </c>
      <c r="K13" s="80"/>
      <c r="L13" s="36" t="s">
        <v>187</v>
      </c>
      <c r="M13" s="50"/>
    </row>
    <row r="14" spans="1:13" ht="13.5" customHeight="1" x14ac:dyDescent="0.25">
      <c r="A14" s="69"/>
      <c r="B14" s="181" t="str">
        <f>""&amp;Deflatores!B8</f>
        <v>Alteração (75%) de função não desenv. e ainda não alterada pela empresa atual</v>
      </c>
      <c r="C14" s="181"/>
      <c r="D14" s="21" t="str">
        <f>""&amp;Deflatores!G8</f>
        <v>A75</v>
      </c>
      <c r="E14" s="89">
        <f>IF(D14="","",COUNTIF(Contagem_PF!C$8:C$606,D14))</f>
        <v>0</v>
      </c>
      <c r="F14" s="90">
        <f>SUMIF(Contagem_PF!$C$8:$C$606,Deflatores!G8,Contagem_PF!$J$8:$J$606)</f>
        <v>0</v>
      </c>
      <c r="G14" s="91">
        <f>IF(ISBLANK(Deflatores!H8),"",Deflatores!H8)</f>
        <v>0.75</v>
      </c>
      <c r="H14" s="90" t="str">
        <f>IF(ISBLANK(Deflatores!I8),"",Deflatores!I8)</f>
        <v/>
      </c>
      <c r="I14" s="92">
        <f>Deflatores!K8</f>
        <v>0</v>
      </c>
      <c r="J14" s="93" t="str">
        <f t="shared" si="0"/>
        <v/>
      </c>
      <c r="L14" s="37">
        <f>'Info Gerais'!Q4</f>
        <v>0</v>
      </c>
      <c r="M14" s="50"/>
    </row>
    <row r="15" spans="1:13" ht="13.5" customHeight="1" x14ac:dyDescent="0.2">
      <c r="A15" s="69"/>
      <c r="B15" s="181" t="str">
        <f>""&amp;Deflatores!B9</f>
        <v>Alteração (75%+15%): o mesmo acima + redocumentar a função</v>
      </c>
      <c r="C15" s="181"/>
      <c r="D15" s="21" t="str">
        <f>""&amp;Deflatores!G9</f>
        <v>A90</v>
      </c>
      <c r="E15" s="89">
        <f>IF(D15="","",COUNTIF(Contagem_PF!C$8:C$606,D15))</f>
        <v>0</v>
      </c>
      <c r="F15" s="90">
        <f>SUMIF(Contagem_PF!$C$8:$C$606,Deflatores!G9,Contagem_PF!$J$8:$J$606)</f>
        <v>0</v>
      </c>
      <c r="G15" s="91">
        <f>IF(ISBLANK(Deflatores!H9),"",Deflatores!H9)</f>
        <v>0.9</v>
      </c>
      <c r="H15" s="90" t="str">
        <f>IF(ISBLANK(Deflatores!I9),"",Deflatores!I9)</f>
        <v/>
      </c>
      <c r="I15" s="92">
        <f>Deflatores!K9</f>
        <v>0</v>
      </c>
      <c r="J15" s="93" t="str">
        <f t="shared" si="0"/>
        <v/>
      </c>
      <c r="M15" s="70"/>
    </row>
    <row r="16" spans="1:13" ht="13.5" customHeight="1" x14ac:dyDescent="0.2">
      <c r="A16" s="69"/>
      <c r="B16" s="181" t="str">
        <f>""&amp;Deflatores!B10</f>
        <v>Migração de Dados</v>
      </c>
      <c r="C16" s="181"/>
      <c r="D16" s="21" t="str">
        <f>""&amp;Deflatores!G10</f>
        <v>PMD</v>
      </c>
      <c r="E16" s="89">
        <f>IF(D16="","",COUNTIF(Contagem_PF!C$8:C$606,D16))</f>
        <v>0</v>
      </c>
      <c r="F16" s="90">
        <f>SUMIF(Contagem_PF!$C$8:$C$606,Deflatores!G10,Contagem_PF!$J$8:$J$606)</f>
        <v>0</v>
      </c>
      <c r="G16" s="91">
        <f>IF(ISBLANK(Deflatores!H10),"",Deflatores!H10)</f>
        <v>1</v>
      </c>
      <c r="H16" s="90" t="str">
        <f>IF(ISBLANK(Deflatores!I10),"",Deflatores!I10)</f>
        <v/>
      </c>
      <c r="I16" s="92">
        <f>Deflatores!K10</f>
        <v>0</v>
      </c>
      <c r="J16" s="93" t="str">
        <f t="shared" si="0"/>
        <v/>
      </c>
      <c r="M16" s="70"/>
    </row>
    <row r="17" spans="1:13" ht="13.5" customHeight="1" x14ac:dyDescent="0.2">
      <c r="A17" s="69"/>
      <c r="B17" s="181" t="str">
        <f>""&amp;Deflatores!B11</f>
        <v>Corretiva (sem conhecimento do Fator de Impacto)</v>
      </c>
      <c r="C17" s="181"/>
      <c r="D17" s="21" t="str">
        <f>""&amp;Deflatores!G11</f>
        <v>COR</v>
      </c>
      <c r="E17" s="89">
        <f>IF(D17="","",COUNTIF(Contagem_PF!C$8:C$606,D17))</f>
        <v>0</v>
      </c>
      <c r="F17" s="90">
        <f>SUMIF(Contagem_PF!$C$8:$C$606,Deflatores!G11,Contagem_PF!$J$8:$J$606)</f>
        <v>0</v>
      </c>
      <c r="G17" s="91">
        <f>IF(ISBLANK(Deflatores!H11),"",Deflatores!H11)</f>
        <v>0.5</v>
      </c>
      <c r="H17" s="90" t="str">
        <f>IF(ISBLANK(Deflatores!I11),"",Deflatores!I11)</f>
        <v/>
      </c>
      <c r="I17" s="92">
        <f>Deflatores!K11</f>
        <v>0</v>
      </c>
      <c r="J17" s="93" t="str">
        <f>IF($L$11&lt;&gt;0,I17/$L$11,"")</f>
        <v/>
      </c>
      <c r="M17" s="70"/>
    </row>
    <row r="18" spans="1:13" ht="13.5" customHeight="1" x14ac:dyDescent="0.2">
      <c r="A18" s="69"/>
      <c r="B18" s="181" t="str">
        <f>""&amp;Deflatores!B12</f>
        <v>Corretiva (50%) - Fora da garantia (mesma empresa)</v>
      </c>
      <c r="C18" s="181"/>
      <c r="D18" s="21" t="str">
        <f>""&amp;Deflatores!G12</f>
        <v>COR50</v>
      </c>
      <c r="E18" s="89">
        <f>IF(D18="","",COUNTIF(Contagem_PF!C$8:C$606,D18))</f>
        <v>0</v>
      </c>
      <c r="F18" s="90">
        <f>SUMIF(Contagem_PF!$C$8:$C$606,Deflatores!G12,Contagem_PF!$J$8:$J$606)</f>
        <v>0</v>
      </c>
      <c r="G18" s="91">
        <f>IF(ISBLANK(Deflatores!H12),"",Deflatores!H12)</f>
        <v>0.5</v>
      </c>
      <c r="H18" s="90" t="str">
        <f>IF(ISBLANK(Deflatores!I12),"",Deflatores!I12)</f>
        <v/>
      </c>
      <c r="I18" s="92">
        <f>Deflatores!K12</f>
        <v>0</v>
      </c>
      <c r="J18" s="93" t="str">
        <f t="shared" si="0"/>
        <v/>
      </c>
      <c r="M18" s="70"/>
    </row>
    <row r="19" spans="1:13" ht="13.5" customHeight="1" x14ac:dyDescent="0.2">
      <c r="A19" s="69"/>
      <c r="B19" s="181" t="str">
        <f>""&amp;Deflatores!B13</f>
        <v>Corretiva (75%) - Fora da garantia (outra empresa)</v>
      </c>
      <c r="C19" s="181"/>
      <c r="D19" s="21" t="str">
        <f>""&amp;Deflatores!G13</f>
        <v>COR75</v>
      </c>
      <c r="E19" s="89">
        <f>IF(D19="","",COUNTIF(Contagem_PF!C$8:C$606,D19))</f>
        <v>0</v>
      </c>
      <c r="F19" s="90">
        <f>SUMIF(Contagem_PF!$C$8:$C$606,Deflatores!G13,Contagem_PF!$J$8:$J$606)</f>
        <v>0</v>
      </c>
      <c r="G19" s="91">
        <f>IF(ISBLANK(Deflatores!H13),"",Deflatores!H13)</f>
        <v>0.75</v>
      </c>
      <c r="H19" s="90" t="str">
        <f>IF(ISBLANK(Deflatores!I13),"",Deflatores!I13)</f>
        <v/>
      </c>
      <c r="I19" s="92">
        <f>Deflatores!K13</f>
        <v>0</v>
      </c>
      <c r="J19" s="93" t="str">
        <f t="shared" si="0"/>
        <v/>
      </c>
      <c r="M19" s="70"/>
    </row>
    <row r="20" spans="1:13" ht="13.5" customHeight="1" x14ac:dyDescent="0.2">
      <c r="A20" s="69"/>
      <c r="B20" s="181" t="str">
        <f>""&amp;Deflatores!B14</f>
        <v>Corretiva (75%+15%) - Fora da garantia (outra empresa) + Redocumentação</v>
      </c>
      <c r="C20" s="181"/>
      <c r="D20" s="21" t="str">
        <f>""&amp;Deflatores!G14</f>
        <v>COR90</v>
      </c>
      <c r="E20" s="89">
        <f>IF(D20="","",COUNTIF(Contagem_PF!C$8:C$606,D20))</f>
        <v>0</v>
      </c>
      <c r="F20" s="90">
        <f>SUMIF(Contagem_PF!$C$8:$C$606,Deflatores!G14,Contagem_PF!$J$8:$J$606)</f>
        <v>0</v>
      </c>
      <c r="G20" s="91">
        <f>IF(ISBLANK(Deflatores!H14),"",Deflatores!H14)</f>
        <v>0.9</v>
      </c>
      <c r="H20" s="90" t="str">
        <f>IF(ISBLANK(Deflatores!I14),"",Deflatores!I14)</f>
        <v/>
      </c>
      <c r="I20" s="92">
        <f>Deflatores!K14</f>
        <v>0</v>
      </c>
      <c r="J20" s="93" t="str">
        <f>IF($L$11&lt;&gt;0,I20/$L$11,"")</f>
        <v/>
      </c>
      <c r="M20" s="70"/>
    </row>
    <row r="21" spans="1:13" ht="13.5" customHeight="1" x14ac:dyDescent="0.2">
      <c r="A21" s="69"/>
      <c r="B21" s="181" t="str">
        <f>""&amp;Deflatores!B15</f>
        <v>Corretiva em Garantia</v>
      </c>
      <c r="C21" s="181"/>
      <c r="D21" s="21" t="str">
        <f>""&amp;Deflatores!G15</f>
        <v>GAR</v>
      </c>
      <c r="E21" s="89">
        <f>IF(D21="","",COUNTIF(Contagem_PF!C$8:C$606,D21))</f>
        <v>0</v>
      </c>
      <c r="F21" s="90">
        <f>SUMIF(Contagem_PF!$C$8:$C$606,Deflatores!G15,Contagem_PF!$J$8:$J$606)</f>
        <v>0</v>
      </c>
      <c r="G21" s="91">
        <f>IF(ISBLANK(Deflatores!H15),"",Deflatores!H15)</f>
        <v>0</v>
      </c>
      <c r="H21" s="90" t="str">
        <f>IF(ISBLANK(Deflatores!I15),"",Deflatores!I15)</f>
        <v/>
      </c>
      <c r="I21" s="92">
        <f>Deflatores!K15</f>
        <v>0</v>
      </c>
      <c r="J21" s="93" t="str">
        <f>IF($L$11&lt;&gt;0,I21/$L$11,"")</f>
        <v/>
      </c>
      <c r="M21" s="70"/>
    </row>
    <row r="22" spans="1:13" ht="13.5" customHeight="1" x14ac:dyDescent="0.2">
      <c r="A22" s="69"/>
      <c r="B22" s="181" t="str">
        <f>""&amp;Deflatores!B16</f>
        <v>Mudança de Plataforma - Linguagem de Programação</v>
      </c>
      <c r="C22" s="181"/>
      <c r="D22" s="21" t="str">
        <f>""&amp;Deflatores!G16</f>
        <v>MLP</v>
      </c>
      <c r="E22" s="89">
        <f>IF(D22="","",COUNTIF(Contagem_PF!C$8:C$606,D22))</f>
        <v>0</v>
      </c>
      <c r="F22" s="90">
        <f>SUMIF(Contagem_PF!$C$8:$C$606,Deflatores!G16,Contagem_PF!$J$8:$J$606)</f>
        <v>0</v>
      </c>
      <c r="G22" s="91">
        <f>IF(ISBLANK(Deflatores!H16),"",Deflatores!H16)</f>
        <v>1</v>
      </c>
      <c r="H22" s="90" t="str">
        <f>IF(ISBLANK(Deflatores!I16),"",Deflatores!I16)</f>
        <v/>
      </c>
      <c r="I22" s="92">
        <f>Deflatores!K16</f>
        <v>0</v>
      </c>
      <c r="J22" s="93" t="str">
        <f t="shared" si="0"/>
        <v/>
      </c>
      <c r="M22" s="70"/>
    </row>
    <row r="23" spans="1:13" ht="13.5" customHeight="1" x14ac:dyDescent="0.2">
      <c r="A23" s="69"/>
      <c r="B23" s="181" t="str">
        <f>""&amp;Deflatores!B17</f>
        <v>Mudança de Plataforma - Banco de Dados (outro paradigma)</v>
      </c>
      <c r="C23" s="181"/>
      <c r="D23" s="21" t="str">
        <f>""&amp;Deflatores!G17</f>
        <v>MBO</v>
      </c>
      <c r="E23" s="89">
        <f>IF(D23="","",COUNTIF(Contagem_PF!C$8:C$606,D23))</f>
        <v>0</v>
      </c>
      <c r="F23" s="90">
        <f>SUMIF(Contagem_PF!$C$8:$C$606,Deflatores!G17,Contagem_PF!$J$8:$J$606)</f>
        <v>0</v>
      </c>
      <c r="G23" s="91">
        <f>IF(ISBLANK(Deflatores!H17),"",Deflatores!H17)</f>
        <v>1</v>
      </c>
      <c r="H23" s="90" t="str">
        <f>IF(ISBLANK(Deflatores!I17),"",Deflatores!I17)</f>
        <v/>
      </c>
      <c r="I23" s="92">
        <f>Deflatores!K17</f>
        <v>0</v>
      </c>
      <c r="J23" s="93" t="str">
        <f t="shared" si="0"/>
        <v/>
      </c>
      <c r="M23" s="70"/>
    </row>
    <row r="24" spans="1:13" ht="13.5" customHeight="1" x14ac:dyDescent="0.2">
      <c r="A24" s="69"/>
      <c r="B24" s="181" t="str">
        <f>""&amp;Deflatores!B18</f>
        <v>Mudança de Plataforma - Banco de Dados (mesmo paradigma com alterações)</v>
      </c>
      <c r="C24" s="181"/>
      <c r="D24" s="21" t="str">
        <f>""&amp;Deflatores!G18</f>
        <v>MBM</v>
      </c>
      <c r="E24" s="89">
        <f>IF(D24="","",COUNTIF(Contagem_PF!C$8:C$606,D24))</f>
        <v>0</v>
      </c>
      <c r="F24" s="90">
        <f>SUMIF(Contagem_PF!$C$8:$C$606,Deflatores!G18,Contagem_PF!$J$8:$J$606)</f>
        <v>0</v>
      </c>
      <c r="G24" s="91">
        <f>IF(ISBLANK(Deflatores!H18),"",Deflatores!H18)</f>
        <v>0.3</v>
      </c>
      <c r="H24" s="90" t="str">
        <f>IF(ISBLANK(Deflatores!I18),"",Deflatores!I18)</f>
        <v/>
      </c>
      <c r="I24" s="92">
        <f>Deflatores!K18</f>
        <v>0</v>
      </c>
      <c r="J24" s="93" t="str">
        <f t="shared" si="0"/>
        <v/>
      </c>
      <c r="K24" s="80"/>
      <c r="M24" s="70"/>
    </row>
    <row r="25" spans="1:13" ht="13.5" customHeight="1" x14ac:dyDescent="0.2">
      <c r="A25" s="69"/>
      <c r="B25" s="181" t="str">
        <f>""&amp;Deflatores!B19</f>
        <v>Atualização de Versão – Linguagem de Programação</v>
      </c>
      <c r="C25" s="181"/>
      <c r="D25" s="21" t="str">
        <f>""&amp;Deflatores!G19</f>
        <v>ALP</v>
      </c>
      <c r="E25" s="89">
        <f>IF(D25="","",COUNTIF(Contagem_PF!C$8:C$606,D25))</f>
        <v>0</v>
      </c>
      <c r="F25" s="90">
        <f>SUMIF(Contagem_PF!$C$8:$C$606,Deflatores!G19,Contagem_PF!$J$8:$J$606)</f>
        <v>0</v>
      </c>
      <c r="G25" s="91">
        <f>IF(ISBLANK(Deflatores!H19),"",Deflatores!H19)</f>
        <v>0.3</v>
      </c>
      <c r="H25" s="90" t="str">
        <f>IF(ISBLANK(Deflatores!I19),"",Deflatores!I19)</f>
        <v/>
      </c>
      <c r="I25" s="92">
        <f>Deflatores!K19</f>
        <v>0</v>
      </c>
      <c r="J25" s="93" t="str">
        <f t="shared" si="0"/>
        <v/>
      </c>
      <c r="K25" s="80"/>
      <c r="M25" s="70"/>
    </row>
    <row r="26" spans="1:13" ht="13.5" customHeight="1" x14ac:dyDescent="0.2">
      <c r="A26" s="69"/>
      <c r="B26" s="181" t="str">
        <f>""&amp;Deflatores!B20</f>
        <v>Atualização de Versão – Browser</v>
      </c>
      <c r="C26" s="181"/>
      <c r="D26" s="21" t="str">
        <f>""&amp;Deflatores!G20</f>
        <v>AVB</v>
      </c>
      <c r="E26" s="89">
        <f>IF(D26="","",COUNTIF(Contagem_PF!C$8:C$606,D26))</f>
        <v>0</v>
      </c>
      <c r="F26" s="90">
        <f>SUMIF(Contagem_PF!$C$8:$C$606,Deflatores!G20,Contagem_PF!$J$8:$J$606)</f>
        <v>0</v>
      </c>
      <c r="G26" s="91">
        <f>IF(ISBLANK(Deflatores!H20),"",Deflatores!H20)</f>
        <v>0.3</v>
      </c>
      <c r="H26" s="90" t="str">
        <f>IF(ISBLANK(Deflatores!I20),"",Deflatores!I20)</f>
        <v/>
      </c>
      <c r="I26" s="92">
        <f>Deflatores!K20</f>
        <v>0</v>
      </c>
      <c r="J26" s="93" t="str">
        <f t="shared" si="0"/>
        <v/>
      </c>
      <c r="K26" s="80"/>
      <c r="M26" s="70"/>
    </row>
    <row r="27" spans="1:13" ht="13.5" customHeight="1" x14ac:dyDescent="0.2">
      <c r="A27" s="69"/>
      <c r="B27" s="181" t="str">
        <f>""&amp;Deflatores!B21</f>
        <v>Atualização de Versão – Banco de Dados</v>
      </c>
      <c r="C27" s="181"/>
      <c r="D27" s="21" t="str">
        <f>""&amp;Deflatores!G21</f>
        <v>ABD</v>
      </c>
      <c r="E27" s="89">
        <f>IF(D27="","",COUNTIF(Contagem_PF!C$8:C$606,D27))</f>
        <v>0</v>
      </c>
      <c r="F27" s="90">
        <f>SUMIF(Contagem_PF!$C$8:$C$606,Deflatores!G21,Contagem_PF!$J$8:$J$606)</f>
        <v>0</v>
      </c>
      <c r="G27" s="91">
        <f>IF(ISBLANK(Deflatores!H21),"",Deflatores!H21)</f>
        <v>0.3</v>
      </c>
      <c r="H27" s="90" t="str">
        <f>IF(ISBLANK(Deflatores!I21),"",Deflatores!I21)</f>
        <v/>
      </c>
      <c r="I27" s="92">
        <f>Deflatores!K21</f>
        <v>0</v>
      </c>
      <c r="J27" s="93" t="str">
        <f t="shared" si="0"/>
        <v/>
      </c>
      <c r="K27" s="80"/>
      <c r="M27" s="70"/>
    </row>
    <row r="28" spans="1:13" ht="13.5" customHeight="1" x14ac:dyDescent="0.2">
      <c r="A28" s="69"/>
      <c r="B28" s="181" t="str">
        <f>""&amp;Deflatores!B22</f>
        <v>Manutenção Cosmética</v>
      </c>
      <c r="C28" s="181"/>
      <c r="D28" s="21" t="str">
        <f>""&amp;Deflatores!G22</f>
        <v>COS</v>
      </c>
      <c r="E28" s="89">
        <f>IF(D28="","",COUNTIF(Contagem_PF!C$8:C$606,D28))</f>
        <v>0</v>
      </c>
      <c r="F28" s="90">
        <f>SUMIF(Contagem_PF!$C$8:$C$606,Deflatores!G22,Contagem_PF!$J$8:$J$606)</f>
        <v>0</v>
      </c>
      <c r="G28" s="91" t="str">
        <f>IF(ISBLANK(Deflatores!H22),"",Deflatores!H22)</f>
        <v/>
      </c>
      <c r="H28" s="90">
        <f>IF(ISBLANK(Deflatores!I22),"",Deflatores!I22)</f>
        <v>0.6</v>
      </c>
      <c r="I28" s="92">
        <f>Deflatores!K22</f>
        <v>0</v>
      </c>
      <c r="J28" s="93" t="str">
        <f t="shared" si="0"/>
        <v/>
      </c>
      <c r="M28" s="70"/>
    </row>
    <row r="29" spans="1:13" ht="27" customHeight="1" x14ac:dyDescent="0.2">
      <c r="A29" s="69"/>
      <c r="B29" s="218" t="str">
        <f>""&amp;Deflatores!B23</f>
        <v>Adaptação em Funcionalidades sem Alteração de Requisitos Funcionais
(sem conhecimento do Fator de Impacto)</v>
      </c>
      <c r="C29" s="220"/>
      <c r="D29" s="21" t="str">
        <f>""&amp;Deflatores!G23</f>
        <v>ARN</v>
      </c>
      <c r="E29" s="89">
        <f>IF(D29="","",COUNTIF(Contagem_PF!C$8:C$606,D29))</f>
        <v>0</v>
      </c>
      <c r="F29" s="90">
        <f>SUMIF(Contagem_PF!$C$8:$C$606,Deflatores!G23,Contagem_PF!$J$8:$J$606)</f>
        <v>0</v>
      </c>
      <c r="G29" s="91">
        <f>IF(ISBLANK(Deflatores!H23),"",Deflatores!H23)</f>
        <v>0.5</v>
      </c>
      <c r="H29" s="90" t="str">
        <f>IF(ISBLANK(Deflatores!I23),"",Deflatores!I23)</f>
        <v/>
      </c>
      <c r="I29" s="92">
        <f>Deflatores!K23</f>
        <v>0</v>
      </c>
      <c r="J29" s="93" t="str">
        <f>IF($L$11&lt;&gt;0,I29/$L$11,"")</f>
        <v/>
      </c>
      <c r="M29" s="70"/>
    </row>
    <row r="30" spans="1:13" ht="27" customHeight="1" x14ac:dyDescent="0.2">
      <c r="A30" s="69"/>
      <c r="B30" s="218" t="str">
        <f>""&amp;Deflatores!B24</f>
        <v>Adaptação em Funcionalidades sem Alteração de Requisitos Funcionais (50%)
(em função desenvolvida ou já alterada pela empresa atual)</v>
      </c>
      <c r="C30" s="220"/>
      <c r="D30" s="21" t="str">
        <f>""&amp;Deflatores!G24</f>
        <v>ARN50</v>
      </c>
      <c r="E30" s="89">
        <f>IF(D30="","",COUNTIF(Contagem_PF!C$8:C$606,D30))</f>
        <v>0</v>
      </c>
      <c r="F30" s="90">
        <f>SUMIF(Contagem_PF!$C$8:$C$606,Deflatores!G24,Contagem_PF!$J$8:$J$606)</f>
        <v>0</v>
      </c>
      <c r="G30" s="91">
        <f>IF(ISBLANK(Deflatores!H24),"",Deflatores!H24)</f>
        <v>0.5</v>
      </c>
      <c r="H30" s="90" t="str">
        <f>IF(ISBLANK(Deflatores!I24),"",Deflatores!I24)</f>
        <v/>
      </c>
      <c r="I30" s="92">
        <f>Deflatores!K24</f>
        <v>0</v>
      </c>
      <c r="J30" s="93" t="str">
        <f t="shared" si="0"/>
        <v/>
      </c>
      <c r="M30" s="70"/>
    </row>
    <row r="31" spans="1:13" ht="27" customHeight="1" x14ac:dyDescent="0.2">
      <c r="A31" s="69"/>
      <c r="B31" s="218" t="str">
        <f>""&amp;Deflatores!B25</f>
        <v>Adaptação em Funcionalidades sem Alteração de Requisitos Funcionais (75%)
(em função não desenvolvida e ainda não alterada pela empresa atual)</v>
      </c>
      <c r="C31" s="220"/>
      <c r="D31" s="21" t="str">
        <f>""&amp;Deflatores!G25</f>
        <v>ARN75</v>
      </c>
      <c r="E31" s="89">
        <f>IF(D31="","",COUNTIF(Contagem_PF!C$8:C$606,D31))</f>
        <v>0</v>
      </c>
      <c r="F31" s="90">
        <f>SUMIF(Contagem_PF!$C$8:$C$606,Deflatores!G25,Contagem_PF!$J$8:$J$606)</f>
        <v>0</v>
      </c>
      <c r="G31" s="91">
        <f>IF(ISBLANK(Deflatores!H25),"",Deflatores!H25)</f>
        <v>0.75</v>
      </c>
      <c r="H31" s="90" t="str">
        <f>IF(ISBLANK(Deflatores!I25),"",Deflatores!I25)</f>
        <v/>
      </c>
      <c r="I31" s="92">
        <f>Deflatores!K25</f>
        <v>0</v>
      </c>
      <c r="J31" s="93" t="str">
        <f t="shared" si="0"/>
        <v/>
      </c>
      <c r="M31" s="70"/>
    </row>
    <row r="32" spans="1:13" ht="13.5" customHeight="1" x14ac:dyDescent="0.2">
      <c r="A32" s="69"/>
      <c r="B32" s="181" t="str">
        <f>""&amp;Deflatores!B26</f>
        <v>Atualização de Dados sem Consulta Prévia</v>
      </c>
      <c r="C32" s="181"/>
      <c r="D32" s="21" t="str">
        <f>""&amp;Deflatores!G26</f>
        <v>ADS</v>
      </c>
      <c r="E32" s="89">
        <f>IF(D32="","",COUNTIF(Contagem_PF!C$8:C$606,D32))</f>
        <v>0</v>
      </c>
      <c r="F32" s="90">
        <f>SUMIF(Contagem_PF!$C$8:$C$606,Deflatores!G26,Contagem_PF!$J$8:$J$606)</f>
        <v>0</v>
      </c>
      <c r="G32" s="91">
        <f>IF(ISBLANK(Deflatores!H26),"",Deflatores!H26)</f>
        <v>1</v>
      </c>
      <c r="H32" s="90" t="str">
        <f>IF(ISBLANK(Deflatores!I26),"",Deflatores!I26)</f>
        <v/>
      </c>
      <c r="I32" s="92">
        <f>Deflatores!K26</f>
        <v>0</v>
      </c>
      <c r="J32" s="93" t="str">
        <f t="shared" si="0"/>
        <v/>
      </c>
      <c r="M32" s="70"/>
    </row>
    <row r="33" spans="1:13" ht="13.5" customHeight="1" x14ac:dyDescent="0.2">
      <c r="A33" s="69"/>
      <c r="B33" s="181" t="str">
        <f>""&amp;Deflatores!B27</f>
        <v>Consulta Prévia sem Atualização</v>
      </c>
      <c r="C33" s="181"/>
      <c r="D33" s="21" t="str">
        <f>""&amp;Deflatores!G27</f>
        <v>CPA</v>
      </c>
      <c r="E33" s="89">
        <f>IF(D33="","",COUNTIF(Contagem_PF!C$8:C$606,D33))</f>
        <v>0</v>
      </c>
      <c r="F33" s="90">
        <f>SUMIF(Contagem_PF!$C$8:$C$606,Deflatores!G27,Contagem_PF!$J$8:$J$606)</f>
        <v>0</v>
      </c>
      <c r="G33" s="91">
        <f>IF(ISBLANK(Deflatores!H27),"",Deflatores!H27)</f>
        <v>1</v>
      </c>
      <c r="H33" s="90" t="str">
        <f>IF(ISBLANK(Deflatores!I27),"",Deflatores!I27)</f>
        <v/>
      </c>
      <c r="I33" s="92">
        <f>Deflatores!K27</f>
        <v>0</v>
      </c>
      <c r="J33" s="93" t="str">
        <f t="shared" si="0"/>
        <v/>
      </c>
      <c r="M33" s="70"/>
    </row>
    <row r="34" spans="1:13" ht="13.5" customHeight="1" x14ac:dyDescent="0.2">
      <c r="A34" s="69"/>
      <c r="B34" s="181" t="str">
        <f>""&amp;Deflatores!B28</f>
        <v>Atualização de Dados com Consulta Prévia</v>
      </c>
      <c r="C34" s="181"/>
      <c r="D34" s="21" t="str">
        <f>""&amp;Deflatores!G28</f>
        <v>ADC</v>
      </c>
      <c r="E34" s="89">
        <f>IF(D34="","",COUNTIF(Contagem_PF!C$8:C$606,D34))</f>
        <v>0</v>
      </c>
      <c r="F34" s="90">
        <f>SUMIF(Contagem_PF!$C$8:$C$606,Deflatores!G28,Contagem_PF!$J$8:$J$606)</f>
        <v>0</v>
      </c>
      <c r="G34" s="91">
        <f>IF(ISBLANK(Deflatores!H28),"",Deflatores!H28)</f>
        <v>0.6</v>
      </c>
      <c r="H34" s="90" t="str">
        <f>IF(ISBLANK(Deflatores!I28),"",Deflatores!I28)</f>
        <v/>
      </c>
      <c r="I34" s="92">
        <f>Deflatores!K28</f>
        <v>0</v>
      </c>
      <c r="J34" s="93" t="str">
        <f t="shared" si="0"/>
        <v/>
      </c>
      <c r="M34" s="70"/>
    </row>
    <row r="35" spans="1:13" ht="13.5" customHeight="1" x14ac:dyDescent="0.2">
      <c r="A35" s="69"/>
      <c r="B35" s="181" t="str">
        <f>""&amp;Deflatores!B29</f>
        <v>Apuração Especial – Geração de Relatórios</v>
      </c>
      <c r="C35" s="181"/>
      <c r="D35" s="21" t="str">
        <f>""&amp;Deflatores!G29</f>
        <v>AGR</v>
      </c>
      <c r="E35" s="89">
        <f>IF(D35="","",COUNTIF(Contagem_PF!C$8:C$606,D35))</f>
        <v>0</v>
      </c>
      <c r="F35" s="90">
        <f>SUMIF(Contagem_PF!$C$8:$C$606,Deflatores!G29,Contagem_PF!$J$8:$J$606)</f>
        <v>0</v>
      </c>
      <c r="G35" s="91">
        <f>IF(ISBLANK(Deflatores!H29),"",Deflatores!H29)</f>
        <v>1</v>
      </c>
      <c r="H35" s="90" t="str">
        <f>IF(ISBLANK(Deflatores!I29),"",Deflatores!I29)</f>
        <v/>
      </c>
      <c r="I35" s="92">
        <f>Deflatores!K29</f>
        <v>0</v>
      </c>
      <c r="J35" s="93" t="str">
        <f t="shared" si="0"/>
        <v/>
      </c>
      <c r="M35" s="70"/>
    </row>
    <row r="36" spans="1:13" ht="13.5" customHeight="1" x14ac:dyDescent="0.2">
      <c r="A36" s="69"/>
      <c r="B36" s="181" t="str">
        <f>""&amp;Deflatores!B30</f>
        <v>Apuração Especial – Reexecução</v>
      </c>
      <c r="C36" s="181"/>
      <c r="D36" s="21" t="str">
        <f>""&amp;Deflatores!G30</f>
        <v>AER</v>
      </c>
      <c r="E36" s="89">
        <f>IF(D36="","",COUNTIF(Contagem_PF!C$8:C$606,D36))</f>
        <v>0</v>
      </c>
      <c r="F36" s="90">
        <f>SUMIF(Contagem_PF!$C$8:$C$606,Deflatores!G30,Contagem_PF!$J$8:$J$606)</f>
        <v>0</v>
      </c>
      <c r="G36" s="91">
        <f>IF(ISBLANK(Deflatores!H30),"",Deflatores!H30)</f>
        <v>0.1</v>
      </c>
      <c r="H36" s="90" t="str">
        <f>IF(ISBLANK(Deflatores!I30),"",Deflatores!I30)</f>
        <v/>
      </c>
      <c r="I36" s="92">
        <f>Deflatores!K30</f>
        <v>0</v>
      </c>
      <c r="J36" s="93" t="str">
        <f t="shared" si="0"/>
        <v/>
      </c>
      <c r="M36" s="70"/>
    </row>
    <row r="37" spans="1:13" ht="13.5" customHeight="1" x14ac:dyDescent="0.2">
      <c r="A37" s="69"/>
      <c r="B37" s="181" t="str">
        <f>""&amp;Deflatores!B31</f>
        <v>Atualização de Dados</v>
      </c>
      <c r="C37" s="181"/>
      <c r="D37" s="21" t="str">
        <f>""&amp;Deflatores!G31</f>
        <v>ATD</v>
      </c>
      <c r="E37" s="89">
        <f>IF(D37="","",COUNTIF(Contagem_PF!C$8:C$606,D37))</f>
        <v>0</v>
      </c>
      <c r="F37" s="90">
        <f>SUMIF(Contagem_PF!$C$8:$C$606,Deflatores!G31,Contagem_PF!$J$8:$J$606)</f>
        <v>0</v>
      </c>
      <c r="G37" s="91">
        <f>IF(ISBLANK(Deflatores!H31),"",Deflatores!H31)</f>
        <v>0.1</v>
      </c>
      <c r="H37" s="90" t="str">
        <f>IF(ISBLANK(Deflatores!I31),"",Deflatores!I31)</f>
        <v/>
      </c>
      <c r="I37" s="92">
        <f>Deflatores!K31</f>
        <v>0</v>
      </c>
      <c r="J37" s="93" t="str">
        <f t="shared" si="0"/>
        <v/>
      </c>
      <c r="M37" s="70"/>
    </row>
    <row r="38" spans="1:13" ht="13.5" customHeight="1" x14ac:dyDescent="0.2">
      <c r="A38" s="69"/>
      <c r="B38" s="181" t="str">
        <f>""&amp;Deflatores!B32</f>
        <v>Manutenção de Documentação de Sistemas Legados</v>
      </c>
      <c r="C38" s="181"/>
      <c r="D38" s="21" t="str">
        <f>""&amp;Deflatores!G32</f>
        <v>MSL</v>
      </c>
      <c r="E38" s="89">
        <f>IF(D38="","",COUNTIF(Contagem_PF!C$8:C$606,D38))</f>
        <v>0</v>
      </c>
      <c r="F38" s="90">
        <f>SUMIF(Contagem_PF!$C$8:$C$606,Deflatores!G32,Contagem_PF!$J$8:$J$606)</f>
        <v>0</v>
      </c>
      <c r="G38" s="91">
        <f>IF(ISBLANK(Deflatores!H32),"",Deflatores!H32)</f>
        <v>0.25</v>
      </c>
      <c r="H38" s="90" t="str">
        <f>IF(ISBLANK(Deflatores!I32),"",Deflatores!I32)</f>
        <v/>
      </c>
      <c r="I38" s="92">
        <f>Deflatores!K32</f>
        <v>0</v>
      </c>
      <c r="J38" s="93" t="str">
        <f>IF($L$11&lt;&gt;0,I38/$L$11,"")</f>
        <v/>
      </c>
      <c r="M38" s="70"/>
    </row>
    <row r="39" spans="1:13" ht="13.5" customHeight="1" x14ac:dyDescent="0.2">
      <c r="A39" s="69"/>
      <c r="B39" s="181" t="str">
        <f>""&amp;Deflatores!B33</f>
        <v>Verificação de Erros (Sem Documentação de Teste existente)</v>
      </c>
      <c r="C39" s="181"/>
      <c r="D39" s="21" t="str">
        <f>""&amp;Deflatores!G33</f>
        <v>VES</v>
      </c>
      <c r="E39" s="89">
        <f>IF(D39="","",COUNTIF(Contagem_PF!C$8:C$606,D39))</f>
        <v>0</v>
      </c>
      <c r="F39" s="90">
        <f>SUMIF(Contagem_PF!$C$8:$C$606,Deflatores!G33,Contagem_PF!$J$8:$J$606)</f>
        <v>0</v>
      </c>
      <c r="G39" s="91">
        <f>IF(ISBLANK(Deflatores!H33),"",Deflatores!H33)</f>
        <v>0.2</v>
      </c>
      <c r="H39" s="90" t="str">
        <f>IF(ISBLANK(Deflatores!I33),"",Deflatores!I33)</f>
        <v/>
      </c>
      <c r="I39" s="92">
        <f>Deflatores!K33</f>
        <v>0</v>
      </c>
      <c r="J39" s="93" t="str">
        <f>IF($L$11&lt;&gt;0,I39/$L$11,"")</f>
        <v/>
      </c>
      <c r="M39" s="70"/>
    </row>
    <row r="40" spans="1:13" ht="13.5" customHeight="1" x14ac:dyDescent="0.2">
      <c r="A40" s="69"/>
      <c r="B40" s="181" t="str">
        <f>""&amp;Deflatores!B34</f>
        <v>Verificação de Erros (Com Documentação de Teste existente)</v>
      </c>
      <c r="C40" s="181"/>
      <c r="D40" s="21" t="str">
        <f>""&amp;Deflatores!G34</f>
        <v>VEC</v>
      </c>
      <c r="E40" s="89">
        <f>IF(D40="","",COUNTIF(Contagem_PF!C$8:C$606,D40))</f>
        <v>0</v>
      </c>
      <c r="F40" s="90">
        <f>SUMIF(Contagem_PF!$C$8:$C$606,Deflatores!G34,Contagem_PF!$J$8:$J$606)</f>
        <v>0</v>
      </c>
      <c r="G40" s="91">
        <f>IF(ISBLANK(Deflatores!H34),"",Deflatores!H34)</f>
        <v>0.15</v>
      </c>
      <c r="H40" s="90" t="str">
        <f>IF(ISBLANK(Deflatores!I34),"",Deflatores!I34)</f>
        <v/>
      </c>
      <c r="I40" s="92">
        <f>Deflatores!K34</f>
        <v>0</v>
      </c>
      <c r="J40" s="93" t="str">
        <f>IF($L$11&lt;&gt;0,I40/$L$11,"")</f>
        <v/>
      </c>
      <c r="M40" s="70"/>
    </row>
    <row r="41" spans="1:13" ht="13.5" customHeight="1" x14ac:dyDescent="0.2">
      <c r="A41" s="69"/>
      <c r="B41" s="181" t="str">
        <f>""&amp;Deflatores!B35</f>
        <v>Pontos de Função de Teste</v>
      </c>
      <c r="C41" s="181"/>
      <c r="D41" s="21" t="str">
        <f>""&amp;Deflatores!G35</f>
        <v>PFT</v>
      </c>
      <c r="E41" s="89">
        <f>IF(D41="","",COUNTIF(Contagem_PF!C$8:C$606,D41))</f>
        <v>0</v>
      </c>
      <c r="F41" s="90">
        <f>SUMIF(Contagem_PF!$C$8:$C$606,Deflatores!G35,Contagem_PF!$J$8:$J$606)</f>
        <v>0</v>
      </c>
      <c r="G41" s="91">
        <f>IF(ISBLANK(Deflatores!H35),"",Deflatores!H35)</f>
        <v>0.15</v>
      </c>
      <c r="H41" s="90" t="str">
        <f>IF(ISBLANK(Deflatores!I35),"",Deflatores!I35)</f>
        <v/>
      </c>
      <c r="I41" s="92">
        <f>Deflatores!K35</f>
        <v>0</v>
      </c>
      <c r="J41" s="93" t="str">
        <f>IF($L$11&lt;&gt;0,I41/$L$11,"")</f>
        <v/>
      </c>
      <c r="M41" s="70"/>
    </row>
    <row r="42" spans="1:13" ht="13.5" customHeight="1" x14ac:dyDescent="0.2">
      <c r="A42" s="69"/>
      <c r="B42" s="181" t="str">
        <f>""&amp;Deflatores!B36</f>
        <v>Componente Interno Reusável</v>
      </c>
      <c r="C42" s="181"/>
      <c r="D42" s="21" t="str">
        <f>""&amp;Deflatores!G36</f>
        <v>CIR</v>
      </c>
      <c r="E42" s="89">
        <f>IF(D42="","",COUNTIF(Contagem_PF!C$8:C$606,D42))</f>
        <v>0</v>
      </c>
      <c r="F42" s="90">
        <f>SUMIF(Contagem_PF!$C$8:$C$606,Deflatores!G36,Contagem_PF!$J$8:$J$606)</f>
        <v>0</v>
      </c>
      <c r="G42" s="91">
        <f>IF(ISBLANK(Deflatores!H36),"",Deflatores!H36)</f>
        <v>1</v>
      </c>
      <c r="H42" s="90" t="str">
        <f>IF(ISBLANK(Deflatores!I36),"",Deflatores!I36)</f>
        <v/>
      </c>
      <c r="I42" s="92">
        <f>Deflatores!K36</f>
        <v>0</v>
      </c>
      <c r="J42" s="93" t="str">
        <f t="shared" si="0"/>
        <v/>
      </c>
      <c r="M42" s="70"/>
    </row>
    <row r="43" spans="1:13" ht="13.5" customHeight="1" x14ac:dyDescent="0.2">
      <c r="A43" s="69"/>
      <c r="B43" s="181" t="str">
        <f>""&amp;Deflatores!B37</f>
        <v/>
      </c>
      <c r="C43" s="181"/>
      <c r="D43" s="21" t="str">
        <f>""&amp;Deflatores!G37</f>
        <v xml:space="preserve">           .</v>
      </c>
      <c r="E43" s="89">
        <f>IF(D43="","",COUNTIF(Contagem_PF!C$8:C$606,D43))</f>
        <v>0</v>
      </c>
      <c r="F43" s="90">
        <f>SUMIF(Contagem_PF!$C$8:$C$606,Deflatores!G37,Contagem_PF!$J$8:$J$606)</f>
        <v>0</v>
      </c>
      <c r="G43" s="91" t="str">
        <f>IF(ISBLANK(Deflatores!H37),"",Deflatores!H37)</f>
        <v/>
      </c>
      <c r="H43" s="90" t="str">
        <f>IF(ISBLANK(Deflatores!I37),"",Deflatores!I37)</f>
        <v/>
      </c>
      <c r="I43" s="92">
        <f>Deflatores!K37</f>
        <v>0</v>
      </c>
      <c r="J43" s="93" t="str">
        <f t="shared" si="0"/>
        <v/>
      </c>
      <c r="M43" s="70"/>
    </row>
    <row r="44" spans="1:13" ht="13.5" customHeight="1" x14ac:dyDescent="0.2">
      <c r="A44" s="69"/>
      <c r="B44" s="181" t="str">
        <f>""&amp;Deflatores!B38</f>
        <v/>
      </c>
      <c r="C44" s="181"/>
      <c r="D44" s="21" t="str">
        <f>""&amp;Deflatores!G38</f>
        <v xml:space="preserve">           .</v>
      </c>
      <c r="E44" s="89">
        <f>IF(D44="","",COUNTIF(Contagem_PF!C$8:C$606,D44))</f>
        <v>0</v>
      </c>
      <c r="F44" s="90">
        <f>SUMIF(Contagem_PF!$C$8:$C$606,Deflatores!G38,Contagem_PF!$J$8:$J$606)</f>
        <v>0</v>
      </c>
      <c r="G44" s="91" t="str">
        <f>IF(ISBLANK(Deflatores!H38),"",Deflatores!H38)</f>
        <v/>
      </c>
      <c r="H44" s="90" t="str">
        <f>IF(ISBLANK(Deflatores!I38),"",Deflatores!I38)</f>
        <v/>
      </c>
      <c r="I44" s="92">
        <f>Deflatores!K38</f>
        <v>0</v>
      </c>
      <c r="J44" s="93" t="str">
        <f t="shared" si="0"/>
        <v/>
      </c>
      <c r="M44" s="70"/>
    </row>
    <row r="45" spans="1:13" ht="13.5" x14ac:dyDescent="0.25">
      <c r="A45" s="69"/>
      <c r="B45" s="82"/>
      <c r="C45" s="54"/>
      <c r="D45" s="177"/>
      <c r="E45" s="67"/>
      <c r="F45" s="67"/>
      <c r="G45" s="38"/>
      <c r="H45" s="83"/>
      <c r="I45" s="84"/>
      <c r="M45" s="70"/>
    </row>
    <row r="46" spans="1:13" ht="13.5" customHeight="1" x14ac:dyDescent="0.25">
      <c r="A46" s="69"/>
      <c r="B46" s="233" t="s">
        <v>188</v>
      </c>
      <c r="C46" s="233"/>
      <c r="D46" s="233"/>
      <c r="E46" s="39" t="s">
        <v>150</v>
      </c>
      <c r="F46" s="40"/>
      <c r="G46" s="38"/>
      <c r="H46" s="39" t="s">
        <v>185</v>
      </c>
      <c r="I46" s="39" t="s">
        <v>7</v>
      </c>
      <c r="J46" s="39" t="s">
        <v>186</v>
      </c>
      <c r="M46" s="70"/>
    </row>
    <row r="47" spans="1:13" ht="13.5" customHeight="1" x14ac:dyDescent="0.25">
      <c r="A47" s="69"/>
      <c r="B47" s="181" t="str">
        <f>""&amp;Deflatores!B42</f>
        <v>Páginas Estáticas</v>
      </c>
      <c r="C47" s="181"/>
      <c r="D47" s="32" t="str">
        <f>""&amp;Deflatores!G42</f>
        <v>PAG</v>
      </c>
      <c r="E47" s="33">
        <f>Deflatores!J42</f>
        <v>0</v>
      </c>
      <c r="H47" s="34">
        <f>IF(ISBLANK(Deflatores!H42),"",Deflatores!H42)</f>
        <v>0.6</v>
      </c>
      <c r="I47" s="34">
        <f t="shared" ref="I47:I69" si="1">IF(ISNUMBER(H47),E47*H47,"")</f>
        <v>0</v>
      </c>
      <c r="J47" s="35" t="str">
        <f t="shared" ref="J47:J69" si="2">IF(ISNUMBER(I47),IF($L$11&lt;&gt;0,I47/$L$11,""),"")</f>
        <v/>
      </c>
      <c r="M47" s="70"/>
    </row>
    <row r="48" spans="1:13" ht="13.5" customHeight="1" x14ac:dyDescent="0.25">
      <c r="A48" s="69"/>
      <c r="B48" s="181" t="str">
        <f>""&amp;Deflatores!B43</f>
        <v>Manutenção Cosmética (atrelada a algo não funcional)</v>
      </c>
      <c r="C48" s="181"/>
      <c r="D48" s="32" t="str">
        <f>""&amp;Deflatores!G43</f>
        <v>COSNF</v>
      </c>
      <c r="E48" s="33">
        <f>Deflatores!J43</f>
        <v>0</v>
      </c>
      <c r="H48" s="34">
        <f>IF(ISBLANK(Deflatores!H43),"",Deflatores!H43)</f>
        <v>0.6</v>
      </c>
      <c r="I48" s="34">
        <f t="shared" si="1"/>
        <v>0</v>
      </c>
      <c r="J48" s="35" t="str">
        <f t="shared" si="2"/>
        <v/>
      </c>
      <c r="M48" s="70"/>
    </row>
    <row r="49" spans="1:13" ht="13.5" x14ac:dyDescent="0.25">
      <c r="A49" s="69"/>
      <c r="B49" s="181" t="str">
        <f>""&amp;Deflatores!B44</f>
        <v>Dados de Código</v>
      </c>
      <c r="C49" s="181"/>
      <c r="D49" s="32" t="str">
        <f>""&amp;Deflatores!G44</f>
        <v>DC</v>
      </c>
      <c r="E49" s="33">
        <f>Deflatores!J44</f>
        <v>0</v>
      </c>
      <c r="H49" s="34">
        <f>IF(ISBLANK(Deflatores!H44),"",Deflatores!H44)</f>
        <v>0</v>
      </c>
      <c r="I49" s="34">
        <f t="shared" si="1"/>
        <v>0</v>
      </c>
      <c r="J49" s="35" t="str">
        <f t="shared" si="2"/>
        <v/>
      </c>
      <c r="M49" s="70"/>
    </row>
    <row r="50" spans="1:13" ht="13.5" x14ac:dyDescent="0.25">
      <c r="A50" s="69"/>
      <c r="B50" s="181" t="str">
        <f>""&amp;Deflatores!B45</f>
        <v/>
      </c>
      <c r="C50" s="181"/>
      <c r="D50" s="32" t="str">
        <f>""&amp;Deflatores!G45</f>
        <v xml:space="preserve">           .</v>
      </c>
      <c r="E50" s="33">
        <f>Deflatores!J45</f>
        <v>0</v>
      </c>
      <c r="H50" s="34" t="str">
        <f>IF(ISBLANK(Deflatores!H45),"",Deflatores!H45)</f>
        <v/>
      </c>
      <c r="I50" s="34" t="str">
        <f t="shared" si="1"/>
        <v/>
      </c>
      <c r="J50" s="35" t="str">
        <f t="shared" si="2"/>
        <v/>
      </c>
      <c r="M50" s="70"/>
    </row>
    <row r="51" spans="1:13" ht="13.5" x14ac:dyDescent="0.25">
      <c r="A51" s="69"/>
      <c r="B51" s="181" t="str">
        <f>""&amp;Deflatores!B46</f>
        <v/>
      </c>
      <c r="C51" s="181"/>
      <c r="D51" s="32" t="str">
        <f>""&amp;Deflatores!G46</f>
        <v xml:space="preserve">           .</v>
      </c>
      <c r="E51" s="33">
        <f>Deflatores!J46</f>
        <v>0</v>
      </c>
      <c r="H51" s="34" t="str">
        <f>IF(ISBLANK(Deflatores!H46),"",Deflatores!H46)</f>
        <v/>
      </c>
      <c r="I51" s="34" t="str">
        <f t="shared" si="1"/>
        <v/>
      </c>
      <c r="J51" s="35" t="str">
        <f t="shared" si="2"/>
        <v/>
      </c>
      <c r="M51" s="70"/>
    </row>
    <row r="52" spans="1:13" ht="13.5" x14ac:dyDescent="0.25">
      <c r="A52" s="69"/>
      <c r="B52" s="181" t="str">
        <f>""&amp;Deflatores!B47</f>
        <v/>
      </c>
      <c r="C52" s="181"/>
      <c r="D52" s="32" t="str">
        <f>""&amp;Deflatores!G47</f>
        <v xml:space="preserve">           .</v>
      </c>
      <c r="E52" s="33">
        <f>Deflatores!J47</f>
        <v>0</v>
      </c>
      <c r="H52" s="34" t="str">
        <f>IF(ISBLANK(Deflatores!H47),"",Deflatores!H47)</f>
        <v/>
      </c>
      <c r="I52" s="34" t="str">
        <f t="shared" si="1"/>
        <v/>
      </c>
      <c r="J52" s="35" t="str">
        <f t="shared" si="2"/>
        <v/>
      </c>
      <c r="M52" s="70"/>
    </row>
    <row r="53" spans="1:13" ht="13.5" x14ac:dyDescent="0.25">
      <c r="A53" s="69"/>
      <c r="B53" s="181" t="str">
        <f>""&amp;Deflatores!B48</f>
        <v/>
      </c>
      <c r="C53" s="181"/>
      <c r="D53" s="32" t="str">
        <f>""&amp;Deflatores!G48</f>
        <v xml:space="preserve">           .</v>
      </c>
      <c r="E53" s="33">
        <f>Deflatores!J48</f>
        <v>0</v>
      </c>
      <c r="H53" s="34" t="str">
        <f>IF(ISBLANK(Deflatores!H48),"",Deflatores!H48)</f>
        <v/>
      </c>
      <c r="I53" s="34" t="str">
        <f t="shared" si="1"/>
        <v/>
      </c>
      <c r="J53" s="35" t="str">
        <f t="shared" si="2"/>
        <v/>
      </c>
      <c r="M53" s="70"/>
    </row>
    <row r="54" spans="1:13" ht="13.5" x14ac:dyDescent="0.25">
      <c r="A54" s="69"/>
      <c r="B54" s="181" t="str">
        <f>""&amp;Deflatores!B49</f>
        <v/>
      </c>
      <c r="C54" s="181"/>
      <c r="D54" s="32" t="str">
        <f>""&amp;Deflatores!G49</f>
        <v xml:space="preserve">           .</v>
      </c>
      <c r="E54" s="33">
        <f>Deflatores!J49</f>
        <v>0</v>
      </c>
      <c r="H54" s="34" t="str">
        <f>IF(ISBLANK(Deflatores!H49),"",Deflatores!H49)</f>
        <v/>
      </c>
      <c r="I54" s="34" t="str">
        <f t="shared" si="1"/>
        <v/>
      </c>
      <c r="J54" s="35" t="str">
        <f t="shared" si="2"/>
        <v/>
      </c>
      <c r="M54" s="70"/>
    </row>
    <row r="55" spans="1:13" ht="13.5" x14ac:dyDescent="0.25">
      <c r="A55" s="69"/>
      <c r="B55" s="181" t="str">
        <f>""&amp;Deflatores!B50</f>
        <v/>
      </c>
      <c r="C55" s="181"/>
      <c r="D55" s="32" t="str">
        <f>""&amp;Deflatores!G50</f>
        <v xml:space="preserve">           .</v>
      </c>
      <c r="E55" s="33">
        <f>Deflatores!J50</f>
        <v>0</v>
      </c>
      <c r="H55" s="34" t="str">
        <f>IF(ISBLANK(Deflatores!H50),"",Deflatores!H50)</f>
        <v/>
      </c>
      <c r="I55" s="34" t="str">
        <f t="shared" si="1"/>
        <v/>
      </c>
      <c r="J55" s="35" t="str">
        <f t="shared" si="2"/>
        <v/>
      </c>
      <c r="M55" s="70"/>
    </row>
    <row r="56" spans="1:13" ht="13.5" x14ac:dyDescent="0.25">
      <c r="A56" s="69"/>
      <c r="B56" s="181" t="str">
        <f>""&amp;Deflatores!B51</f>
        <v/>
      </c>
      <c r="C56" s="181"/>
      <c r="D56" s="32" t="str">
        <f>""&amp;Deflatores!G51</f>
        <v xml:space="preserve">           .</v>
      </c>
      <c r="E56" s="33">
        <f>Deflatores!J51</f>
        <v>0</v>
      </c>
      <c r="H56" s="34" t="str">
        <f>IF(ISBLANK(Deflatores!H51),"",Deflatores!H51)</f>
        <v/>
      </c>
      <c r="I56" s="34" t="str">
        <f t="shared" si="1"/>
        <v/>
      </c>
      <c r="J56" s="35" t="str">
        <f t="shared" si="2"/>
        <v/>
      </c>
      <c r="M56" s="70"/>
    </row>
    <row r="57" spans="1:13" ht="13.5" x14ac:dyDescent="0.25">
      <c r="A57" s="69"/>
      <c r="B57" s="181" t="str">
        <f>""&amp;Deflatores!B52</f>
        <v/>
      </c>
      <c r="C57" s="181"/>
      <c r="D57" s="32" t="str">
        <f>""&amp;Deflatores!G52</f>
        <v xml:space="preserve">           .</v>
      </c>
      <c r="E57" s="33">
        <f>Deflatores!J52</f>
        <v>0</v>
      </c>
      <c r="H57" s="34" t="str">
        <f>IF(ISBLANK(Deflatores!H52),"",Deflatores!H52)</f>
        <v/>
      </c>
      <c r="I57" s="34" t="str">
        <f t="shared" si="1"/>
        <v/>
      </c>
      <c r="J57" s="35" t="str">
        <f t="shared" si="2"/>
        <v/>
      </c>
      <c r="M57" s="70"/>
    </row>
    <row r="58" spans="1:13" ht="13.5" x14ac:dyDescent="0.25">
      <c r="A58" s="69"/>
      <c r="B58" s="181" t="str">
        <f>""&amp;Deflatores!B53</f>
        <v/>
      </c>
      <c r="C58" s="181"/>
      <c r="D58" s="32" t="str">
        <f>""&amp;Deflatores!G53</f>
        <v xml:space="preserve">           .</v>
      </c>
      <c r="E58" s="33">
        <f>Deflatores!J53</f>
        <v>0</v>
      </c>
      <c r="H58" s="34" t="str">
        <f>IF(ISBLANK(Deflatores!H53),"",Deflatores!H53)</f>
        <v/>
      </c>
      <c r="I58" s="34" t="str">
        <f t="shared" si="1"/>
        <v/>
      </c>
      <c r="J58" s="35" t="str">
        <f t="shared" si="2"/>
        <v/>
      </c>
      <c r="M58" s="70"/>
    </row>
    <row r="59" spans="1:13" ht="13.5" x14ac:dyDescent="0.25">
      <c r="A59" s="69"/>
      <c r="B59" s="181" t="str">
        <f>""&amp;Deflatores!B54</f>
        <v/>
      </c>
      <c r="C59" s="181"/>
      <c r="D59" s="32" t="str">
        <f>""&amp;Deflatores!G54</f>
        <v xml:space="preserve">           .</v>
      </c>
      <c r="E59" s="33">
        <f>Deflatores!J54</f>
        <v>0</v>
      </c>
      <c r="H59" s="34" t="str">
        <f>IF(ISBLANK(Deflatores!H54),"",Deflatores!H54)</f>
        <v/>
      </c>
      <c r="I59" s="34" t="str">
        <f t="shared" si="1"/>
        <v/>
      </c>
      <c r="J59" s="35" t="str">
        <f t="shared" si="2"/>
        <v/>
      </c>
      <c r="M59" s="70"/>
    </row>
    <row r="60" spans="1:13" ht="13.5" x14ac:dyDescent="0.25">
      <c r="A60" s="69"/>
      <c r="B60" s="181" t="str">
        <f>""&amp;Deflatores!B55</f>
        <v/>
      </c>
      <c r="C60" s="181"/>
      <c r="D60" s="32" t="str">
        <f>""&amp;Deflatores!G55</f>
        <v xml:space="preserve">           .</v>
      </c>
      <c r="E60" s="33">
        <f>Deflatores!J55</f>
        <v>0</v>
      </c>
      <c r="H60" s="34" t="str">
        <f>IF(ISBLANK(Deflatores!H55),"",Deflatores!H55)</f>
        <v/>
      </c>
      <c r="I60" s="34" t="str">
        <f t="shared" si="1"/>
        <v/>
      </c>
      <c r="J60" s="35" t="str">
        <f t="shared" si="2"/>
        <v/>
      </c>
      <c r="M60" s="70"/>
    </row>
    <row r="61" spans="1:13" ht="13.5" x14ac:dyDescent="0.25">
      <c r="A61" s="69"/>
      <c r="B61" s="181" t="str">
        <f>""&amp;Deflatores!B56</f>
        <v/>
      </c>
      <c r="C61" s="181"/>
      <c r="D61" s="32" t="str">
        <f>""&amp;Deflatores!G56</f>
        <v xml:space="preserve">           .</v>
      </c>
      <c r="E61" s="33">
        <f>Deflatores!J56</f>
        <v>0</v>
      </c>
      <c r="H61" s="34" t="str">
        <f>IF(ISBLANK(Deflatores!H56),"",Deflatores!H56)</f>
        <v/>
      </c>
      <c r="I61" s="34" t="str">
        <f t="shared" si="1"/>
        <v/>
      </c>
      <c r="J61" s="35" t="str">
        <f t="shared" si="2"/>
        <v/>
      </c>
      <c r="M61" s="70"/>
    </row>
    <row r="62" spans="1:13" ht="13.5" x14ac:dyDescent="0.25">
      <c r="A62" s="69"/>
      <c r="B62" s="181" t="str">
        <f>""&amp;Deflatores!B57</f>
        <v/>
      </c>
      <c r="C62" s="181"/>
      <c r="D62" s="32" t="str">
        <f>""&amp;Deflatores!G57</f>
        <v xml:space="preserve">           .</v>
      </c>
      <c r="E62" s="33">
        <f>Deflatores!J57</f>
        <v>0</v>
      </c>
      <c r="H62" s="34" t="str">
        <f>IF(ISBLANK(Deflatores!H57),"",Deflatores!H57)</f>
        <v/>
      </c>
      <c r="I62" s="34" t="str">
        <f t="shared" si="1"/>
        <v/>
      </c>
      <c r="J62" s="35" t="str">
        <f t="shared" si="2"/>
        <v/>
      </c>
      <c r="M62" s="70"/>
    </row>
    <row r="63" spans="1:13" ht="13.5" x14ac:dyDescent="0.25">
      <c r="A63" s="69"/>
      <c r="B63" s="181" t="str">
        <f>""&amp;Deflatores!B58</f>
        <v/>
      </c>
      <c r="C63" s="181"/>
      <c r="D63" s="32" t="str">
        <f>""&amp;Deflatores!G58</f>
        <v xml:space="preserve">           .</v>
      </c>
      <c r="E63" s="33">
        <f>Deflatores!J58</f>
        <v>0</v>
      </c>
      <c r="H63" s="34" t="str">
        <f>IF(ISBLANK(Deflatores!H58),"",Deflatores!H58)</f>
        <v/>
      </c>
      <c r="I63" s="34" t="str">
        <f t="shared" si="1"/>
        <v/>
      </c>
      <c r="J63" s="35" t="str">
        <f t="shared" si="2"/>
        <v/>
      </c>
      <c r="M63" s="70"/>
    </row>
    <row r="64" spans="1:13" ht="13.5" x14ac:dyDescent="0.25">
      <c r="A64" s="69"/>
      <c r="B64" s="181" t="str">
        <f>""&amp;Deflatores!B59</f>
        <v/>
      </c>
      <c r="C64" s="181"/>
      <c r="D64" s="32" t="str">
        <f>""&amp;Deflatores!G59</f>
        <v xml:space="preserve">           .</v>
      </c>
      <c r="E64" s="33">
        <f>Deflatores!J59</f>
        <v>0</v>
      </c>
      <c r="H64" s="34" t="str">
        <f>IF(ISBLANK(Deflatores!H59),"",Deflatores!H59)</f>
        <v/>
      </c>
      <c r="I64" s="34" t="str">
        <f t="shared" si="1"/>
        <v/>
      </c>
      <c r="J64" s="35" t="str">
        <f t="shared" si="2"/>
        <v/>
      </c>
      <c r="M64" s="70"/>
    </row>
    <row r="65" spans="1:13" ht="13.5" x14ac:dyDescent="0.25">
      <c r="A65" s="69"/>
      <c r="B65" s="181" t="str">
        <f>""&amp;Deflatores!B60</f>
        <v/>
      </c>
      <c r="C65" s="181"/>
      <c r="D65" s="32" t="str">
        <f>""&amp;Deflatores!G60</f>
        <v xml:space="preserve">           .</v>
      </c>
      <c r="E65" s="33">
        <f>Deflatores!J60</f>
        <v>0</v>
      </c>
      <c r="H65" s="34" t="str">
        <f>IF(ISBLANK(Deflatores!H60),"",Deflatores!H60)</f>
        <v/>
      </c>
      <c r="I65" s="34" t="str">
        <f t="shared" si="1"/>
        <v/>
      </c>
      <c r="J65" s="35" t="str">
        <f t="shared" si="2"/>
        <v/>
      </c>
      <c r="M65" s="70"/>
    </row>
    <row r="66" spans="1:13" ht="13.5" x14ac:dyDescent="0.25">
      <c r="A66" s="69"/>
      <c r="B66" s="181" t="str">
        <f>""&amp;Deflatores!B61</f>
        <v/>
      </c>
      <c r="C66" s="181"/>
      <c r="D66" s="32" t="str">
        <f>""&amp;Deflatores!G61</f>
        <v xml:space="preserve">           .</v>
      </c>
      <c r="E66" s="33">
        <f>Deflatores!J61</f>
        <v>0</v>
      </c>
      <c r="H66" s="34" t="str">
        <f>IF(ISBLANK(Deflatores!H61),"",Deflatores!H61)</f>
        <v/>
      </c>
      <c r="I66" s="34" t="str">
        <f t="shared" si="1"/>
        <v/>
      </c>
      <c r="J66" s="35" t="str">
        <f t="shared" si="2"/>
        <v/>
      </c>
      <c r="M66" s="70"/>
    </row>
    <row r="67" spans="1:13" ht="13.5" x14ac:dyDescent="0.25">
      <c r="A67" s="69"/>
      <c r="B67" s="181" t="str">
        <f>""&amp;Deflatores!B62</f>
        <v/>
      </c>
      <c r="C67" s="181"/>
      <c r="D67" s="32" t="str">
        <f>""&amp;Deflatores!G62</f>
        <v xml:space="preserve">           .</v>
      </c>
      <c r="E67" s="33">
        <f>Deflatores!J62</f>
        <v>0</v>
      </c>
      <c r="H67" s="34" t="str">
        <f>IF(ISBLANK(Deflatores!H62),"",Deflatores!H62)</f>
        <v/>
      </c>
      <c r="I67" s="34" t="str">
        <f t="shared" si="1"/>
        <v/>
      </c>
      <c r="J67" s="35" t="str">
        <f t="shared" si="2"/>
        <v/>
      </c>
      <c r="M67" s="70"/>
    </row>
    <row r="68" spans="1:13" ht="13.5" x14ac:dyDescent="0.25">
      <c r="A68" s="69"/>
      <c r="B68" s="181" t="str">
        <f>""&amp;Deflatores!B63</f>
        <v/>
      </c>
      <c r="C68" s="181"/>
      <c r="D68" s="32" t="str">
        <f>""&amp;Deflatores!G63</f>
        <v xml:space="preserve">           .</v>
      </c>
      <c r="E68" s="33">
        <f>Deflatores!J63</f>
        <v>0</v>
      </c>
      <c r="H68" s="34" t="str">
        <f>IF(ISBLANK(Deflatores!H63),"",Deflatores!H63)</f>
        <v/>
      </c>
      <c r="I68" s="34" t="str">
        <f t="shared" si="1"/>
        <v/>
      </c>
      <c r="J68" s="35" t="str">
        <f t="shared" si="2"/>
        <v/>
      </c>
      <c r="M68" s="70"/>
    </row>
    <row r="69" spans="1:13" ht="13.5" x14ac:dyDescent="0.25">
      <c r="A69" s="69"/>
      <c r="B69" s="181" t="str">
        <f>""&amp;Deflatores!B64</f>
        <v/>
      </c>
      <c r="C69" s="181"/>
      <c r="D69" s="32" t="str">
        <f>""&amp;Deflatores!G64</f>
        <v xml:space="preserve">           .</v>
      </c>
      <c r="E69" s="33">
        <f>Deflatores!J64</f>
        <v>0</v>
      </c>
      <c r="F69" s="38"/>
      <c r="G69" s="38"/>
      <c r="H69" s="34" t="str">
        <f>IF(ISBLANK(Deflatores!H64),"",Deflatores!H64)</f>
        <v/>
      </c>
      <c r="I69" s="34" t="str">
        <f t="shared" si="1"/>
        <v/>
      </c>
      <c r="J69" s="35" t="str">
        <f t="shared" si="2"/>
        <v/>
      </c>
      <c r="M69" s="70"/>
    </row>
    <row r="70" spans="1:13" ht="13.5" x14ac:dyDescent="0.25">
      <c r="A70" s="71"/>
      <c r="B70" s="72"/>
      <c r="C70" s="73"/>
      <c r="D70" s="74"/>
      <c r="E70" s="75"/>
      <c r="F70" s="76"/>
      <c r="G70" s="76"/>
      <c r="H70" s="77"/>
      <c r="I70" s="78"/>
      <c r="J70" s="73"/>
      <c r="K70" s="73"/>
      <c r="L70" s="73"/>
      <c r="M70" s="79"/>
    </row>
  </sheetData>
  <sheetProtection algorithmName="SHA-512" hashValue="lNMwkOyDrwy51/7Qag7INwHKL0NK2icahpWvWLnICZdhESW1yTuLspXEVcYEsij4A9AR7xL2DWM53KE4wjFeng==" saltValue="iER/A/SOKaRQbGJJQ2/zug==" spinCount="100000" sheet="1" selectLockedCells="1" selectUnlockedCells="1"/>
  <mergeCells count="68">
    <mergeCell ref="B15:C15"/>
    <mergeCell ref="B29:C29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  <mergeCell ref="B16:C16"/>
    <mergeCell ref="B18:C18"/>
    <mergeCell ref="B19:C19"/>
    <mergeCell ref="B22:C22"/>
    <mergeCell ref="B17:C17"/>
    <mergeCell ref="B21:C21"/>
    <mergeCell ref="B20:C20"/>
    <mergeCell ref="B35:C35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47:C47"/>
    <mergeCell ref="B48:C48"/>
    <mergeCell ref="B36:C36"/>
    <mergeCell ref="B37:C37"/>
    <mergeCell ref="B42:C42"/>
    <mergeCell ref="B43:C43"/>
    <mergeCell ref="B44:C44"/>
    <mergeCell ref="B46:D46"/>
    <mergeCell ref="B38:C38"/>
    <mergeCell ref="B39:C39"/>
    <mergeCell ref="B40:C40"/>
    <mergeCell ref="B41:C4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</mergeCells>
  <pageMargins left="0.78749999999999998" right="0.78749999999999998" top="1.023611111111111" bottom="1.023611111111111" header="0.51180555555555551" footer="0.78749999999999998"/>
  <pageSetup paperSize="9" scale="47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9</vt:i4>
      </vt:variant>
    </vt:vector>
  </HeadingPairs>
  <TitlesOfParts>
    <vt:vector size="15" baseType="lpstr">
      <vt:lpstr>Info Gerais</vt:lpstr>
      <vt:lpstr>Contagem_PF</vt:lpstr>
      <vt:lpstr>Relatório de Divergências FSW</vt:lpstr>
      <vt:lpstr>Deflatores</vt:lpstr>
      <vt:lpstr>Sumário 1</vt:lpstr>
      <vt:lpstr>Sumário 2</vt:lpstr>
      <vt:lpstr>Contagem_PF!Area_de_impressao</vt:lpstr>
      <vt:lpstr>'Info Gerais'!Area_de_impressao</vt:lpstr>
      <vt:lpstr>'Relatório de Divergências FSW'!Area_de_impressao</vt:lpstr>
      <vt:lpstr>Contagem_PF!TiposDeFuncao</vt:lpstr>
      <vt:lpstr>'Relatório de Divergências FSW'!TiposDeFuncao</vt:lpstr>
      <vt:lpstr>Contagem_PF!TiposDeManutencao</vt:lpstr>
      <vt:lpstr>'Relatório de Divergências FSW'!TiposDeManutencao</vt:lpstr>
      <vt:lpstr>Contagem_PF!Titulos_de_impressao</vt:lpstr>
      <vt:lpstr>'Relatório de Divergências FSW'!Titulos_de_impressao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Fatto Consultoria e Sistemas</dc:creator>
  <cp:keywords/>
  <dc:description/>
  <cp:lastModifiedBy>Victor Farias</cp:lastModifiedBy>
  <cp:revision/>
  <dcterms:created xsi:type="dcterms:W3CDTF">2015-06-26T19:24:40Z</dcterms:created>
  <dcterms:modified xsi:type="dcterms:W3CDTF">2026-05-13T20:42:27Z</dcterms:modified>
  <cp:category/>
  <cp:contentStatus/>
</cp:coreProperties>
</file>