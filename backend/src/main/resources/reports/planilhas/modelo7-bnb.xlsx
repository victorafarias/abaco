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2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Victor\Downloads\"/>
    </mc:Choice>
  </mc:AlternateContent>
  <xr:revisionPtr revIDLastSave="0" documentId="8_{710510DA-9DCD-43B4-B86E-4A6D11FDDAFD}" xr6:coauthVersionLast="47" xr6:coauthVersionMax="47" xr10:uidLastSave="{00000000-0000-0000-0000-000000000000}"/>
  <bookViews>
    <workbookView xWindow="-120" yWindow="-120" windowWidth="29040" windowHeight="15720" tabRatio="783" activeTab="1" xr2:uid="{00000000-000D-0000-FFFF-FFFF00000000}"/>
  </bookViews>
  <sheets>
    <sheet name="Contagem" sheetId="1" r:id="rId1"/>
    <sheet name="Funções" sheetId="2" r:id="rId2"/>
    <sheet name="Sumário" sheetId="3" r:id="rId3"/>
    <sheet name="Itens Não Mensuráveis" sheetId="4" r:id="rId4"/>
    <sheet name="INM - Regras" sheetId="5" r:id="rId5"/>
    <sheet name="Documentação de Legado" sheetId="7" r:id="rId6"/>
    <sheet name="Sistemas" sheetId="8" r:id="rId7"/>
  </sheets>
  <definedNames>
    <definedName name="_xlnm.Print_Area" localSheetId="1">Funções!$A$1:$T$500</definedName>
    <definedName name="_xlnm.Print_Area" localSheetId="2">Sumário!$A$1:$O$72</definedName>
    <definedName name="CF">Funções!$K$8:$K$113</definedName>
    <definedName name="Data">Contagem!$Z$7</definedName>
    <definedName name="Projeto">Contagem!$F$6</definedName>
    <definedName name="Responsável">Contagem!$F$7</definedName>
    <definedName name="Revisão">Contagem!$Z$8</definedName>
    <definedName name="Revisor">Contagem!$F$8</definedName>
    <definedName name="_xlnm.Print_Titles" localSheetId="1">Funções!$1:$7</definedName>
    <definedName name="UFPB">Contagem!$AA$12</definedName>
    <definedName name="VAF">#REF!</definedName>
    <definedName name="VAFA">#REF!</definedName>
    <definedName name="VAFB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9" i="4" l="1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8" i="4"/>
  <c r="L290" i="2" l="1"/>
  <c r="M290" i="2" s="1"/>
  <c r="O290" i="2"/>
  <c r="L291" i="2"/>
  <c r="O291" i="2"/>
  <c r="L293" i="2"/>
  <c r="O293" i="2"/>
  <c r="L294" i="2"/>
  <c r="M294" i="2" s="1"/>
  <c r="O294" i="2"/>
  <c r="L295" i="2"/>
  <c r="O295" i="2"/>
  <c r="L296" i="2"/>
  <c r="K296" i="2" s="1"/>
  <c r="O296" i="2"/>
  <c r="L297" i="2"/>
  <c r="M297" i="2" s="1"/>
  <c r="O297" i="2"/>
  <c r="L298" i="2"/>
  <c r="K298" i="2" s="1"/>
  <c r="O298" i="2"/>
  <c r="L299" i="2"/>
  <c r="O299" i="2"/>
  <c r="L300" i="2"/>
  <c r="M300" i="2" s="1"/>
  <c r="O300" i="2"/>
  <c r="L301" i="2"/>
  <c r="O301" i="2"/>
  <c r="L302" i="2"/>
  <c r="K302" i="2" s="1"/>
  <c r="O302" i="2"/>
  <c r="L303" i="2"/>
  <c r="K303" i="2" s="1"/>
  <c r="O303" i="2"/>
  <c r="L304" i="2"/>
  <c r="M304" i="2" s="1"/>
  <c r="O304" i="2"/>
  <c r="L305" i="2"/>
  <c r="M305" i="2" s="1"/>
  <c r="O305" i="2"/>
  <c r="L306" i="2"/>
  <c r="K306" i="2" s="1"/>
  <c r="O306" i="2"/>
  <c r="L307" i="2"/>
  <c r="O307" i="2"/>
  <c r="L308" i="2"/>
  <c r="O308" i="2"/>
  <c r="L309" i="2"/>
  <c r="O309" i="2"/>
  <c r="L310" i="2"/>
  <c r="M310" i="2" s="1"/>
  <c r="O310" i="2"/>
  <c r="L311" i="2"/>
  <c r="K311" i="2" s="1"/>
  <c r="O311" i="2"/>
  <c r="L312" i="2"/>
  <c r="M312" i="2" s="1"/>
  <c r="O312" i="2"/>
  <c r="L313" i="2"/>
  <c r="M313" i="2" s="1"/>
  <c r="O313" i="2"/>
  <c r="L314" i="2"/>
  <c r="M314" i="2" s="1"/>
  <c r="O314" i="2"/>
  <c r="L315" i="2"/>
  <c r="O315" i="2"/>
  <c r="L316" i="2"/>
  <c r="K316" i="2" s="1"/>
  <c r="O316" i="2"/>
  <c r="L317" i="2"/>
  <c r="O317" i="2"/>
  <c r="L318" i="2"/>
  <c r="K318" i="2" s="1"/>
  <c r="O318" i="2"/>
  <c r="L319" i="2"/>
  <c r="K319" i="2" s="1"/>
  <c r="O319" i="2"/>
  <c r="L320" i="2"/>
  <c r="K320" i="2" s="1"/>
  <c r="O320" i="2"/>
  <c r="L321" i="2"/>
  <c r="M321" i="2" s="1"/>
  <c r="O321" i="2"/>
  <c r="L322" i="2"/>
  <c r="K322" i="2" s="1"/>
  <c r="O322" i="2"/>
  <c r="L323" i="2"/>
  <c r="O323" i="2"/>
  <c r="L324" i="2"/>
  <c r="O324" i="2"/>
  <c r="L325" i="2"/>
  <c r="O325" i="2"/>
  <c r="L326" i="2"/>
  <c r="K326" i="2" s="1"/>
  <c r="O326" i="2"/>
  <c r="L327" i="2"/>
  <c r="K327" i="2" s="1"/>
  <c r="O327" i="2"/>
  <c r="L328" i="2"/>
  <c r="K328" i="2" s="1"/>
  <c r="O328" i="2"/>
  <c r="L329" i="2"/>
  <c r="M329" i="2" s="1"/>
  <c r="O329" i="2"/>
  <c r="L330" i="2"/>
  <c r="K330" i="2" s="1"/>
  <c r="O330" i="2"/>
  <c r="L331" i="2"/>
  <c r="O331" i="2"/>
  <c r="L332" i="2"/>
  <c r="M332" i="2" s="1"/>
  <c r="O332" i="2"/>
  <c r="L333" i="2"/>
  <c r="O333" i="2"/>
  <c r="L334" i="2"/>
  <c r="K334" i="2" s="1"/>
  <c r="O334" i="2"/>
  <c r="L335" i="2"/>
  <c r="K335" i="2" s="1"/>
  <c r="O335" i="2"/>
  <c r="L336" i="2"/>
  <c r="K336" i="2" s="1"/>
  <c r="O336" i="2"/>
  <c r="L337" i="2"/>
  <c r="O337" i="2"/>
  <c r="L338" i="2"/>
  <c r="K338" i="2" s="1"/>
  <c r="O338" i="2"/>
  <c r="L339" i="2"/>
  <c r="O339" i="2"/>
  <c r="L340" i="2"/>
  <c r="K340" i="2" s="1"/>
  <c r="O340" i="2"/>
  <c r="L341" i="2"/>
  <c r="O341" i="2"/>
  <c r="L342" i="2"/>
  <c r="K342" i="2" s="1"/>
  <c r="O342" i="2"/>
  <c r="L343" i="2"/>
  <c r="K343" i="2" s="1"/>
  <c r="O343" i="2"/>
  <c r="L344" i="2"/>
  <c r="K344" i="2" s="1"/>
  <c r="O344" i="2"/>
  <c r="L345" i="2"/>
  <c r="M345" i="2" s="1"/>
  <c r="O345" i="2"/>
  <c r="L346" i="2"/>
  <c r="K346" i="2" s="1"/>
  <c r="O346" i="2"/>
  <c r="L347" i="2"/>
  <c r="K347" i="2" s="1"/>
  <c r="O347" i="2"/>
  <c r="L348" i="2"/>
  <c r="K348" i="2" s="1"/>
  <c r="O348" i="2"/>
  <c r="L349" i="2"/>
  <c r="M349" i="2" s="1"/>
  <c r="O349" i="2"/>
  <c r="L350" i="2"/>
  <c r="M350" i="2" s="1"/>
  <c r="O350" i="2"/>
  <c r="L351" i="2"/>
  <c r="O351" i="2"/>
  <c r="L352" i="2"/>
  <c r="K352" i="2" s="1"/>
  <c r="O352" i="2"/>
  <c r="L353" i="2"/>
  <c r="M353" i="2" s="1"/>
  <c r="O353" i="2"/>
  <c r="L354" i="2"/>
  <c r="K354" i="2" s="1"/>
  <c r="O354" i="2"/>
  <c r="L355" i="2"/>
  <c r="K355" i="2" s="1"/>
  <c r="O355" i="2"/>
  <c r="L356" i="2"/>
  <c r="K356" i="2" s="1"/>
  <c r="O356" i="2"/>
  <c r="L357" i="2"/>
  <c r="O357" i="2"/>
  <c r="L358" i="2"/>
  <c r="K358" i="2" s="1"/>
  <c r="O358" i="2"/>
  <c r="L359" i="2"/>
  <c r="K359" i="2" s="1"/>
  <c r="O359" i="2"/>
  <c r="L360" i="2"/>
  <c r="K360" i="2" s="1"/>
  <c r="O360" i="2"/>
  <c r="L361" i="2"/>
  <c r="M361" i="2" s="1"/>
  <c r="O361" i="2"/>
  <c r="L362" i="2"/>
  <c r="K362" i="2" s="1"/>
  <c r="O362" i="2"/>
  <c r="L363" i="2"/>
  <c r="K363" i="2" s="1"/>
  <c r="O363" i="2"/>
  <c r="L364" i="2"/>
  <c r="M364" i="2" s="1"/>
  <c r="O364" i="2"/>
  <c r="L365" i="2"/>
  <c r="M365" i="2" s="1"/>
  <c r="O365" i="2"/>
  <c r="L366" i="2"/>
  <c r="M366" i="2" s="1"/>
  <c r="O366" i="2"/>
  <c r="L367" i="2"/>
  <c r="O367" i="2"/>
  <c r="L368" i="2"/>
  <c r="K368" i="2" s="1"/>
  <c r="O368" i="2"/>
  <c r="L369" i="2"/>
  <c r="M369" i="2" s="1"/>
  <c r="O369" i="2"/>
  <c r="L370" i="2"/>
  <c r="K370" i="2" s="1"/>
  <c r="O370" i="2"/>
  <c r="L371" i="2"/>
  <c r="K371" i="2" s="1"/>
  <c r="O371" i="2"/>
  <c r="L372" i="2"/>
  <c r="K372" i="2" s="1"/>
  <c r="O372" i="2"/>
  <c r="L373" i="2"/>
  <c r="O373" i="2"/>
  <c r="L374" i="2"/>
  <c r="K374" i="2" s="1"/>
  <c r="O374" i="2"/>
  <c r="L375" i="2"/>
  <c r="K375" i="2" s="1"/>
  <c r="O375" i="2"/>
  <c r="L376" i="2"/>
  <c r="K376" i="2" s="1"/>
  <c r="O376" i="2"/>
  <c r="L377" i="2"/>
  <c r="M377" i="2" s="1"/>
  <c r="O377" i="2"/>
  <c r="L378" i="2"/>
  <c r="K378" i="2" s="1"/>
  <c r="O378" i="2"/>
  <c r="L379" i="2"/>
  <c r="K379" i="2" s="1"/>
  <c r="O379" i="2"/>
  <c r="L380" i="2"/>
  <c r="K380" i="2" s="1"/>
  <c r="O380" i="2"/>
  <c r="L381" i="2"/>
  <c r="M381" i="2" s="1"/>
  <c r="O381" i="2"/>
  <c r="L382" i="2"/>
  <c r="M382" i="2" s="1"/>
  <c r="O382" i="2"/>
  <c r="L383" i="2"/>
  <c r="O383" i="2"/>
  <c r="L384" i="2"/>
  <c r="K384" i="2" s="1"/>
  <c r="O384" i="2"/>
  <c r="L385" i="2"/>
  <c r="M385" i="2" s="1"/>
  <c r="O385" i="2"/>
  <c r="L386" i="2"/>
  <c r="K386" i="2" s="1"/>
  <c r="O386" i="2"/>
  <c r="L387" i="2"/>
  <c r="K387" i="2" s="1"/>
  <c r="O387" i="2"/>
  <c r="L388" i="2"/>
  <c r="K388" i="2" s="1"/>
  <c r="O388" i="2"/>
  <c r="L389" i="2"/>
  <c r="O389" i="2"/>
  <c r="L390" i="2"/>
  <c r="K390" i="2" s="1"/>
  <c r="O390" i="2"/>
  <c r="L391" i="2"/>
  <c r="K391" i="2" s="1"/>
  <c r="O391" i="2"/>
  <c r="L392" i="2"/>
  <c r="K392" i="2" s="1"/>
  <c r="O392" i="2"/>
  <c r="L393" i="2"/>
  <c r="M393" i="2" s="1"/>
  <c r="O393" i="2"/>
  <c r="L394" i="2"/>
  <c r="K394" i="2" s="1"/>
  <c r="O394" i="2"/>
  <c r="L395" i="2"/>
  <c r="K395" i="2" s="1"/>
  <c r="O395" i="2"/>
  <c r="L396" i="2"/>
  <c r="M396" i="2" s="1"/>
  <c r="O396" i="2"/>
  <c r="L397" i="2"/>
  <c r="M397" i="2" s="1"/>
  <c r="O397" i="2"/>
  <c r="L398" i="2"/>
  <c r="M398" i="2" s="1"/>
  <c r="O398" i="2"/>
  <c r="L399" i="2"/>
  <c r="O399" i="2"/>
  <c r="L400" i="2"/>
  <c r="K400" i="2" s="1"/>
  <c r="O400" i="2"/>
  <c r="L401" i="2"/>
  <c r="M401" i="2" s="1"/>
  <c r="O401" i="2"/>
  <c r="L402" i="2"/>
  <c r="K402" i="2" s="1"/>
  <c r="O402" i="2"/>
  <c r="L403" i="2"/>
  <c r="K403" i="2" s="1"/>
  <c r="O403" i="2"/>
  <c r="L404" i="2"/>
  <c r="K404" i="2" s="1"/>
  <c r="O404" i="2"/>
  <c r="L405" i="2"/>
  <c r="O405" i="2"/>
  <c r="L406" i="2"/>
  <c r="K406" i="2" s="1"/>
  <c r="O406" i="2"/>
  <c r="L407" i="2"/>
  <c r="K407" i="2" s="1"/>
  <c r="O407" i="2"/>
  <c r="L408" i="2"/>
  <c r="K408" i="2" s="1"/>
  <c r="O408" i="2"/>
  <c r="L409" i="2"/>
  <c r="M409" i="2" s="1"/>
  <c r="O409" i="2"/>
  <c r="L410" i="2"/>
  <c r="K410" i="2" s="1"/>
  <c r="O410" i="2"/>
  <c r="L411" i="2"/>
  <c r="K411" i="2" s="1"/>
  <c r="O411" i="2"/>
  <c r="L412" i="2"/>
  <c r="M412" i="2" s="1"/>
  <c r="O412" i="2"/>
  <c r="L413" i="2"/>
  <c r="M413" i="2" s="1"/>
  <c r="O413" i="2"/>
  <c r="L414" i="2"/>
  <c r="M414" i="2" s="1"/>
  <c r="O414" i="2"/>
  <c r="L415" i="2"/>
  <c r="O415" i="2"/>
  <c r="L416" i="2"/>
  <c r="K416" i="2" s="1"/>
  <c r="O416" i="2"/>
  <c r="L417" i="2"/>
  <c r="M417" i="2" s="1"/>
  <c r="O417" i="2"/>
  <c r="L418" i="2"/>
  <c r="K418" i="2" s="1"/>
  <c r="O418" i="2"/>
  <c r="L419" i="2"/>
  <c r="K419" i="2" s="1"/>
  <c r="O419" i="2"/>
  <c r="L420" i="2"/>
  <c r="K420" i="2" s="1"/>
  <c r="O420" i="2"/>
  <c r="L421" i="2"/>
  <c r="M421" i="2" s="1"/>
  <c r="O421" i="2"/>
  <c r="L422" i="2"/>
  <c r="M422" i="2" s="1"/>
  <c r="O422" i="2"/>
  <c r="L423" i="2"/>
  <c r="K423" i="2" s="1"/>
  <c r="O423" i="2"/>
  <c r="L424" i="2"/>
  <c r="K424" i="2" s="1"/>
  <c r="O424" i="2"/>
  <c r="L425" i="2"/>
  <c r="M425" i="2" s="1"/>
  <c r="O425" i="2"/>
  <c r="L426" i="2"/>
  <c r="K426" i="2" s="1"/>
  <c r="O426" i="2"/>
  <c r="L427" i="2"/>
  <c r="K427" i="2" s="1"/>
  <c r="O427" i="2"/>
  <c r="L428" i="2"/>
  <c r="M428" i="2" s="1"/>
  <c r="O428" i="2"/>
  <c r="L429" i="2"/>
  <c r="M429" i="2" s="1"/>
  <c r="O429" i="2"/>
  <c r="L430" i="2"/>
  <c r="M430" i="2" s="1"/>
  <c r="O430" i="2"/>
  <c r="L431" i="2"/>
  <c r="O431" i="2"/>
  <c r="L432" i="2"/>
  <c r="O432" i="2"/>
  <c r="L433" i="2"/>
  <c r="M433" i="2" s="1"/>
  <c r="O433" i="2"/>
  <c r="L434" i="2"/>
  <c r="O434" i="2"/>
  <c r="L435" i="2"/>
  <c r="K435" i="2" s="1"/>
  <c r="O435" i="2"/>
  <c r="L436" i="2"/>
  <c r="O436" i="2"/>
  <c r="L437" i="2"/>
  <c r="M437" i="2" s="1"/>
  <c r="O437" i="2"/>
  <c r="L438" i="2"/>
  <c r="M438" i="2" s="1"/>
  <c r="O438" i="2"/>
  <c r="L439" i="2"/>
  <c r="K439" i="2" s="1"/>
  <c r="O439" i="2"/>
  <c r="L440" i="2"/>
  <c r="K440" i="2" s="1"/>
  <c r="O440" i="2"/>
  <c r="L441" i="2"/>
  <c r="M441" i="2" s="1"/>
  <c r="O441" i="2"/>
  <c r="L442" i="2"/>
  <c r="K442" i="2" s="1"/>
  <c r="O442" i="2"/>
  <c r="L443" i="2"/>
  <c r="K443" i="2" s="1"/>
  <c r="O443" i="2"/>
  <c r="L444" i="2"/>
  <c r="K444" i="2" s="1"/>
  <c r="O444" i="2"/>
  <c r="L445" i="2"/>
  <c r="M445" i="2" s="1"/>
  <c r="O445" i="2"/>
  <c r="L446" i="2"/>
  <c r="M446" i="2" s="1"/>
  <c r="O446" i="2"/>
  <c r="L447" i="2"/>
  <c r="K447" i="2" s="1"/>
  <c r="O447" i="2"/>
  <c r="L448" i="2"/>
  <c r="M448" i="2" s="1"/>
  <c r="O448" i="2"/>
  <c r="L449" i="2"/>
  <c r="O449" i="2"/>
  <c r="L450" i="2"/>
  <c r="K450" i="2" s="1"/>
  <c r="O450" i="2"/>
  <c r="L451" i="2"/>
  <c r="O451" i="2"/>
  <c r="L452" i="2"/>
  <c r="K452" i="2" s="1"/>
  <c r="O452" i="2"/>
  <c r="L453" i="2"/>
  <c r="M453" i="2" s="1"/>
  <c r="O453" i="2"/>
  <c r="L454" i="2"/>
  <c r="O454" i="2"/>
  <c r="L455" i="2"/>
  <c r="K455" i="2" s="1"/>
  <c r="O455" i="2"/>
  <c r="L456" i="2"/>
  <c r="K456" i="2" s="1"/>
  <c r="O456" i="2"/>
  <c r="L457" i="2"/>
  <c r="K457" i="2" s="1"/>
  <c r="O457" i="2"/>
  <c r="L458" i="2"/>
  <c r="K458" i="2" s="1"/>
  <c r="O458" i="2"/>
  <c r="L459" i="2"/>
  <c r="K459" i="2" s="1"/>
  <c r="O459" i="2"/>
  <c r="L460" i="2"/>
  <c r="M460" i="2" s="1"/>
  <c r="O460" i="2"/>
  <c r="L461" i="2"/>
  <c r="M461" i="2" s="1"/>
  <c r="O461" i="2"/>
  <c r="L462" i="2"/>
  <c r="O462" i="2"/>
  <c r="L463" i="2"/>
  <c r="M463" i="2" s="1"/>
  <c r="O463" i="2"/>
  <c r="L464" i="2"/>
  <c r="M464" i="2" s="1"/>
  <c r="O464" i="2"/>
  <c r="L465" i="2"/>
  <c r="K465" i="2" s="1"/>
  <c r="O465" i="2"/>
  <c r="L466" i="2"/>
  <c r="M466" i="2" s="1"/>
  <c r="O466" i="2"/>
  <c r="L467" i="2"/>
  <c r="K467" i="2" s="1"/>
  <c r="O467" i="2"/>
  <c r="L468" i="2"/>
  <c r="M468" i="2" s="1"/>
  <c r="O468" i="2"/>
  <c r="L469" i="2"/>
  <c r="M469" i="2" s="1"/>
  <c r="O469" i="2"/>
  <c r="L470" i="2"/>
  <c r="O470" i="2"/>
  <c r="L471" i="2"/>
  <c r="M471" i="2" s="1"/>
  <c r="O471" i="2"/>
  <c r="L472" i="2"/>
  <c r="K472" i="2" s="1"/>
  <c r="O472" i="2"/>
  <c r="L473" i="2"/>
  <c r="K473" i="2" s="1"/>
  <c r="O473" i="2"/>
  <c r="L474" i="2"/>
  <c r="M474" i="2" s="1"/>
  <c r="O474" i="2"/>
  <c r="L475" i="2"/>
  <c r="K475" i="2" s="1"/>
  <c r="O475" i="2"/>
  <c r="L476" i="2"/>
  <c r="M476" i="2" s="1"/>
  <c r="O476" i="2"/>
  <c r="L477" i="2"/>
  <c r="M477" i="2" s="1"/>
  <c r="O477" i="2"/>
  <c r="L478" i="2"/>
  <c r="O478" i="2"/>
  <c r="L479" i="2"/>
  <c r="M479" i="2" s="1"/>
  <c r="O479" i="2"/>
  <c r="L480" i="2"/>
  <c r="M480" i="2" s="1"/>
  <c r="O480" i="2"/>
  <c r="L481" i="2"/>
  <c r="K481" i="2" s="1"/>
  <c r="O481" i="2"/>
  <c r="L482" i="2"/>
  <c r="M482" i="2" s="1"/>
  <c r="O482" i="2"/>
  <c r="L483" i="2"/>
  <c r="K483" i="2" s="1"/>
  <c r="O483" i="2"/>
  <c r="L484" i="2"/>
  <c r="M484" i="2" s="1"/>
  <c r="O484" i="2"/>
  <c r="L485" i="2"/>
  <c r="M485" i="2" s="1"/>
  <c r="O485" i="2"/>
  <c r="L486" i="2"/>
  <c r="O486" i="2"/>
  <c r="L487" i="2"/>
  <c r="M487" i="2" s="1"/>
  <c r="O487" i="2"/>
  <c r="L488" i="2"/>
  <c r="M488" i="2" s="1"/>
  <c r="O488" i="2"/>
  <c r="L489" i="2"/>
  <c r="K489" i="2" s="1"/>
  <c r="O489" i="2"/>
  <c r="L490" i="2"/>
  <c r="K490" i="2" s="1"/>
  <c r="O490" i="2"/>
  <c r="L491" i="2"/>
  <c r="K491" i="2" s="1"/>
  <c r="O491" i="2"/>
  <c r="L492" i="2"/>
  <c r="M492" i="2" s="1"/>
  <c r="O492" i="2"/>
  <c r="L493" i="2"/>
  <c r="M493" i="2" s="1"/>
  <c r="O493" i="2"/>
  <c r="L494" i="2"/>
  <c r="K494" i="2" s="1"/>
  <c r="O494" i="2"/>
  <c r="L495" i="2"/>
  <c r="M495" i="2" s="1"/>
  <c r="O495" i="2"/>
  <c r="L496" i="2"/>
  <c r="M496" i="2" s="1"/>
  <c r="O496" i="2"/>
  <c r="L497" i="2"/>
  <c r="K497" i="2" s="1"/>
  <c r="O497" i="2"/>
  <c r="L498" i="2"/>
  <c r="K498" i="2" s="1"/>
  <c r="O498" i="2"/>
  <c r="L499" i="2"/>
  <c r="K499" i="2" s="1"/>
  <c r="O499" i="2"/>
  <c r="L500" i="2"/>
  <c r="M500" i="2" s="1"/>
  <c r="O500" i="2"/>
  <c r="M491" i="2" l="1"/>
  <c r="M490" i="2"/>
  <c r="K500" i="2"/>
  <c r="M497" i="2"/>
  <c r="M494" i="2"/>
  <c r="K485" i="2"/>
  <c r="K482" i="2"/>
  <c r="K477" i="2"/>
  <c r="K474" i="2"/>
  <c r="K469" i="2"/>
  <c r="K466" i="2"/>
  <c r="M483" i="2"/>
  <c r="M475" i="2"/>
  <c r="M467" i="2"/>
  <c r="K461" i="2"/>
  <c r="M459" i="2"/>
  <c r="M458" i="2"/>
  <c r="M452" i="2"/>
  <c r="M450" i="2"/>
  <c r="M447" i="2"/>
  <c r="M440" i="2"/>
  <c r="M436" i="2"/>
  <c r="M435" i="2"/>
  <c r="M434" i="2"/>
  <c r="K434" i="2"/>
  <c r="M432" i="2"/>
  <c r="K432" i="2"/>
  <c r="M424" i="2"/>
  <c r="M420" i="2"/>
  <c r="M419" i="2"/>
  <c r="M418" i="2"/>
  <c r="M416" i="2"/>
  <c r="M408" i="2"/>
  <c r="M404" i="2"/>
  <c r="M403" i="2"/>
  <c r="M402" i="2"/>
  <c r="M400" i="2"/>
  <c r="M394" i="2"/>
  <c r="M392" i="2"/>
  <c r="M388" i="2"/>
  <c r="M387" i="2"/>
  <c r="M386" i="2"/>
  <c r="M384" i="2"/>
  <c r="M378" i="2"/>
  <c r="M376" i="2"/>
  <c r="M372" i="2"/>
  <c r="M371" i="2"/>
  <c r="M370" i="2"/>
  <c r="M368" i="2"/>
  <c r="M362" i="2"/>
  <c r="M360" i="2"/>
  <c r="M356" i="2"/>
  <c r="M355" i="2"/>
  <c r="M354" i="2"/>
  <c r="M352" i="2"/>
  <c r="M346" i="2"/>
  <c r="M344" i="2"/>
  <c r="M342" i="2"/>
  <c r="M340" i="2"/>
  <c r="M336" i="2"/>
  <c r="M335" i="2"/>
  <c r="M334" i="2"/>
  <c r="M328" i="2"/>
  <c r="M327" i="2"/>
  <c r="M326" i="2"/>
  <c r="M320" i="2"/>
  <c r="M318" i="2"/>
  <c r="M316" i="2"/>
  <c r="K314" i="2"/>
  <c r="M306" i="2"/>
  <c r="K305" i="2"/>
  <c r="K304" i="2"/>
  <c r="M298" i="2"/>
  <c r="M296" i="2"/>
  <c r="K290" i="2"/>
  <c r="K294" i="2"/>
  <c r="M324" i="2"/>
  <c r="K324" i="2"/>
  <c r="K295" i="2"/>
  <c r="M295" i="2"/>
  <c r="M499" i="2"/>
  <c r="M498" i="2"/>
  <c r="K493" i="2"/>
  <c r="K492" i="2"/>
  <c r="M489" i="2"/>
  <c r="K478" i="2"/>
  <c r="M478" i="2"/>
  <c r="K476" i="2"/>
  <c r="M473" i="2"/>
  <c r="K462" i="2"/>
  <c r="M462" i="2"/>
  <c r="K460" i="2"/>
  <c r="M457" i="2"/>
  <c r="M451" i="2"/>
  <c r="K451" i="2"/>
  <c r="K449" i="2"/>
  <c r="M449" i="2"/>
  <c r="K448" i="2"/>
  <c r="K446" i="2"/>
  <c r="M442" i="2"/>
  <c r="K438" i="2"/>
  <c r="K437" i="2"/>
  <c r="K431" i="2"/>
  <c r="M431" i="2"/>
  <c r="K430" i="2"/>
  <c r="M426" i="2"/>
  <c r="K422" i="2"/>
  <c r="K421" i="2"/>
  <c r="K415" i="2"/>
  <c r="M415" i="2"/>
  <c r="K414" i="2"/>
  <c r="M410" i="2"/>
  <c r="M390" i="2"/>
  <c r="M389" i="2"/>
  <c r="K389" i="2"/>
  <c r="K383" i="2"/>
  <c r="M383" i="2"/>
  <c r="K382" i="2"/>
  <c r="M358" i="2"/>
  <c r="M357" i="2"/>
  <c r="K357" i="2"/>
  <c r="K351" i="2"/>
  <c r="M351" i="2"/>
  <c r="K350" i="2"/>
  <c r="M338" i="2"/>
  <c r="M337" i="2"/>
  <c r="K337" i="2"/>
  <c r="K310" i="2"/>
  <c r="M330" i="2"/>
  <c r="M322" i="2"/>
  <c r="K312" i="2"/>
  <c r="M303" i="2"/>
  <c r="M302" i="2"/>
  <c r="K486" i="2"/>
  <c r="M486" i="2"/>
  <c r="K484" i="2"/>
  <c r="M481" i="2"/>
  <c r="K470" i="2"/>
  <c r="M470" i="2"/>
  <c r="K468" i="2"/>
  <c r="M465" i="2"/>
  <c r="K454" i="2"/>
  <c r="M454" i="2"/>
  <c r="M406" i="2"/>
  <c r="M405" i="2"/>
  <c r="K405" i="2"/>
  <c r="K399" i="2"/>
  <c r="M399" i="2"/>
  <c r="K398" i="2"/>
  <c r="M374" i="2"/>
  <c r="M373" i="2"/>
  <c r="K373" i="2"/>
  <c r="K367" i="2"/>
  <c r="M367" i="2"/>
  <c r="K366" i="2"/>
  <c r="K308" i="2"/>
  <c r="M308" i="2"/>
  <c r="K496" i="2"/>
  <c r="K488" i="2"/>
  <c r="K480" i="2"/>
  <c r="K412" i="2"/>
  <c r="K333" i="2"/>
  <c r="M333" i="2"/>
  <c r="K317" i="2"/>
  <c r="M317" i="2"/>
  <c r="K315" i="2"/>
  <c r="M315" i="2"/>
  <c r="K495" i="2"/>
  <c r="K487" i="2"/>
  <c r="K479" i="2"/>
  <c r="K471" i="2"/>
  <c r="K463" i="2"/>
  <c r="K453" i="2"/>
  <c r="K441" i="2"/>
  <c r="M439" i="2"/>
  <c r="K425" i="2"/>
  <c r="M423" i="2"/>
  <c r="K409" i="2"/>
  <c r="M407" i="2"/>
  <c r="K393" i="2"/>
  <c r="M391" i="2"/>
  <c r="K377" i="2"/>
  <c r="M375" i="2"/>
  <c r="K361" i="2"/>
  <c r="M359" i="2"/>
  <c r="K345" i="2"/>
  <c r="M343" i="2"/>
  <c r="K332" i="2"/>
  <c r="K313" i="2"/>
  <c r="M311" i="2"/>
  <c r="K300" i="2"/>
  <c r="K464" i="2"/>
  <c r="K428" i="2"/>
  <c r="K396" i="2"/>
  <c r="K364" i="2"/>
  <c r="K331" i="2"/>
  <c r="M331" i="2"/>
  <c r="M472" i="2"/>
  <c r="M456" i="2"/>
  <c r="M444" i="2"/>
  <c r="M380" i="2"/>
  <c r="M348" i="2"/>
  <c r="K341" i="2"/>
  <c r="M341" i="2"/>
  <c r="K339" i="2"/>
  <c r="M339" i="2"/>
  <c r="K309" i="2"/>
  <c r="M309" i="2"/>
  <c r="K307" i="2"/>
  <c r="M307" i="2"/>
  <c r="K301" i="2"/>
  <c r="M301" i="2"/>
  <c r="K417" i="2"/>
  <c r="K385" i="2"/>
  <c r="K353" i="2"/>
  <c r="K297" i="2"/>
  <c r="K325" i="2"/>
  <c r="M325" i="2"/>
  <c r="K323" i="2"/>
  <c r="M323" i="2"/>
  <c r="K293" i="2"/>
  <c r="M293" i="2"/>
  <c r="K291" i="2"/>
  <c r="M291" i="2"/>
  <c r="K299" i="2"/>
  <c r="M299" i="2"/>
  <c r="K433" i="2"/>
  <c r="K401" i="2"/>
  <c r="K369" i="2"/>
  <c r="K329" i="2"/>
  <c r="M455" i="2"/>
  <c r="K445" i="2"/>
  <c r="M443" i="2"/>
  <c r="K429" i="2"/>
  <c r="M427" i="2"/>
  <c r="K413" i="2"/>
  <c r="M411" i="2"/>
  <c r="K397" i="2"/>
  <c r="M395" i="2"/>
  <c r="K381" i="2"/>
  <c r="M379" i="2"/>
  <c r="K365" i="2"/>
  <c r="M363" i="2"/>
  <c r="K349" i="2"/>
  <c r="M347" i="2"/>
  <c r="K321" i="2"/>
  <c r="M319" i="2"/>
  <c r="E58" i="3"/>
  <c r="E57" i="3"/>
  <c r="E56" i="3"/>
  <c r="AC21" i="4" l="1"/>
  <c r="AC22" i="4"/>
  <c r="AC23" i="4"/>
  <c r="AC24" i="4"/>
  <c r="AC25" i="4"/>
  <c r="AC26" i="4"/>
  <c r="AC27" i="4"/>
  <c r="AC28" i="4"/>
  <c r="AC29" i="4"/>
  <c r="AC30" i="4"/>
  <c r="AC31" i="4"/>
  <c r="AC32" i="4"/>
  <c r="AC33" i="4"/>
  <c r="AC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20" i="4"/>
  <c r="Z33" i="4"/>
  <c r="Z21" i="4"/>
  <c r="Z22" i="4"/>
  <c r="Z23" i="4"/>
  <c r="Z24" i="4"/>
  <c r="Z25" i="4"/>
  <c r="Z26" i="4"/>
  <c r="Z27" i="4"/>
  <c r="Z28" i="4"/>
  <c r="Z29" i="4"/>
  <c r="Z30" i="4"/>
  <c r="Z31" i="4"/>
  <c r="Z32" i="4"/>
  <c r="Z20" i="4"/>
  <c r="K14" i="7" l="1"/>
  <c r="K15" i="7"/>
  <c r="K16" i="7"/>
  <c r="K17" i="7"/>
  <c r="K18" i="7"/>
  <c r="K19" i="7"/>
  <c r="K20" i="7"/>
  <c r="K21" i="7"/>
  <c r="K22" i="7"/>
  <c r="K23" i="7"/>
  <c r="K24" i="7"/>
  <c r="K11" i="7"/>
  <c r="K12" i="7"/>
  <c r="K13" i="7"/>
  <c r="K10" i="7"/>
  <c r="J21" i="7" l="1"/>
  <c r="J10" i="7"/>
  <c r="J14" i="7"/>
  <c r="H25" i="7"/>
  <c r="B6" i="7"/>
  <c r="E6" i="7" l="1"/>
  <c r="H5" i="7"/>
  <c r="E5" i="7"/>
  <c r="B5" i="7"/>
  <c r="O113" i="4" l="1"/>
  <c r="N113" i="4"/>
  <c r="L113" i="4"/>
  <c r="O112" i="4"/>
  <c r="N112" i="4"/>
  <c r="L112" i="4"/>
  <c r="O111" i="4"/>
  <c r="N111" i="4"/>
  <c r="L111" i="4"/>
  <c r="K111" i="4" s="1"/>
  <c r="O110" i="4"/>
  <c r="N110" i="4"/>
  <c r="L110" i="4"/>
  <c r="K110" i="4" s="1"/>
  <c r="O109" i="4"/>
  <c r="N109" i="4"/>
  <c r="L109" i="4"/>
  <c r="K109" i="4" s="1"/>
  <c r="O108" i="4"/>
  <c r="N108" i="4"/>
  <c r="L108" i="4"/>
  <c r="O107" i="4"/>
  <c r="N107" i="4"/>
  <c r="L107" i="4"/>
  <c r="O106" i="4"/>
  <c r="N106" i="4"/>
  <c r="L106" i="4"/>
  <c r="O105" i="4"/>
  <c r="N105" i="4"/>
  <c r="L105" i="4"/>
  <c r="O104" i="4"/>
  <c r="N104" i="4"/>
  <c r="L104" i="4"/>
  <c r="K104" i="4" s="1"/>
  <c r="O103" i="4"/>
  <c r="N103" i="4"/>
  <c r="L103" i="4"/>
  <c r="O102" i="4"/>
  <c r="N102" i="4"/>
  <c r="L102" i="4"/>
  <c r="K102" i="4" s="1"/>
  <c r="O101" i="4"/>
  <c r="N101" i="4"/>
  <c r="L101" i="4"/>
  <c r="K101" i="4" s="1"/>
  <c r="O100" i="4"/>
  <c r="N100" i="4"/>
  <c r="L100" i="4"/>
  <c r="K100" i="4" s="1"/>
  <c r="O99" i="4"/>
  <c r="N99" i="4"/>
  <c r="L99" i="4"/>
  <c r="K99" i="4" s="1"/>
  <c r="O98" i="4"/>
  <c r="N98" i="4"/>
  <c r="L98" i="4"/>
  <c r="O97" i="4"/>
  <c r="N97" i="4"/>
  <c r="L97" i="4"/>
  <c r="K97" i="4" s="1"/>
  <c r="O96" i="4"/>
  <c r="N96" i="4"/>
  <c r="L96" i="4"/>
  <c r="K96" i="4" s="1"/>
  <c r="O95" i="4"/>
  <c r="N95" i="4"/>
  <c r="L95" i="4"/>
  <c r="O94" i="4"/>
  <c r="N94" i="4"/>
  <c r="L94" i="4"/>
  <c r="O93" i="4"/>
  <c r="N93" i="4"/>
  <c r="L93" i="4"/>
  <c r="O92" i="4"/>
  <c r="N92" i="4"/>
  <c r="L92" i="4"/>
  <c r="K92" i="4" s="1"/>
  <c r="O91" i="4"/>
  <c r="N91" i="4"/>
  <c r="L91" i="4"/>
  <c r="O90" i="4"/>
  <c r="N90" i="4"/>
  <c r="L90" i="4"/>
  <c r="K90" i="4" s="1"/>
  <c r="O89" i="4"/>
  <c r="N89" i="4"/>
  <c r="L89" i="4"/>
  <c r="K89" i="4" s="1"/>
  <c r="O88" i="4"/>
  <c r="N88" i="4"/>
  <c r="L88" i="4"/>
  <c r="K88" i="4" s="1"/>
  <c r="O87" i="4"/>
  <c r="N87" i="4"/>
  <c r="L87" i="4"/>
  <c r="K87" i="4" s="1"/>
  <c r="O86" i="4"/>
  <c r="N86" i="4"/>
  <c r="L86" i="4"/>
  <c r="K86" i="4" s="1"/>
  <c r="O85" i="4"/>
  <c r="N85" i="4"/>
  <c r="L85" i="4"/>
  <c r="O84" i="4"/>
  <c r="N84" i="4"/>
  <c r="L84" i="4"/>
  <c r="K84" i="4" s="1"/>
  <c r="O83" i="4"/>
  <c r="N83" i="4"/>
  <c r="L83" i="4"/>
  <c r="K83" i="4" s="1"/>
  <c r="O82" i="4"/>
  <c r="N82" i="4"/>
  <c r="L82" i="4"/>
  <c r="O81" i="4"/>
  <c r="N81" i="4"/>
  <c r="L81" i="4"/>
  <c r="O80" i="4"/>
  <c r="N80" i="4"/>
  <c r="L80" i="4"/>
  <c r="K80" i="4" s="1"/>
  <c r="O79" i="4"/>
  <c r="N79" i="4"/>
  <c r="L79" i="4"/>
  <c r="O78" i="4"/>
  <c r="N78" i="4"/>
  <c r="L78" i="4"/>
  <c r="O77" i="4"/>
  <c r="N77" i="4"/>
  <c r="L77" i="4"/>
  <c r="K77" i="4" s="1"/>
  <c r="O76" i="4"/>
  <c r="N76" i="4"/>
  <c r="L76" i="4"/>
  <c r="K76" i="4" s="1"/>
  <c r="O75" i="4"/>
  <c r="N75" i="4"/>
  <c r="L75" i="4"/>
  <c r="O74" i="4"/>
  <c r="N74" i="4"/>
  <c r="L74" i="4"/>
  <c r="O73" i="4"/>
  <c r="N73" i="4"/>
  <c r="L73" i="4"/>
  <c r="O72" i="4"/>
  <c r="N72" i="4"/>
  <c r="L72" i="4"/>
  <c r="K72" i="4" s="1"/>
  <c r="O71" i="4"/>
  <c r="N71" i="4"/>
  <c r="L71" i="4"/>
  <c r="O70" i="4"/>
  <c r="N70" i="4"/>
  <c r="L70" i="4"/>
  <c r="O69" i="4"/>
  <c r="N69" i="4"/>
  <c r="L69" i="4"/>
  <c r="O68" i="4"/>
  <c r="N68" i="4"/>
  <c r="L68" i="4"/>
  <c r="K68" i="4" s="1"/>
  <c r="O67" i="4"/>
  <c r="N67" i="4"/>
  <c r="L67" i="4"/>
  <c r="K67" i="4" s="1"/>
  <c r="O66" i="4"/>
  <c r="N66" i="4"/>
  <c r="L66" i="4"/>
  <c r="O65" i="4"/>
  <c r="N65" i="4"/>
  <c r="L65" i="4"/>
  <c r="O64" i="4"/>
  <c r="N64" i="4"/>
  <c r="L64" i="4"/>
  <c r="K64" i="4" s="1"/>
  <c r="O63" i="4"/>
  <c r="N63" i="4"/>
  <c r="L63" i="4"/>
  <c r="O62" i="4"/>
  <c r="N62" i="4"/>
  <c r="L62" i="4"/>
  <c r="O61" i="4"/>
  <c r="N61" i="4"/>
  <c r="L61" i="4"/>
  <c r="O60" i="4"/>
  <c r="N60" i="4"/>
  <c r="L60" i="4"/>
  <c r="O59" i="4"/>
  <c r="N59" i="4"/>
  <c r="L59" i="4"/>
  <c r="O58" i="4"/>
  <c r="N58" i="4"/>
  <c r="L58" i="4"/>
  <c r="K58" i="4" s="1"/>
  <c r="O57" i="4"/>
  <c r="N57" i="4"/>
  <c r="L57" i="4"/>
  <c r="K57" i="4" s="1"/>
  <c r="O56" i="4"/>
  <c r="N56" i="4"/>
  <c r="L56" i="4"/>
  <c r="O55" i="4"/>
  <c r="N55" i="4"/>
  <c r="L55" i="4"/>
  <c r="O54" i="4"/>
  <c r="N54" i="4"/>
  <c r="L54" i="4"/>
  <c r="O53" i="4"/>
  <c r="N53" i="4"/>
  <c r="L53" i="4"/>
  <c r="K53" i="4" s="1"/>
  <c r="O52" i="4"/>
  <c r="N52" i="4"/>
  <c r="L52" i="4"/>
  <c r="O51" i="4"/>
  <c r="N51" i="4"/>
  <c r="L51" i="4"/>
  <c r="K51" i="4" s="1"/>
  <c r="O50" i="4"/>
  <c r="N50" i="4"/>
  <c r="L50" i="4"/>
  <c r="O49" i="4"/>
  <c r="N49" i="4"/>
  <c r="L49" i="4"/>
  <c r="K49" i="4" s="1"/>
  <c r="O48" i="4"/>
  <c r="N48" i="4"/>
  <c r="L48" i="4"/>
  <c r="O47" i="4"/>
  <c r="N47" i="4"/>
  <c r="L47" i="4"/>
  <c r="O46" i="4"/>
  <c r="N46" i="4"/>
  <c r="L46" i="4"/>
  <c r="K46" i="4" s="1"/>
  <c r="O45" i="4"/>
  <c r="N45" i="4"/>
  <c r="L45" i="4"/>
  <c r="O44" i="4"/>
  <c r="N44" i="4"/>
  <c r="L44" i="4"/>
  <c r="K44" i="4" s="1"/>
  <c r="O43" i="4"/>
  <c r="N43" i="4"/>
  <c r="L43" i="4"/>
  <c r="K43" i="4" s="1"/>
  <c r="O42" i="4"/>
  <c r="N42" i="4"/>
  <c r="L42" i="4"/>
  <c r="O41" i="4"/>
  <c r="N41" i="4"/>
  <c r="L41" i="4"/>
  <c r="O40" i="4"/>
  <c r="N40" i="4"/>
  <c r="L40" i="4"/>
  <c r="O39" i="4"/>
  <c r="N39" i="4"/>
  <c r="L39" i="4"/>
  <c r="O38" i="4"/>
  <c r="N38" i="4"/>
  <c r="L38" i="4"/>
  <c r="O37" i="4"/>
  <c r="N37" i="4"/>
  <c r="L37" i="4"/>
  <c r="K37" i="4" s="1"/>
  <c r="O36" i="4"/>
  <c r="N36" i="4"/>
  <c r="L36" i="4"/>
  <c r="O35" i="4"/>
  <c r="N35" i="4"/>
  <c r="L35" i="4"/>
  <c r="K35" i="4" s="1"/>
  <c r="O34" i="4"/>
  <c r="N34" i="4"/>
  <c r="L34" i="4"/>
  <c r="O33" i="4"/>
  <c r="N33" i="4"/>
  <c r="L33" i="4"/>
  <c r="O32" i="4"/>
  <c r="N32" i="4"/>
  <c r="L32" i="4"/>
  <c r="O31" i="4"/>
  <c r="N31" i="4"/>
  <c r="L31" i="4"/>
  <c r="O30" i="4"/>
  <c r="N30" i="4"/>
  <c r="L30" i="4"/>
  <c r="O29" i="4"/>
  <c r="N29" i="4"/>
  <c r="L29" i="4"/>
  <c r="O28" i="4"/>
  <c r="N28" i="4"/>
  <c r="L28" i="4"/>
  <c r="O27" i="4"/>
  <c r="N27" i="4"/>
  <c r="L27" i="4"/>
  <c r="O26" i="4"/>
  <c r="N26" i="4"/>
  <c r="L26" i="4"/>
  <c r="O25" i="4"/>
  <c r="N25" i="4"/>
  <c r="L25" i="4"/>
  <c r="O24" i="4"/>
  <c r="N24" i="4"/>
  <c r="L24" i="4"/>
  <c r="O23" i="4"/>
  <c r="L23" i="4"/>
  <c r="K23" i="4" s="1"/>
  <c r="O22" i="4"/>
  <c r="N22" i="4"/>
  <c r="L22" i="4"/>
  <c r="O21" i="4"/>
  <c r="N21" i="4"/>
  <c r="L21" i="4"/>
  <c r="O20" i="4"/>
  <c r="N20" i="4"/>
  <c r="L20" i="4"/>
  <c r="K20" i="4" s="1"/>
  <c r="O19" i="4"/>
  <c r="N19" i="4"/>
  <c r="L19" i="4"/>
  <c r="K19" i="4" s="1"/>
  <c r="O18" i="4"/>
  <c r="N18" i="4"/>
  <c r="L18" i="4"/>
  <c r="K18" i="4" s="1"/>
  <c r="O17" i="4"/>
  <c r="N17" i="4"/>
  <c r="L17" i="4"/>
  <c r="K17" i="4" s="1"/>
  <c r="O16" i="4"/>
  <c r="N16" i="4"/>
  <c r="L16" i="4"/>
  <c r="K16" i="4" s="1"/>
  <c r="O15" i="4"/>
  <c r="N15" i="4"/>
  <c r="X15" i="4" s="1"/>
  <c r="L15" i="4"/>
  <c r="K15" i="4" s="1"/>
  <c r="O14" i="4"/>
  <c r="L14" i="4"/>
  <c r="K14" i="4" s="1"/>
  <c r="N14" i="4"/>
  <c r="O13" i="4"/>
  <c r="L13" i="4"/>
  <c r="O12" i="4"/>
  <c r="L12" i="4"/>
  <c r="K12" i="4" s="1"/>
  <c r="O11" i="4"/>
  <c r="N11" i="4"/>
  <c r="L11" i="4"/>
  <c r="O10" i="4"/>
  <c r="L10" i="4"/>
  <c r="O9" i="4"/>
  <c r="L9" i="4"/>
  <c r="K9" i="4" s="1"/>
  <c r="O8" i="4"/>
  <c r="N8" i="4"/>
  <c r="P4" i="4"/>
  <c r="P5" i="4"/>
  <c r="A5" i="4"/>
  <c r="U4" i="4"/>
  <c r="A4" i="4"/>
  <c r="S13" i="1"/>
  <c r="AA13" i="1" s="1"/>
  <c r="F58" i="3"/>
  <c r="G58" i="3" s="1"/>
  <c r="F57" i="3"/>
  <c r="F56" i="3"/>
  <c r="F55" i="3"/>
  <c r="A4" i="2"/>
  <c r="G4" i="2"/>
  <c r="A5" i="2"/>
  <c r="G5" i="2"/>
  <c r="A6" i="2"/>
  <c r="F6" i="2"/>
  <c r="A4" i="3"/>
  <c r="F4" i="3"/>
  <c r="A5" i="3"/>
  <c r="F5" i="3"/>
  <c r="A6" i="3"/>
  <c r="F6" i="3"/>
  <c r="N12" i="4"/>
  <c r="K81" i="4"/>
  <c r="K61" i="4"/>
  <c r="K103" i="4"/>
  <c r="K48" i="4" l="1"/>
  <c r="K47" i="4"/>
  <c r="K56" i="4"/>
  <c r="K60" i="4"/>
  <c r="K26" i="4"/>
  <c r="K106" i="4"/>
  <c r="K71" i="4"/>
  <c r="T8" i="4"/>
  <c r="N13" i="4"/>
  <c r="X11" i="4"/>
  <c r="X17" i="4"/>
  <c r="R28" i="4"/>
  <c r="W28" i="4" s="1"/>
  <c r="X28" i="4"/>
  <c r="R36" i="4"/>
  <c r="W36" i="4" s="1"/>
  <c r="X36" i="4"/>
  <c r="R49" i="4"/>
  <c r="W49" i="4" s="1"/>
  <c r="X49" i="4"/>
  <c r="R64" i="4"/>
  <c r="W64" i="4" s="1"/>
  <c r="X64" i="4"/>
  <c r="R77" i="4"/>
  <c r="W77" i="4" s="1"/>
  <c r="X77" i="4"/>
  <c r="R82" i="4"/>
  <c r="W82" i="4" s="1"/>
  <c r="X82" i="4"/>
  <c r="R97" i="4"/>
  <c r="W97" i="4" s="1"/>
  <c r="X97" i="4"/>
  <c r="R102" i="4"/>
  <c r="W102" i="4" s="1"/>
  <c r="X102" i="4"/>
  <c r="R104" i="4"/>
  <c r="W104" i="4" s="1"/>
  <c r="X104" i="4"/>
  <c r="R106" i="4"/>
  <c r="W106" i="4" s="1"/>
  <c r="X106" i="4"/>
  <c r="R20" i="4"/>
  <c r="X20" i="4"/>
  <c r="R31" i="4"/>
  <c r="W31" i="4" s="1"/>
  <c r="X31" i="4"/>
  <c r="R39" i="4"/>
  <c r="W39" i="4" s="1"/>
  <c r="X39" i="4"/>
  <c r="R44" i="4"/>
  <c r="W44" i="4" s="1"/>
  <c r="X44" i="4"/>
  <c r="R52" i="4"/>
  <c r="W52" i="4" s="1"/>
  <c r="X52" i="4"/>
  <c r="R57" i="4"/>
  <c r="W57" i="4" s="1"/>
  <c r="X57" i="4"/>
  <c r="R67" i="4"/>
  <c r="W67" i="4" s="1"/>
  <c r="X67" i="4"/>
  <c r="R72" i="4"/>
  <c r="W72" i="4" s="1"/>
  <c r="X72" i="4"/>
  <c r="R87" i="4"/>
  <c r="W87" i="4" s="1"/>
  <c r="X87" i="4"/>
  <c r="R92" i="4"/>
  <c r="W92" i="4" s="1"/>
  <c r="X92" i="4"/>
  <c r="R100" i="4"/>
  <c r="W100" i="4" s="1"/>
  <c r="X100" i="4"/>
  <c r="R109" i="4"/>
  <c r="W109" i="4" s="1"/>
  <c r="X109" i="4"/>
  <c r="K31" i="4"/>
  <c r="R26" i="4"/>
  <c r="X26" i="4"/>
  <c r="R34" i="4"/>
  <c r="W34" i="4" s="1"/>
  <c r="X34" i="4"/>
  <c r="R42" i="4"/>
  <c r="W42" i="4" s="1"/>
  <c r="X42" i="4"/>
  <c r="R47" i="4"/>
  <c r="W47" i="4" s="1"/>
  <c r="X47" i="4"/>
  <c r="R55" i="4"/>
  <c r="W55" i="4" s="1"/>
  <c r="X55" i="4"/>
  <c r="R62" i="4"/>
  <c r="W62" i="4" s="1"/>
  <c r="X62" i="4"/>
  <c r="R70" i="4"/>
  <c r="W70" i="4" s="1"/>
  <c r="X70" i="4"/>
  <c r="R75" i="4"/>
  <c r="W75" i="4" s="1"/>
  <c r="X75" i="4"/>
  <c r="K78" i="4"/>
  <c r="R80" i="4"/>
  <c r="W80" i="4" s="1"/>
  <c r="X80" i="4"/>
  <c r="R85" i="4"/>
  <c r="W85" i="4" s="1"/>
  <c r="X85" i="4"/>
  <c r="R95" i="4"/>
  <c r="W95" i="4" s="1"/>
  <c r="X95" i="4"/>
  <c r="R112" i="4"/>
  <c r="W112" i="4" s="1"/>
  <c r="X112" i="4"/>
  <c r="R18" i="4"/>
  <c r="X18" i="4"/>
  <c r="R37" i="4"/>
  <c r="W37" i="4" s="1"/>
  <c r="X37" i="4"/>
  <c r="R65" i="4"/>
  <c r="W65" i="4" s="1"/>
  <c r="X65" i="4"/>
  <c r="R105" i="4"/>
  <c r="W105" i="4" s="1"/>
  <c r="X105" i="4"/>
  <c r="R107" i="4"/>
  <c r="W107" i="4" s="1"/>
  <c r="X107" i="4"/>
  <c r="K52" i="4"/>
  <c r="R32" i="4"/>
  <c r="W32" i="4" s="1"/>
  <c r="X32" i="4"/>
  <c r="R40" i="4"/>
  <c r="W40" i="4" s="1"/>
  <c r="X40" i="4"/>
  <c r="R53" i="4"/>
  <c r="W53" i="4" s="1"/>
  <c r="X53" i="4"/>
  <c r="R78" i="4"/>
  <c r="W78" i="4" s="1"/>
  <c r="X78" i="4"/>
  <c r="R83" i="4"/>
  <c r="W83" i="4" s="1"/>
  <c r="X83" i="4"/>
  <c r="R88" i="4"/>
  <c r="W88" i="4" s="1"/>
  <c r="X88" i="4"/>
  <c r="R93" i="4"/>
  <c r="W93" i="4" s="1"/>
  <c r="X93" i="4"/>
  <c r="R110" i="4"/>
  <c r="W110" i="4" s="1"/>
  <c r="X110" i="4"/>
  <c r="X12" i="4"/>
  <c r="R43" i="4"/>
  <c r="W43" i="4" s="1"/>
  <c r="X43" i="4"/>
  <c r="R48" i="4"/>
  <c r="W48" i="4" s="1"/>
  <c r="X48" i="4"/>
  <c r="R96" i="4"/>
  <c r="W96" i="4" s="1"/>
  <c r="X96" i="4"/>
  <c r="X14" i="4"/>
  <c r="R19" i="4"/>
  <c r="X19" i="4"/>
  <c r="R30" i="4"/>
  <c r="W30" i="4" s="1"/>
  <c r="X30" i="4"/>
  <c r="R38" i="4"/>
  <c r="W38" i="4" s="1"/>
  <c r="X38" i="4"/>
  <c r="R51" i="4"/>
  <c r="W51" i="4" s="1"/>
  <c r="X51" i="4"/>
  <c r="R56" i="4"/>
  <c r="W56" i="4" s="1"/>
  <c r="X56" i="4"/>
  <c r="R66" i="4"/>
  <c r="W66" i="4" s="1"/>
  <c r="X66" i="4"/>
  <c r="R71" i="4"/>
  <c r="W71" i="4" s="1"/>
  <c r="X71" i="4"/>
  <c r="R86" i="4"/>
  <c r="W86" i="4" s="1"/>
  <c r="X86" i="4"/>
  <c r="R91" i="4"/>
  <c r="W91" i="4" s="1"/>
  <c r="X91" i="4"/>
  <c r="R99" i="4"/>
  <c r="W99" i="4" s="1"/>
  <c r="X99" i="4"/>
  <c r="R108" i="4"/>
  <c r="W108" i="4" s="1"/>
  <c r="X108" i="4"/>
  <c r="R29" i="4"/>
  <c r="W29" i="4" s="1"/>
  <c r="X29" i="4"/>
  <c r="R50" i="4"/>
  <c r="W50" i="4" s="1"/>
  <c r="X50" i="4"/>
  <c r="R60" i="4"/>
  <c r="W60" i="4" s="1"/>
  <c r="X60" i="4"/>
  <c r="R90" i="4"/>
  <c r="W90" i="4" s="1"/>
  <c r="X90" i="4"/>
  <c r="R98" i="4"/>
  <c r="W98" i="4" s="1"/>
  <c r="X98" i="4"/>
  <c r="R103" i="4"/>
  <c r="W103" i="4" s="1"/>
  <c r="X103" i="4"/>
  <c r="R21" i="4"/>
  <c r="X21" i="4"/>
  <c r="R24" i="4"/>
  <c r="X24" i="4"/>
  <c r="R45" i="4"/>
  <c r="W45" i="4" s="1"/>
  <c r="X45" i="4"/>
  <c r="R58" i="4"/>
  <c r="W58" i="4" s="1"/>
  <c r="X58" i="4"/>
  <c r="R68" i="4"/>
  <c r="W68" i="4" s="1"/>
  <c r="X68" i="4"/>
  <c r="R73" i="4"/>
  <c r="W73" i="4" s="1"/>
  <c r="X73" i="4"/>
  <c r="R101" i="4"/>
  <c r="W101" i="4" s="1"/>
  <c r="X101" i="4"/>
  <c r="X16" i="4"/>
  <c r="R27" i="4"/>
  <c r="X27" i="4"/>
  <c r="R35" i="4"/>
  <c r="W35" i="4" s="1"/>
  <c r="X35" i="4"/>
  <c r="R63" i="4"/>
  <c r="W63" i="4" s="1"/>
  <c r="X63" i="4"/>
  <c r="R76" i="4"/>
  <c r="W76" i="4" s="1"/>
  <c r="X76" i="4"/>
  <c r="R81" i="4"/>
  <c r="W81" i="4" s="1"/>
  <c r="X81" i="4"/>
  <c r="R113" i="4"/>
  <c r="W113" i="4" s="1"/>
  <c r="X113" i="4"/>
  <c r="K45" i="4"/>
  <c r="K63" i="4"/>
  <c r="X13" i="4"/>
  <c r="K108" i="4"/>
  <c r="R22" i="4"/>
  <c r="X22" i="4"/>
  <c r="R25" i="4"/>
  <c r="X25" i="4"/>
  <c r="R33" i="4"/>
  <c r="W33" i="4" s="1"/>
  <c r="X33" i="4"/>
  <c r="R41" i="4"/>
  <c r="W41" i="4" s="1"/>
  <c r="X41" i="4"/>
  <c r="R46" i="4"/>
  <c r="W46" i="4" s="1"/>
  <c r="X46" i="4"/>
  <c r="R54" i="4"/>
  <c r="W54" i="4" s="1"/>
  <c r="X54" i="4"/>
  <c r="R59" i="4"/>
  <c r="W59" i="4" s="1"/>
  <c r="X59" i="4"/>
  <c r="R61" i="4"/>
  <c r="W61" i="4" s="1"/>
  <c r="X61" i="4"/>
  <c r="R69" i="4"/>
  <c r="W69" i="4" s="1"/>
  <c r="X69" i="4"/>
  <c r="R74" i="4"/>
  <c r="W74" i="4" s="1"/>
  <c r="X74" i="4"/>
  <c r="R79" i="4"/>
  <c r="W79" i="4" s="1"/>
  <c r="X79" i="4"/>
  <c r="R84" i="4"/>
  <c r="W84" i="4" s="1"/>
  <c r="X84" i="4"/>
  <c r="R89" i="4"/>
  <c r="W89" i="4" s="1"/>
  <c r="X89" i="4"/>
  <c r="R94" i="4"/>
  <c r="W94" i="4" s="1"/>
  <c r="X94" i="4"/>
  <c r="R111" i="4"/>
  <c r="W111" i="4" s="1"/>
  <c r="X111" i="4"/>
  <c r="N23" i="4"/>
  <c r="R23" i="4" s="1"/>
  <c r="X8" i="4"/>
  <c r="N9" i="4"/>
  <c r="X9" i="4"/>
  <c r="N10" i="4"/>
  <c r="K34" i="4"/>
  <c r="K32" i="4"/>
  <c r="K28" i="4"/>
  <c r="K54" i="4"/>
  <c r="K27" i="4"/>
  <c r="K36" i="4"/>
  <c r="K75" i="4"/>
  <c r="K95" i="4"/>
  <c r="K21" i="4"/>
  <c r="K65" i="4"/>
  <c r="G57" i="3"/>
  <c r="K10" i="4"/>
  <c r="K11" i="4"/>
  <c r="K55" i="4"/>
  <c r="K50" i="4"/>
  <c r="K73" i="4"/>
  <c r="K112" i="4"/>
  <c r="K39" i="4"/>
  <c r="K59" i="4"/>
  <c r="K79" i="4"/>
  <c r="K98" i="4"/>
  <c r="K107" i="4"/>
  <c r="K25" i="4"/>
  <c r="K22" i="4"/>
  <c r="K70" i="4"/>
  <c r="K94" i="4"/>
  <c r="S14" i="1"/>
  <c r="AA14" i="1" s="1"/>
  <c r="K113" i="4"/>
  <c r="K29" i="4"/>
  <c r="K33" i="4"/>
  <c r="K82" i="4"/>
  <c r="K38" i="4"/>
  <c r="K62" i="4"/>
  <c r="K69" i="4"/>
  <c r="K74" i="4"/>
  <c r="K41" i="4"/>
  <c r="K30" i="4"/>
  <c r="K40" i="4"/>
  <c r="K42" i="4"/>
  <c r="K93" i="4"/>
  <c r="K91" i="4"/>
  <c r="K13" i="4"/>
  <c r="K24" i="4"/>
  <c r="K105" i="4"/>
  <c r="K66" i="4"/>
  <c r="K85" i="4"/>
  <c r="V28" i="4" l="1"/>
  <c r="U28" i="4"/>
  <c r="U91" i="4"/>
  <c r="V91" i="4"/>
  <c r="U35" i="4"/>
  <c r="V35" i="4"/>
  <c r="U34" i="4"/>
  <c r="V34" i="4"/>
  <c r="U53" i="4"/>
  <c r="V53" i="4"/>
  <c r="U84" i="4"/>
  <c r="V84" i="4"/>
  <c r="U97" i="4"/>
  <c r="V97" i="4"/>
  <c r="U30" i="4"/>
  <c r="V30" i="4"/>
  <c r="U72" i="4"/>
  <c r="V72" i="4"/>
  <c r="U31" i="4"/>
  <c r="V31" i="4"/>
  <c r="U71" i="4"/>
  <c r="V71" i="4"/>
  <c r="U32" i="4"/>
  <c r="V32" i="4"/>
  <c r="U41" i="4"/>
  <c r="V41" i="4"/>
  <c r="U112" i="4"/>
  <c r="V112" i="4"/>
  <c r="U67" i="4"/>
  <c r="V67" i="4"/>
  <c r="U77" i="4"/>
  <c r="V77" i="4"/>
  <c r="U54" i="4"/>
  <c r="V54" i="4"/>
  <c r="U86" i="4"/>
  <c r="V86" i="4"/>
  <c r="U79" i="4"/>
  <c r="V79" i="4"/>
  <c r="U82" i="4"/>
  <c r="V82" i="4"/>
  <c r="U50" i="4"/>
  <c r="V50" i="4"/>
  <c r="U93" i="4"/>
  <c r="V93" i="4"/>
  <c r="U70" i="4"/>
  <c r="V70" i="4"/>
  <c r="U74" i="4"/>
  <c r="V74" i="4"/>
  <c r="U113" i="4"/>
  <c r="V113" i="4"/>
  <c r="U101" i="4"/>
  <c r="V101" i="4"/>
  <c r="U29" i="4"/>
  <c r="V29" i="4"/>
  <c r="U66" i="4"/>
  <c r="V66" i="4"/>
  <c r="U88" i="4"/>
  <c r="V88" i="4"/>
  <c r="U62" i="4"/>
  <c r="V62" i="4"/>
  <c r="U42" i="4"/>
  <c r="V42" i="4"/>
  <c r="U75" i="4"/>
  <c r="V75" i="4"/>
  <c r="U81" i="4"/>
  <c r="V81" i="4"/>
  <c r="V96" i="4"/>
  <c r="U96" i="4"/>
  <c r="U107" i="4"/>
  <c r="V107" i="4"/>
  <c r="U95" i="4"/>
  <c r="V95" i="4"/>
  <c r="U109" i="4"/>
  <c r="V109" i="4"/>
  <c r="U57" i="4"/>
  <c r="V57" i="4"/>
  <c r="U106" i="4"/>
  <c r="V106" i="4"/>
  <c r="U64" i="4"/>
  <c r="V64" i="4"/>
  <c r="U58" i="4"/>
  <c r="V58" i="4"/>
  <c r="U87" i="4"/>
  <c r="V87" i="4"/>
  <c r="U40" i="4"/>
  <c r="V40" i="4"/>
  <c r="U100" i="4"/>
  <c r="V100" i="4"/>
  <c r="V52" i="4"/>
  <c r="U52" i="4"/>
  <c r="U104" i="4"/>
  <c r="V104" i="4"/>
  <c r="U49" i="4"/>
  <c r="V49" i="4"/>
  <c r="U90" i="4"/>
  <c r="V90" i="4"/>
  <c r="U37" i="4"/>
  <c r="V37" i="4"/>
  <c r="U45" i="4"/>
  <c r="V45" i="4"/>
  <c r="U110" i="4"/>
  <c r="V110" i="4"/>
  <c r="U111" i="4"/>
  <c r="V111" i="4"/>
  <c r="U33" i="4"/>
  <c r="V33" i="4"/>
  <c r="U103" i="4"/>
  <c r="V103" i="4"/>
  <c r="U56" i="4"/>
  <c r="V56" i="4"/>
  <c r="U55" i="4"/>
  <c r="V55" i="4"/>
  <c r="U61" i="4"/>
  <c r="V61" i="4"/>
  <c r="U48" i="4"/>
  <c r="V48" i="4"/>
  <c r="U85" i="4"/>
  <c r="V85" i="4"/>
  <c r="U68" i="4"/>
  <c r="V68" i="4"/>
  <c r="U98" i="4"/>
  <c r="V98" i="4"/>
  <c r="U99" i="4"/>
  <c r="V99" i="4"/>
  <c r="U51" i="4"/>
  <c r="V51" i="4"/>
  <c r="U78" i="4"/>
  <c r="V78" i="4"/>
  <c r="U47" i="4"/>
  <c r="V47" i="4"/>
  <c r="U38" i="4"/>
  <c r="V38" i="4"/>
  <c r="U39" i="4"/>
  <c r="V39" i="4"/>
  <c r="U60" i="4"/>
  <c r="V60" i="4"/>
  <c r="U46" i="4"/>
  <c r="V46" i="4"/>
  <c r="U69" i="4"/>
  <c r="V69" i="4"/>
  <c r="U73" i="4"/>
  <c r="V73" i="4"/>
  <c r="U108" i="4"/>
  <c r="V108" i="4"/>
  <c r="U83" i="4"/>
  <c r="V83" i="4"/>
  <c r="U94" i="4"/>
  <c r="V94" i="4"/>
  <c r="U76" i="4"/>
  <c r="V76" i="4"/>
  <c r="V105" i="4"/>
  <c r="U105" i="4"/>
  <c r="U89" i="4"/>
  <c r="V89" i="4"/>
  <c r="U59" i="4"/>
  <c r="V59" i="4"/>
  <c r="U63" i="4"/>
  <c r="V63" i="4"/>
  <c r="U43" i="4"/>
  <c r="V43" i="4"/>
  <c r="U65" i="4"/>
  <c r="V65" i="4"/>
  <c r="U80" i="4"/>
  <c r="V80" i="4"/>
  <c r="U92" i="4"/>
  <c r="V92" i="4"/>
  <c r="U44" i="4"/>
  <c r="V44" i="4"/>
  <c r="U102" i="4"/>
  <c r="V102" i="4"/>
  <c r="U36" i="4"/>
  <c r="V36" i="4"/>
  <c r="E55" i="3"/>
  <c r="W8" i="4"/>
  <c r="U8" i="4" s="1"/>
  <c r="W16" i="4"/>
  <c r="W27" i="4"/>
  <c r="W22" i="4"/>
  <c r="W13" i="4"/>
  <c r="W24" i="4"/>
  <c r="W11" i="4"/>
  <c r="W25" i="4"/>
  <c r="W20" i="4"/>
  <c r="W21" i="4"/>
  <c r="W26" i="4"/>
  <c r="W19" i="4"/>
  <c r="W12" i="4"/>
  <c r="W17" i="4"/>
  <c r="W14" i="4"/>
  <c r="W18" i="4"/>
  <c r="W15" i="4"/>
  <c r="X23" i="4"/>
  <c r="W23" i="4"/>
  <c r="W9" i="4"/>
  <c r="W6" i="4"/>
  <c r="H64" i="3" s="1"/>
  <c r="X10" i="4"/>
  <c r="C26" i="3"/>
  <c r="G26" i="3" s="1"/>
  <c r="C17" i="3"/>
  <c r="G17" i="3" s="1"/>
  <c r="C31" i="3"/>
  <c r="G31" i="3" s="1"/>
  <c r="C33" i="3"/>
  <c r="G33" i="3" s="1"/>
  <c r="C11" i="3"/>
  <c r="G11" i="3" s="1"/>
  <c r="C18" i="3"/>
  <c r="G18" i="3" s="1"/>
  <c r="C38" i="3"/>
  <c r="C10" i="3"/>
  <c r="C12" i="3"/>
  <c r="G12" i="3" s="1"/>
  <c r="C39" i="3"/>
  <c r="G39" i="3" s="1"/>
  <c r="C25" i="3"/>
  <c r="G25" i="3" s="1"/>
  <c r="C24" i="3"/>
  <c r="C40" i="3"/>
  <c r="G40" i="3" s="1"/>
  <c r="C32" i="3"/>
  <c r="G32" i="3" s="1"/>
  <c r="C19" i="3"/>
  <c r="G19" i="3" s="1"/>
  <c r="U23" i="4" l="1"/>
  <c r="V23" i="4"/>
  <c r="U11" i="4"/>
  <c r="V11" i="4"/>
  <c r="U24" i="4"/>
  <c r="V24" i="4"/>
  <c r="U14" i="4"/>
  <c r="V14" i="4"/>
  <c r="U27" i="4"/>
  <c r="V27" i="4"/>
  <c r="U16" i="4"/>
  <c r="V16" i="4"/>
  <c r="U9" i="4"/>
  <c r="V9" i="4"/>
  <c r="U17" i="4"/>
  <c r="V17" i="4"/>
  <c r="U12" i="4"/>
  <c r="V12" i="4"/>
  <c r="U25" i="4"/>
  <c r="V25" i="4"/>
  <c r="U13" i="4"/>
  <c r="V13" i="4"/>
  <c r="U22" i="4"/>
  <c r="V22" i="4"/>
  <c r="U19" i="4"/>
  <c r="V19" i="4"/>
  <c r="U26" i="4"/>
  <c r="V26" i="4"/>
  <c r="U15" i="4"/>
  <c r="V15" i="4"/>
  <c r="U21" i="4"/>
  <c r="V21" i="4"/>
  <c r="U18" i="4"/>
  <c r="V18" i="4"/>
  <c r="U20" i="4"/>
  <c r="V20" i="4"/>
  <c r="V8" i="4"/>
  <c r="S12" i="1"/>
  <c r="AA12" i="1" s="1"/>
  <c r="G56" i="3"/>
  <c r="W10" i="4"/>
  <c r="A6" i="4"/>
  <c r="G10" i="3"/>
  <c r="G14" i="3" s="1"/>
  <c r="C14" i="3"/>
  <c r="G46" i="3"/>
  <c r="C21" i="3"/>
  <c r="G21" i="3"/>
  <c r="G24" i="3"/>
  <c r="G28" i="3" s="1"/>
  <c r="C28" i="3"/>
  <c r="G47" i="3"/>
  <c r="C42" i="3"/>
  <c r="G38" i="3"/>
  <c r="G42" i="3" s="1"/>
  <c r="G55" i="3"/>
  <c r="S11" i="1"/>
  <c r="AA11" i="1" s="1"/>
  <c r="G35" i="3"/>
  <c r="C35" i="3"/>
  <c r="U10" i="4" l="1"/>
  <c r="V10" i="4"/>
  <c r="Y5" i="1"/>
  <c r="N6" i="2" s="1"/>
  <c r="G45" i="3"/>
  <c r="F7" i="7" s="1"/>
  <c r="I10" i="7" l="1"/>
  <c r="I21" i="7"/>
  <c r="I14" i="7"/>
  <c r="D25" i="7"/>
  <c r="D10" i="7"/>
  <c r="D14" i="7"/>
  <c r="D21" i="7"/>
  <c r="I25" i="7"/>
  <c r="L6" i="3"/>
  <c r="I55" i="3"/>
  <c r="Y4" i="1"/>
  <c r="H6" i="2" s="1"/>
  <c r="I14" i="3"/>
  <c r="I28" i="3"/>
  <c r="I35" i="3"/>
  <c r="I42" i="3"/>
  <c r="I21" i="3"/>
  <c r="G7" i="7" l="1"/>
  <c r="G64" i="3"/>
  <c r="I64" i="3" s="1"/>
  <c r="G70" i="3"/>
  <c r="G62" i="3"/>
  <c r="G69" i="3"/>
  <c r="G71" i="3"/>
  <c r="G63" i="3"/>
  <c r="G68" i="3"/>
  <c r="H6" i="3"/>
  <c r="P6" i="4"/>
  <c r="W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BNB001</author>
    <author/>
  </authors>
  <commentList>
    <comment ref="F5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BNB001:</t>
        </r>
        <r>
          <rPr>
            <sz val="9"/>
            <color indexed="81"/>
            <rFont val="Segoe UI"/>
            <family val="2"/>
          </rPr>
          <t xml:space="preserve">
Lista dos sistemas com Baselines cadastradas no S597 - SRPF. 
* Não é necessário informar esse campo para a inclusão de Contagem inicial para criação da primeira Baseline do sistema.</t>
        </r>
      </text>
    </comment>
    <comment ref="K16" authorId="1" shapeId="0" xr:uid="{00000000-0006-0000-0000-000002000000}">
      <text>
        <r>
          <rPr>
            <sz val="8"/>
            <color indexed="8"/>
            <rFont val="Times New Roman"/>
            <family val="1"/>
          </rPr>
          <t>O propósito de uma contagem de pontos de função, é fornecer uma resposta a um problema de negócios.
Este propósito :  
- Determina o tipo de contagem de pontos de função e o escopo da contagem necessária à obtenção da resposta da questão em análise;
- Influencia o posicionamento da fronteira entre o sistema em análise e seu ambiente.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BNB001</author>
    <author/>
    <author>Adm</author>
  </authors>
  <commentList>
    <comment ref="A1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BNB001:</t>
        </r>
        <r>
          <rPr>
            <sz val="9"/>
            <color indexed="81"/>
            <rFont val="Segoe UI"/>
            <family val="2"/>
          </rPr>
          <t xml:space="preserve">
Instruções para carregar a Baseline vigente:
1) Na aba Contagem, selecione o sistema/subsistema.
2) Nesta aba, clique no botão: Carregar Baseline. </t>
        </r>
      </text>
    </comment>
    <comment ref="A7" authorId="1" shapeId="0" xr:uid="{00000000-0006-0000-0100-000002000000}">
      <text>
        <r>
          <rPr>
            <sz val="8"/>
            <color indexed="8"/>
            <rFont val="Times New Roman"/>
            <family val="1"/>
          </rPr>
          <t>O processo é a menor unidade de atividade significativa para o usuário?
É auto-contido e deixa o negócio da aplicação em um estado consistente?</t>
        </r>
      </text>
    </comment>
    <comment ref="G7" authorId="1" shapeId="0" xr:uid="{00000000-0006-0000-0100-000003000000}">
      <text>
        <r>
          <rPr>
            <sz val="8"/>
            <color indexed="8"/>
            <rFont val="Times New Roman"/>
            <family val="1"/>
          </rPr>
          <t>Tipo de Função:
ALI, AIE, EE, SE, CE</t>
        </r>
      </text>
    </comment>
    <comment ref="H7" authorId="2" shapeId="0" xr:uid="{00000000-0006-0000-0100-000004000000}">
      <text>
        <r>
          <rPr>
            <b/>
            <sz val="8"/>
            <color indexed="81"/>
            <rFont val="Tahoma"/>
            <family val="2"/>
          </rPr>
          <t>Tipo de Manutenção na função: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I</t>
        </r>
        <r>
          <rPr>
            <sz val="8"/>
            <color indexed="81"/>
            <rFont val="Tahoma"/>
            <family val="2"/>
          </rPr>
          <t xml:space="preserve"> -Inclusão  </t>
        </r>
        <r>
          <rPr>
            <b/>
            <sz val="8"/>
            <color indexed="81"/>
            <rFont val="Tahoma"/>
            <family val="2"/>
          </rPr>
          <t>A</t>
        </r>
        <r>
          <rPr>
            <sz val="8"/>
            <color indexed="81"/>
            <rFont val="Tahoma"/>
            <family val="2"/>
          </rPr>
          <t xml:space="preserve"> - Alteração  </t>
        </r>
        <r>
          <rPr>
            <b/>
            <sz val="8"/>
            <color indexed="81"/>
            <rFont val="Tahoma"/>
            <family val="2"/>
          </rPr>
          <t>E</t>
        </r>
        <r>
          <rPr>
            <sz val="8"/>
            <color indexed="81"/>
            <rFont val="Tahoma"/>
            <family val="2"/>
          </rPr>
          <t xml:space="preserve"> - Exclusão  </t>
        </r>
        <r>
          <rPr>
            <b/>
            <sz val="8"/>
            <color indexed="81"/>
            <rFont val="Tahoma"/>
            <family val="2"/>
          </rPr>
          <t>T</t>
        </r>
        <r>
          <rPr>
            <sz val="8"/>
            <color indexed="81"/>
            <rFont val="Tahoma"/>
            <family val="2"/>
          </rPr>
          <t>- Teste</t>
        </r>
      </text>
    </comment>
    <comment ref="I7" authorId="1" shapeId="0" xr:uid="{00000000-0006-0000-0100-000005000000}">
      <text>
        <r>
          <rPr>
            <sz val="8"/>
            <color indexed="8"/>
            <rFont val="Times New Roman"/>
            <family val="1"/>
          </rPr>
          <t>Tipos de Dados (DETs)</t>
        </r>
      </text>
    </comment>
    <comment ref="J7" authorId="1" shapeId="0" xr:uid="{00000000-0006-0000-0100-000006000000}">
      <text>
        <r>
          <rPr>
            <sz val="8"/>
            <color indexed="8"/>
            <rFont val="Times New Roman"/>
            <family val="1"/>
          </rPr>
          <t>Arquivos Referenciados/ Tipos de Registro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0" authorId="0" shapeId="0" xr:uid="{00000000-0006-0000-0200-000001000000}">
      <text>
        <r>
          <rPr>
            <sz val="8"/>
            <color indexed="8"/>
            <rFont val="Times New Roman"/>
            <family val="1"/>
          </rPr>
          <t>Entrada Externa</t>
        </r>
      </text>
    </comment>
    <comment ref="B17" authorId="0" shapeId="0" xr:uid="{00000000-0006-0000-0200-000002000000}">
      <text>
        <r>
          <rPr>
            <sz val="8"/>
            <color indexed="8"/>
            <rFont val="Times New Roman"/>
            <family val="1"/>
          </rPr>
          <t>Saída Externa</t>
        </r>
      </text>
    </comment>
    <comment ref="B24" authorId="0" shapeId="0" xr:uid="{00000000-0006-0000-0200-000003000000}">
      <text>
        <r>
          <rPr>
            <sz val="8"/>
            <color indexed="8"/>
            <rFont val="Times New Roman"/>
            <family val="1"/>
          </rPr>
          <t>Consulta Externa</t>
        </r>
      </text>
    </comment>
    <comment ref="B31" authorId="0" shapeId="0" xr:uid="{00000000-0006-0000-0200-000004000000}">
      <text>
        <r>
          <rPr>
            <sz val="8"/>
            <color indexed="8"/>
            <rFont val="Times New Roman"/>
            <family val="1"/>
          </rPr>
          <t>Arquivo Lógico Interno</t>
        </r>
      </text>
    </comment>
    <comment ref="B38" authorId="0" shapeId="0" xr:uid="{00000000-0006-0000-0200-000005000000}">
      <text>
        <r>
          <rPr>
            <sz val="8"/>
            <color indexed="8"/>
            <rFont val="Times New Roman"/>
            <family val="1"/>
          </rPr>
          <t>Arquivo de Interface Externa</t>
        </r>
      </text>
    </comment>
    <comment ref="B46" authorId="0" shapeId="0" xr:uid="{00000000-0006-0000-0200-000006000000}">
      <text>
        <r>
          <rPr>
            <sz val="8"/>
            <color indexed="8"/>
            <rFont val="Times New Roman"/>
            <family val="1"/>
          </rPr>
          <t xml:space="preserve">Técnica de estimativa do tamanho desenvolvida pela NESMA. Assume que os arquivos lógicos são de complexidade baixa e as transações são de complexidade média. </t>
        </r>
      </text>
    </comment>
    <comment ref="B47" authorId="0" shapeId="0" xr:uid="{00000000-0006-0000-0200-000007000000}">
      <text>
        <r>
          <rPr>
            <sz val="8"/>
            <color indexed="8"/>
            <rFont val="Times New Roman"/>
            <family val="1"/>
          </rPr>
          <t>Técnica de estimativa do tamanho desenvolvida pela NESMA. Basie-se apenas nos arquivos lógicos. Assume que cada ALI tem um peso de 35 PF e cada AIE um peso de 15 PF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Adm</author>
    <author>Raimundo SALES Neto e Azevedo F141569</author>
  </authors>
  <commentList>
    <comment ref="A7" authorId="0" shapeId="0" xr:uid="{00000000-0006-0000-0300-000001000000}">
      <text>
        <r>
          <rPr>
            <sz val="8"/>
            <color indexed="8"/>
            <rFont val="Times New Roman"/>
            <family val="1"/>
          </rPr>
          <t>O processo é a menor unidade de atividade significativa para o usuário?
É auto-contido e deixa o negócio da aplicação em um estado consistente?</t>
        </r>
      </text>
    </comment>
    <comment ref="G7" authorId="0" shapeId="0" xr:uid="{00000000-0006-0000-0300-000002000000}">
      <text>
        <r>
          <rPr>
            <sz val="8"/>
            <color indexed="8"/>
            <rFont val="Times New Roman"/>
            <family val="1"/>
          </rPr>
          <t>Tipo de Função:
ALI, AIE, EE, SE, CE</t>
        </r>
      </text>
    </comment>
    <comment ref="H7" authorId="1" shapeId="0" xr:uid="{00000000-0006-0000-0300-000003000000}">
      <text>
        <r>
          <rPr>
            <b/>
            <sz val="8"/>
            <color indexed="81"/>
            <rFont val="Tahoma"/>
            <family val="2"/>
          </rPr>
          <t>Tipo de Manutenção na função: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I</t>
        </r>
        <r>
          <rPr>
            <sz val="8"/>
            <color indexed="81"/>
            <rFont val="Tahoma"/>
            <family val="2"/>
          </rPr>
          <t xml:space="preserve"> -Inclusão  </t>
        </r>
        <r>
          <rPr>
            <b/>
            <sz val="8"/>
            <color indexed="81"/>
            <rFont val="Tahoma"/>
            <family val="2"/>
          </rPr>
          <t>A</t>
        </r>
        <r>
          <rPr>
            <sz val="8"/>
            <color indexed="81"/>
            <rFont val="Tahoma"/>
            <family val="2"/>
          </rPr>
          <t xml:space="preserve"> - Alteração  </t>
        </r>
        <r>
          <rPr>
            <b/>
            <sz val="8"/>
            <color indexed="81"/>
            <rFont val="Tahoma"/>
            <family val="2"/>
          </rPr>
          <t>E</t>
        </r>
        <r>
          <rPr>
            <sz val="8"/>
            <color indexed="81"/>
            <rFont val="Tahoma"/>
            <family val="2"/>
          </rPr>
          <t xml:space="preserve"> - Exclusão  </t>
        </r>
        <r>
          <rPr>
            <b/>
            <sz val="8"/>
            <color indexed="81"/>
            <rFont val="Tahoma"/>
            <family val="2"/>
          </rPr>
          <t>T</t>
        </r>
        <r>
          <rPr>
            <sz val="8"/>
            <color indexed="81"/>
            <rFont val="Tahoma"/>
            <family val="2"/>
          </rPr>
          <t>- Teste</t>
        </r>
      </text>
    </comment>
    <comment ref="I7" authorId="0" shapeId="0" xr:uid="{00000000-0006-0000-0300-000004000000}">
      <text>
        <r>
          <rPr>
            <sz val="8"/>
            <color indexed="8"/>
            <rFont val="Times New Roman"/>
            <family val="1"/>
          </rPr>
          <t>Tipos de Dados (DETs)</t>
        </r>
      </text>
    </comment>
    <comment ref="J7" authorId="0" shapeId="0" xr:uid="{00000000-0006-0000-0300-000005000000}">
      <text>
        <r>
          <rPr>
            <sz val="8"/>
            <color indexed="8"/>
            <rFont val="Times New Roman"/>
            <family val="1"/>
          </rPr>
          <t>Arquivos Referenciados/ Tipos de Registro</t>
        </r>
      </text>
    </comment>
    <comment ref="U9" authorId="2" shapeId="0" xr:uid="{00000000-0006-0000-0300-000006000000}">
      <text>
        <r>
          <rPr>
            <b/>
            <sz val="9"/>
            <color indexed="81"/>
            <rFont val="Tahoma"/>
            <family val="2"/>
          </rPr>
          <t>Fómula a ser ajustada pela fórmula da célula anterior (U8)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<sst xmlns="http://schemas.openxmlformats.org/spreadsheetml/2006/main" count="415" uniqueCount="316">
  <si>
    <t>Empresa</t>
  </si>
  <si>
    <t>R$/PF</t>
  </si>
  <si>
    <t>Custo</t>
  </si>
  <si>
    <t>PF</t>
  </si>
  <si>
    <t>Projeto</t>
  </si>
  <si>
    <t>Responsável</t>
  </si>
  <si>
    <t>Criação</t>
  </si>
  <si>
    <t>Revisor</t>
  </si>
  <si>
    <t>Revisão</t>
  </si>
  <si>
    <t>Tipo de contagem</t>
  </si>
  <si>
    <t>Estimativa</t>
  </si>
  <si>
    <t>Sumário</t>
  </si>
  <si>
    <t>PF não Ajustado</t>
  </si>
  <si>
    <t>Projeto de Desenvolvimento</t>
  </si>
  <si>
    <t>ADD</t>
  </si>
  <si>
    <t>Projeto de Melhoria</t>
  </si>
  <si>
    <t>CHG</t>
  </si>
  <si>
    <t>Aplicação ( Baseline )</t>
  </si>
  <si>
    <t>DEL</t>
  </si>
  <si>
    <t>Propósito da Contagem</t>
  </si>
  <si>
    <t>Escopo da Contagem</t>
  </si>
  <si>
    <t>Processo Elementar ou Grupo de Dados</t>
  </si>
  <si>
    <t>Tipo</t>
  </si>
  <si>
    <t>TD</t>
  </si>
  <si>
    <t>AR/TR</t>
  </si>
  <si>
    <t>ctl</t>
  </si>
  <si>
    <t>C</t>
  </si>
  <si>
    <t>Complex.</t>
  </si>
  <si>
    <t>Observações</t>
  </si>
  <si>
    <t>Tipo de Função</t>
  </si>
  <si>
    <t>Complexidade Funcional</t>
  </si>
  <si>
    <t>Total por Complexidade</t>
  </si>
  <si>
    <t xml:space="preserve">% </t>
  </si>
  <si>
    <t>EE</t>
  </si>
  <si>
    <t>Baixa</t>
  </si>
  <si>
    <t>x 3</t>
  </si>
  <si>
    <t>Média</t>
  </si>
  <si>
    <t>x 4</t>
  </si>
  <si>
    <t>Alta</t>
  </si>
  <si>
    <t>x 6</t>
  </si>
  <si>
    <t>Total</t>
  </si>
  <si>
    <t>SE</t>
  </si>
  <si>
    <t>x 5</t>
  </si>
  <si>
    <t>x 7</t>
  </si>
  <si>
    <t>CE</t>
  </si>
  <si>
    <t>ALI</t>
  </si>
  <si>
    <t>x 10</t>
  </si>
  <si>
    <t>x 15</t>
  </si>
  <si>
    <t>AIE</t>
  </si>
  <si>
    <t>Total PF não ajustados (contagem detalhada)</t>
  </si>
  <si>
    <t>Total PF não ajustados (contagem estimativa)</t>
  </si>
  <si>
    <t>Total PF não ajustados (contagem indicativa)</t>
  </si>
  <si>
    <t>NÃO AJS</t>
  </si>
  <si>
    <t>INCLUSÃO (ADD)</t>
  </si>
  <si>
    <t>TOTAL</t>
  </si>
  <si>
    <t>ALTERAÇÃO (CHG)</t>
  </si>
  <si>
    <t>EXCLUSÃO (DEL)</t>
  </si>
  <si>
    <t>TST</t>
  </si>
  <si>
    <t>TESTE (TST)</t>
  </si>
  <si>
    <t>(I/A/E/T)</t>
  </si>
  <si>
    <t>PF Local</t>
  </si>
  <si>
    <t>LOCAL</t>
  </si>
  <si>
    <t>X</t>
  </si>
  <si>
    <t>REQUISITOS</t>
  </si>
  <si>
    <t>ANÁLISE E PROJETO</t>
  </si>
  <si>
    <t>IMPLEMENTAÇÃO</t>
  </si>
  <si>
    <t>%</t>
  </si>
  <si>
    <t>CALC</t>
  </si>
  <si>
    <t>FI</t>
  </si>
  <si>
    <t>Fat.Impacto</t>
  </si>
  <si>
    <t>Total de PF Ajustados pelo FI</t>
  </si>
  <si>
    <t>Total de PF por FASE</t>
  </si>
  <si>
    <t>INICIAÇÃO</t>
  </si>
  <si>
    <t>ELABORAÇÃO</t>
  </si>
  <si>
    <t>CONSTRUÇÃO</t>
  </si>
  <si>
    <t>TRANSIÇÃO</t>
  </si>
  <si>
    <t>INM1</t>
  </si>
  <si>
    <t>1.1</t>
  </si>
  <si>
    <t>Tipo mapeado</t>
  </si>
  <si>
    <t>Limite atingido</t>
  </si>
  <si>
    <t>A ocultar</t>
  </si>
  <si>
    <t>Itens Não Mensuráveis por Contagem de PF</t>
  </si>
  <si>
    <t>Pontos de Função Correspondentes</t>
  </si>
  <si>
    <t>Alterações referentes aos layouts de telas, tais como:</t>
  </si>
  <si>
    <t>0,04 de um ponto de função para cada elemento.</t>
  </si>
  <si>
    <t xml:space="preserve">0,01 de um ponto de função para cada parâmetro. </t>
  </si>
  <si>
    <t>0,04 PF para cada mensagem.</t>
  </si>
  <si>
    <t>0,5 PF para alteração e/ou criação de uma página/menu.</t>
  </si>
  <si>
    <t>0,1 PF para exclusão de uma página/menu.</t>
  </si>
  <si>
    <t>0,01 PF para cada parâmetro.</t>
  </si>
  <si>
    <t>Alterações referentes à DDL (Data Definition Language) em tabelas code table e respectivas funcionalidades, de sistemas em produção (não se aplica ao desenvolvimento de novos sistemas nem as atividades de “popular” a tabela), sendo previstas as seguintes atividades e seus percentuais de ponto de função:</t>
  </si>
  <si>
    <t>2,7 PF para Inclusão de tabela e funcionalidades;</t>
  </si>
  <si>
    <t>1,3 PF para Alteração de tabela e funcionalidades;</t>
  </si>
  <si>
    <t>0,6 PF para Exclusão de tabela e funcionalidades;</t>
  </si>
  <si>
    <t>0,3 PF para Inclusão, Alteração ou Exclusão de funcionalidade.</t>
  </si>
  <si>
    <t>Adição, alteração ou exclusão de críticas em campos de tela que não envolvam acesso a banco de dados, por exemplo:</t>
  </si>
  <si>
    <t>0,01 PF para cada crítica.</t>
  </si>
  <si>
    <t>1.2</t>
  </si>
  <si>
    <t>1.3</t>
  </si>
  <si>
    <t>1.4</t>
  </si>
  <si>
    <t>2.1</t>
  </si>
  <si>
    <t>3.1</t>
  </si>
  <si>
    <t>4.1</t>
  </si>
  <si>
    <t>5.1</t>
  </si>
  <si>
    <t>6.1</t>
  </si>
  <si>
    <t>7.1</t>
  </si>
  <si>
    <t>Pontuação</t>
  </si>
  <si>
    <t>1.1 - Mudança de posição de campos em telas, em relatórios, sem que haja alteração em elementos de dados, arquivos referenciados ou informações de controle</t>
  </si>
  <si>
    <t>1.2 - Inclusão, alteração ou exclusão de rótulos/textos/imagem</t>
  </si>
  <si>
    <t>1.3 - Divisão de telas/relatórios, sem mudança na funcionalidade</t>
  </si>
  <si>
    <t>1.4 - Atualização de rótulos (labels) de dados sem que haja mudança de funcionalidade</t>
  </si>
  <si>
    <t>Alteração, inclusão e exclusão de mensagens de retorno ao usuário, desde que não façam parte de um ALI ou AIE</t>
  </si>
  <si>
    <t>Mudança de posição de campos em telas, em relatórios, sem que haja alteração em elementos de dados, arquivos referenciados ou informações de controle</t>
  </si>
  <si>
    <t>Inclusão, alteração ou exclusão de rótulos/textos/imagens</t>
  </si>
  <si>
    <t>Divisão de telas/relatórios, sem mudança na funcionalidade</t>
  </si>
  <si>
    <t>Atualização de rótulos (labels) de dados sem que haja mudança de funcionalidade</t>
  </si>
  <si>
    <r>
      <t xml:space="preserve">Alteração, inclusão e exclusão de valores de parâmetros </t>
    </r>
    <r>
      <rPr>
        <i/>
        <sz val="10"/>
        <rFont val="Arial"/>
        <family val="2"/>
      </rPr>
      <t>hard-coded</t>
    </r>
    <r>
      <rPr>
        <sz val="10"/>
        <rFont val="Arial"/>
        <family val="2"/>
      </rPr>
      <t>, sem alteração da lógica de processamento</t>
    </r>
  </si>
  <si>
    <t>Parâmetros de processamento - contempla a necessidade de alteração dos valores dos parâmetros, sem que a lógica de processamento tenha sido alterada. (Exemplo: ajustar filtro para recuperar dados entre 0 e 50 ao invés de valores entre 10 e 50)</t>
  </si>
  <si>
    <t>Inclusão de tabela e funcionalidades</t>
  </si>
  <si>
    <t>Alteração da tabela e funcionalidades</t>
  </si>
  <si>
    <t>Excluir tabela e funcionalidades</t>
  </si>
  <si>
    <t>Inclusão / Alteração / Exclusão de funcionalidade</t>
  </si>
  <si>
    <t>Tratar todos os campos com % para não permitir valores maiores que 100%</t>
  </si>
  <si>
    <t xml:space="preserve">Cod </t>
  </si>
  <si>
    <t>Descrição</t>
  </si>
  <si>
    <t>Vinculo com PE</t>
  </si>
  <si>
    <t>S</t>
  </si>
  <si>
    <t>N</t>
  </si>
  <si>
    <t>TOTAL INM</t>
  </si>
  <si>
    <t>Total de PF por disciplina (INM + Implementação)</t>
  </si>
  <si>
    <t>Qtd</t>
  </si>
  <si>
    <t>Valor Total</t>
  </si>
  <si>
    <t>INM</t>
  </si>
  <si>
    <t>Vlr unit</t>
  </si>
  <si>
    <t>Vlr.acumulado</t>
  </si>
  <si>
    <t>TOTAL PF</t>
  </si>
  <si>
    <t>Requisitos</t>
  </si>
  <si>
    <t>Implementação</t>
  </si>
  <si>
    <t>4.2</t>
  </si>
  <si>
    <t>6.2</t>
  </si>
  <si>
    <t>6.3</t>
  </si>
  <si>
    <t>6.4</t>
  </si>
  <si>
    <t>2.1 - Alteração, inclusão e exclusão de valores de parâmetros hard-coded, sem alteração da lógica de processamento</t>
  </si>
  <si>
    <t>3.1 - Alteração, inclusão e exclusão de mensagens de retorno ao usuário, desde que não façam parte de um ALI ou AIE</t>
  </si>
  <si>
    <t>5.1 - Parâmetros de processamento - contempla a necessidade de alteração dos valores dos parâmetros, sem que a lógica de processamento tenha sido alterada. (Exemplo: ajustar filtro para recuperar dados entre 0 e 50 ao invés de valores entre 10 e 50)</t>
  </si>
  <si>
    <t>6.1 - Inclusão de tabela e funcionalidades</t>
  </si>
  <si>
    <t>6.2 - Alteração da tabela e funcionalidades</t>
  </si>
  <si>
    <t>6.3 - Excluir tabela e funcionalidades</t>
  </si>
  <si>
    <t>6.4 - Inclusão / Alteração / Exclusão de funcionalidade</t>
  </si>
  <si>
    <t>(I/A/E/T/D)</t>
  </si>
  <si>
    <t>Disciplinas</t>
  </si>
  <si>
    <t>Análise e Projetos</t>
  </si>
  <si>
    <t>A contratar</t>
  </si>
  <si>
    <t>Artefatos passíveis de contratação</t>
  </si>
  <si>
    <t>Regra de Negócios</t>
  </si>
  <si>
    <t>Especificações de Casos de Uso</t>
  </si>
  <si>
    <t>Modelo de Casos de Uso</t>
  </si>
  <si>
    <t>Estimativa de Tamanho</t>
  </si>
  <si>
    <t>Documento de Arquitetura do Sistema</t>
  </si>
  <si>
    <t>Modelo de Dados Conceitual e Lógico (Com a descrição das entidades e atributos)</t>
  </si>
  <si>
    <t>Diagrama de classes</t>
  </si>
  <si>
    <r>
      <t xml:space="preserve">Realização de Caso de Uso </t>
    </r>
    <r>
      <rPr>
        <sz val="6"/>
        <rFont val="Arial"/>
        <family val="2"/>
      </rPr>
      <t>(Exclusivo p/ Mainframe)</t>
    </r>
  </si>
  <si>
    <r>
      <t xml:space="preserve">Dicionário de Dados </t>
    </r>
    <r>
      <rPr>
        <sz val="6"/>
        <rFont val="Arial"/>
        <family val="2"/>
      </rPr>
      <t>(Exclusivo p/ Mainframe)</t>
    </r>
  </si>
  <si>
    <r>
      <t xml:space="preserve">Grupo de Execução </t>
    </r>
    <r>
      <rPr>
        <sz val="6"/>
        <rFont val="Arial"/>
        <family val="2"/>
      </rPr>
      <t>(Exclusivo p/ Mainframe)</t>
    </r>
  </si>
  <si>
    <t>Lista de Materiais</t>
  </si>
  <si>
    <t>Plano de Implantação</t>
  </si>
  <si>
    <t>Manual do Usuário</t>
  </si>
  <si>
    <t>Valores máximos de referência</t>
  </si>
  <si>
    <t xml:space="preserve">PF completo da CONTAGEM para efeito de DOCUMENTAÇÃO = </t>
  </si>
  <si>
    <t>OBS</t>
  </si>
  <si>
    <t>Documentação de Legados</t>
  </si>
  <si>
    <t>7.1 - Adição, alteração ou exclusão de críticas em campos de tela que não envolvam acesso a banco de dados</t>
  </si>
  <si>
    <t xml:space="preserve">Adição ou reestruturação de menus de navegação estáticos; Ajuda (help estático); </t>
  </si>
  <si>
    <t>Criação ou alteração de páginas estáticas</t>
  </si>
  <si>
    <t>Exclusão de páginas estáticas</t>
  </si>
  <si>
    <t>Os itens não mensuráveis 4.1, 4.2, 6.1, 6.2, 6.3 e 6.4 não estão vinculados a um Processo Elementar e não estão sujeitos a limites de contagem;
Os demais itens não mensuráveis devem ser vinculados a um Processo Elementar da aplicação e estarão limitados ao tamanho de (0,30 do PE);</t>
  </si>
  <si>
    <t>4.2 - Exclusão de páginas estáticas</t>
  </si>
  <si>
    <t>4.1 - Criação ou alteração de páginas estáticas</t>
  </si>
  <si>
    <t>Processo Elementar</t>
  </si>
  <si>
    <t>S160 CONCESSÃO DE CRÉDITO DIGITAL</t>
  </si>
  <si>
    <t>S160 NORDESTE EMPRESARIAL</t>
  </si>
  <si>
    <t>S160 PROCESSAMENTO BATCH</t>
  </si>
  <si>
    <t>S160 SITE GERENCIAMENTO INTRANET</t>
  </si>
  <si>
    <t>S160 SITE HOME BANKING INTERNET</t>
  </si>
  <si>
    <t>S283 Contabilização do Sistema de Seguros</t>
  </si>
  <si>
    <t>S449 CENAG</t>
  </si>
  <si>
    <t>S476 MÓVEL V1</t>
  </si>
  <si>
    <t>S476 MÓVEL V2</t>
  </si>
  <si>
    <t>S476 WEB</t>
  </si>
  <si>
    <t>S597 SEAC Elaboração e Aplicação de Checklist</t>
  </si>
  <si>
    <t>S597 SGDE Gestão de Demandas de TI</t>
  </si>
  <si>
    <t>S597 SGOV Governança e Gestão de TI</t>
  </si>
  <si>
    <t>S597 SRPF Registro de Pontos de Função</t>
  </si>
  <si>
    <t>S702 CPJ</t>
  </si>
  <si>
    <t>S702 Módulo Financeiro</t>
  </si>
  <si>
    <t>S776 RotinaCDC</t>
  </si>
  <si>
    <t>S950 SIAC</t>
  </si>
  <si>
    <t>S950 SIEG</t>
  </si>
  <si>
    <t>Sistema/Subsistema</t>
  </si>
  <si>
    <t>S007 Controle de Órgãos</t>
  </si>
  <si>
    <t>S010 Cadastro e Emitentes de Cheques S/fundo</t>
  </si>
  <si>
    <t>S018 Entrada De Dados</t>
  </si>
  <si>
    <t>S024 Sistema de Controle de Cartões</t>
  </si>
  <si>
    <t>S030 Cadastro de Clientes</t>
  </si>
  <si>
    <t>S032 Recolhimento de Tributos</t>
  </si>
  <si>
    <t>S033 Elaboração e Análise de Projetos</t>
  </si>
  <si>
    <t>S034 Controle de Contra-ordem de Cheques</t>
  </si>
  <si>
    <t>S035 Sistema Integrado de Crédito</t>
  </si>
  <si>
    <t>S039 Base de Dados do Ativo Operacional</t>
  </si>
  <si>
    <t>S048 Contas Correntes / Cheque Especial</t>
  </si>
  <si>
    <t>S056 Controle de Viagem</t>
  </si>
  <si>
    <t>S057 Dispositor</t>
  </si>
  <si>
    <t>S079 Avaliação Técnica de Empreendimentos</t>
  </si>
  <si>
    <t>S109 Convênios de Folha de Pagamento</t>
  </si>
  <si>
    <t>S128 Fone/Fax</t>
  </si>
  <si>
    <t>S129 Titulos de Capitalização</t>
  </si>
  <si>
    <t>S130 Convênio REDECARD</t>
  </si>
  <si>
    <t>S131 Personalização de Cheques</t>
  </si>
  <si>
    <t>S134 Sistema de Automação Bancária</t>
  </si>
  <si>
    <t>S137 Gestão Desempenho/recompensas Crediamigo</t>
  </si>
  <si>
    <t>S146 Ações Escriturais</t>
  </si>
  <si>
    <t>S153 Inadimplência Contábil</t>
  </si>
  <si>
    <t>S159 Poupança Corrente</t>
  </si>
  <si>
    <t>S168 Acompanhamento de Pessoal Crediamigo</t>
  </si>
  <si>
    <t>S186 Compensação de Cheques</t>
  </si>
  <si>
    <t>S191 Site do Ambiente de Infraestrutura de TI</t>
  </si>
  <si>
    <t>S194 Poupança Banco do Nordeste</t>
  </si>
  <si>
    <t>S244 Gerencia das Operações da Mesa</t>
  </si>
  <si>
    <t>S252 Saúde Ocupacional</t>
  </si>
  <si>
    <t>S253 Sistema de Risco de Crédito</t>
  </si>
  <si>
    <t>S258 Gestão de Parcerias</t>
  </si>
  <si>
    <t>S270 Fundo de Investimentos BN</t>
  </si>
  <si>
    <t>S271 Gerenciamento dos Fundos de Aval</t>
  </si>
  <si>
    <t>S276 Digitalização de Assinaturas</t>
  </si>
  <si>
    <t>S288 Administração de  Eventos do Gapre</t>
  </si>
  <si>
    <t>S294 Sistema de Pagamentos Brasileiro</t>
  </si>
  <si>
    <t>S302 Pagamentos de Benefícios do INSS</t>
  </si>
  <si>
    <t>S303 Controle do Passivo</t>
  </si>
  <si>
    <t>S320 Sistema Integrado de Recursos Logísticos</t>
  </si>
  <si>
    <t>S322 Portal do Banco do Nordeste</t>
  </si>
  <si>
    <t>S324 Controle da Aquisição de Títulos Tesouro Nacional-RES.2471</t>
  </si>
  <si>
    <t>S344 Crédito para Micro-investidores (WEB)</t>
  </si>
  <si>
    <t>S348 Agências Itinerantes</t>
  </si>
  <si>
    <t>S369 Controle de Solicitações da Célula de Processamento</t>
  </si>
  <si>
    <t>S378 CrediAMIGO Comitê de Crédito</t>
  </si>
  <si>
    <t>S386 Comunidade Virtual de Aprendizagem</t>
  </si>
  <si>
    <t>S399 Gerenciamento dos Controles Internos</t>
  </si>
  <si>
    <t>S400 Parâmetros Corporativos e Cliente Único</t>
  </si>
  <si>
    <t>S408 Crédito Comercial</t>
  </si>
  <si>
    <t>S410 Poupança</t>
  </si>
  <si>
    <t>S420 Cobrança de Tarifas</t>
  </si>
  <si>
    <t>S432 Controle de Ordens Judiciais</t>
  </si>
  <si>
    <t>S445 Transferência de Arquivos</t>
  </si>
  <si>
    <t>S455 Informação para Consultoria e Assessoria Jurídica</t>
  </si>
  <si>
    <t>S458 Data Mart do ETENE</t>
  </si>
  <si>
    <t>S461 Data Mart Gerenciamento de Clientes</t>
  </si>
  <si>
    <t>S462 Data Mart da Área de TI</t>
  </si>
  <si>
    <t>S464 Processo: Rentabilidade de Clientes</t>
  </si>
  <si>
    <t>S467 Processo: Rentabilidade de Produtos</t>
  </si>
  <si>
    <t>S469 Sistema de Tramitação de Propostas</t>
  </si>
  <si>
    <t>S477 Data Mart de Recuperação de Crédito</t>
  </si>
  <si>
    <t>S483 Data Mart de Produtos e Serviços Bancários</t>
  </si>
  <si>
    <t>S503 Automação das Atividades de Auditorias (SA3)</t>
  </si>
  <si>
    <t>S509 DataMart do Ativo Operacional</t>
  </si>
  <si>
    <t>S511 Sistema de Integração ao Portal de Convênios</t>
  </si>
  <si>
    <t>S515 Informações Consolidadas</t>
  </si>
  <si>
    <t>S518 Credenciais de Cartões</t>
  </si>
  <si>
    <t>S522 Automatização do Processo da Central de Retaguarda</t>
  </si>
  <si>
    <t>S525 Data Mart de Infraestrutura de TI</t>
  </si>
  <si>
    <t>S526 Débito Direto Autorizado</t>
  </si>
  <si>
    <t>S529 Gestão de Desempenho Empresarial</t>
  </si>
  <si>
    <t>S531 Correspondente não Bancário</t>
  </si>
  <si>
    <t>S536 Data Mart de Instrução de Crédito</t>
  </si>
  <si>
    <t>S548 Controle do PROAGRO</t>
  </si>
  <si>
    <t>S559 Ponto Eletrônico</t>
  </si>
  <si>
    <t>S562 Cartão de Crédito</t>
  </si>
  <si>
    <t>S565 Sistema de Acompanhamento Gerencial de Operações</t>
  </si>
  <si>
    <t>S566 Reuniões do Colegiados Sem Papel</t>
  </si>
  <si>
    <t>S567 Processo de Concessão de Crédito</t>
  </si>
  <si>
    <t>S568 Comitês de Gestão</t>
  </si>
  <si>
    <t>S573 Data Mart Agroamigo</t>
  </si>
  <si>
    <t>S580 Crédito para Microinvestidores</t>
  </si>
  <si>
    <t>S584 Análise de Perfil do Investidor</t>
  </si>
  <si>
    <t>S596 Sistema de Gerenciamento de Garantias</t>
  </si>
  <si>
    <t>S598 Sistema Gestor de Demandas de Agência</t>
  </si>
  <si>
    <t>S607 Solução EFD-Reinf</t>
  </si>
  <si>
    <t>S623 Sistema de Simuladores de Crédito na Internet</t>
  </si>
  <si>
    <t>S625 Avaliação e Gestão Integrada de Limites</t>
  </si>
  <si>
    <t>S627 Sistema de Integração com FIES</t>
  </si>
  <si>
    <t>S631 Sistema de Integração Portal de Acordos de Planos Econômicos</t>
  </si>
  <si>
    <t>S696 Programa de Ação e Aval. de Performance</t>
  </si>
  <si>
    <t>S701 Avaliação de Riscos de Tesouraria</t>
  </si>
  <si>
    <t>S702 Controle de Processos Jurídicos</t>
  </si>
  <si>
    <t>S705 Cadastro de Elaboradores de Projetos</t>
  </si>
  <si>
    <t>S706 Elaboração de Contrato</t>
  </si>
  <si>
    <t>S708 Automação de Formulários da Finame</t>
  </si>
  <si>
    <t>S720 Gerenciamento de Tarifas</t>
  </si>
  <si>
    <t>S772 Desenvolvimento e Capacitação</t>
  </si>
  <si>
    <t>S849 Sistema Integrado de Pessoal - Windows</t>
  </si>
  <si>
    <t>S970 Informações Gerenciais de Oper. Crédito</t>
  </si>
  <si>
    <t>S990 Data Warehouse Corporativo</t>
  </si>
  <si>
    <r>
      <rPr>
        <b/>
        <sz val="14"/>
        <rFont val="Franklin Gothic Medium"/>
        <family val="2"/>
      </rPr>
      <t>Identificação da Contagem</t>
    </r>
    <r>
      <rPr>
        <b/>
        <sz val="10"/>
        <rFont val="Franklin Gothic Medium"/>
        <family val="2"/>
      </rPr>
      <t xml:space="preserve"> - v5</t>
    </r>
  </si>
  <si>
    <t>Sumário da Contagem - v5</t>
  </si>
  <si>
    <t xml:space="preserve"> Planilha de contagem de ponto de função - ITENS NÃO MENSURÁVEIS - v5</t>
  </si>
  <si>
    <t xml:space="preserve"> Planilha de contagem de ponto de função - DOCUMENTAÇÃO DE LEGADOS - v5</t>
  </si>
  <si>
    <t xml:space="preserve"> Planilha de contagem de ponto de função - v5                           </t>
  </si>
  <si>
    <t>GSOL01930358</t>
  </si>
  <si>
    <t>GSOL01921420</t>
  </si>
  <si>
    <t>GSOL01926817</t>
  </si>
  <si>
    <t>GSOL01927926</t>
  </si>
  <si>
    <t xml:space="preserve">GSOL01934134 </t>
  </si>
  <si>
    <t xml:space="preserve"> </t>
  </si>
  <si>
    <t>GSOL01040124</t>
  </si>
  <si>
    <t>GSOL01932059</t>
  </si>
  <si>
    <t>S659 Novo Recuperação de Crédito</t>
  </si>
  <si>
    <t>BASIS Tecnologia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</si>
</sst>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R$&quot;* #,##0.00_);_(&quot;R$&quot;* \(#,##0.00\);_(&quot;R$&quot;* \-??_);_(@_)"/>
    <numFmt numFmtId="165" formatCode="_(* #,##0.00_);_(* \(#,##0.00\);_(* \-??_);_(@_)"/>
    <numFmt numFmtId="166" formatCode="dd/mm/yy"/>
    <numFmt numFmtId="167" formatCode="0.0%"/>
  </numFmts>
  <fonts count="40" x14ac:knownFonts="1">
    <font>
      <sz val="10"/>
      <name val="Arial"/>
    </font>
    <font>
      <sz val="10"/>
      <name val="Franklin Gothic Medium"/>
      <family val="2"/>
    </font>
    <font>
      <b/>
      <sz val="10"/>
      <name val="Franklin Gothic Medium"/>
      <family val="2"/>
    </font>
    <font>
      <sz val="9"/>
      <color indexed="12"/>
      <name val="Franklin Gothic Medium"/>
      <family val="2"/>
    </font>
    <font>
      <sz val="9"/>
      <name val="Franklin Gothic Medium"/>
      <family val="2"/>
    </font>
    <font>
      <b/>
      <sz val="9"/>
      <color indexed="12"/>
      <name val="Franklin Gothic Medium"/>
      <family val="2"/>
    </font>
    <font>
      <b/>
      <sz val="9"/>
      <name val="Franklin Gothic Medium"/>
      <family val="2"/>
    </font>
    <font>
      <sz val="10"/>
      <color indexed="12"/>
      <name val="Franklin Gothic Medium"/>
      <family val="2"/>
    </font>
    <font>
      <b/>
      <sz val="12"/>
      <name val="Franklin Gothic Medium"/>
      <family val="2"/>
    </font>
    <font>
      <sz val="8"/>
      <color indexed="8"/>
      <name val="Times New Roman"/>
      <family val="1"/>
    </font>
    <font>
      <sz val="8"/>
      <name val="Franklin Gothic Medium"/>
      <family val="2"/>
    </font>
    <font>
      <sz val="8"/>
      <color indexed="9"/>
      <name val="Franklin Gothic Medium"/>
      <family val="2"/>
    </font>
    <font>
      <sz val="9"/>
      <color indexed="9"/>
      <name val="Franklin Gothic Medium"/>
      <family val="2"/>
    </font>
    <font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b/>
      <sz val="14"/>
      <name val="Franklin Gothic Medium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sz val="6"/>
      <name val="Franklin Gothic Medium"/>
      <family val="2"/>
    </font>
    <font>
      <b/>
      <sz val="10"/>
      <color rgb="FFFF0000"/>
      <name val="Arial"/>
      <family val="2"/>
    </font>
    <font>
      <b/>
      <sz val="10"/>
      <color rgb="FFC00000"/>
      <name val="Arial"/>
      <family val="2"/>
    </font>
    <font>
      <b/>
      <sz val="11"/>
      <color rgb="FFC00000"/>
      <name val="Arial"/>
      <family val="2"/>
    </font>
    <font>
      <sz val="10"/>
      <color rgb="FFC00000"/>
      <name val="Arial"/>
      <family val="2"/>
    </font>
    <font>
      <b/>
      <sz val="8"/>
      <name val="Franklin Gothic Medium"/>
      <family val="2"/>
    </font>
    <font>
      <b/>
      <sz val="11"/>
      <name val="Franklin Gothic Medium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name val="Franklin Gothic Medium"/>
      <family val="2"/>
    </font>
    <font>
      <sz val="6"/>
      <name val="Arial"/>
      <family val="2"/>
    </font>
    <font>
      <sz val="11"/>
      <name val="Franklin Gothic Medium"/>
      <family val="2"/>
    </font>
    <font>
      <sz val="12"/>
      <name val="Franklin Gothic Medium"/>
      <family val="2"/>
    </font>
    <font>
      <b/>
      <sz val="12"/>
      <color indexed="9"/>
      <name val="Franklin Gothic Medium"/>
      <family val="2"/>
    </font>
    <font>
      <b/>
      <sz val="18"/>
      <color indexed="9"/>
      <name val="Franklin Gothic Medium"/>
      <family val="2"/>
    </font>
    <font>
      <sz val="10"/>
      <color rgb="FF000000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23"/>
        <bgColor indexed="55"/>
      </patternFill>
    </fill>
    <fill>
      <patternFill patternType="solid">
        <fgColor indexed="44"/>
        <bgColor indexed="31"/>
      </patternFill>
    </fill>
    <fill>
      <patternFill patternType="solid">
        <fgColor indexed="46"/>
        <bgColor indexed="24"/>
      </patternFill>
    </fill>
    <fill>
      <patternFill patternType="solid">
        <fgColor indexed="43"/>
        <bgColor indexed="26"/>
      </patternFill>
    </fill>
    <fill>
      <patternFill patternType="solid">
        <fgColor indexed="15"/>
        <bgColor indexed="35"/>
      </patternFill>
    </fill>
    <fill>
      <patternFill patternType="solid">
        <fgColor indexed="25"/>
        <bgColor indexed="61"/>
      </patternFill>
    </fill>
    <fill>
      <patternFill patternType="solid">
        <fgColor indexed="13"/>
        <bgColor indexed="3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indexed="31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31"/>
      </patternFill>
    </fill>
    <fill>
      <patternFill patternType="solid">
        <fgColor rgb="FFFFC000"/>
        <bgColor indexed="31"/>
      </patternFill>
    </fill>
    <fill>
      <patternFill patternType="solid">
        <fgColor theme="9" tint="-0.249977111117893"/>
        <bgColor indexed="55"/>
      </patternFill>
    </fill>
    <fill>
      <patternFill patternType="solid">
        <fgColor theme="9"/>
        <bgColor indexed="3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55"/>
      </patternFill>
    </fill>
    <fill>
      <patternFill patternType="solid">
        <fgColor theme="3" tint="0.79998168889431442"/>
        <bgColor indexed="31"/>
      </patternFill>
    </fill>
    <fill>
      <patternFill patternType="solid">
        <fgColor theme="0" tint="-0.249977111117893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theme="6" tint="0.59999389629810485"/>
        <bgColor indexed="31"/>
      </patternFill>
    </fill>
  </fills>
  <borders count="10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8"/>
      </left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</borders>
  <cellStyleXfs count="4">
    <xf numFmtId="0" fontId="0" fillId="0" borderId="0"/>
    <xf numFmtId="164" fontId="16" fillId="0" borderId="0" applyFill="0" applyBorder="0" applyAlignment="0" applyProtection="0"/>
    <xf numFmtId="9" fontId="16" fillId="0" borderId="0" applyFill="0" applyBorder="0" applyAlignment="0" applyProtection="0"/>
    <xf numFmtId="165" fontId="16" fillId="0" borderId="0" applyFill="0" applyBorder="0" applyAlignment="0" applyProtection="0"/>
  </cellStyleXfs>
  <cellXfs count="418">
    <xf numFmtId="0" fontId="0" fillId="0" borderId="0" xfId="0"/>
    <xf numFmtId="0" fontId="1" fillId="0" borderId="0" xfId="0" applyFont="1"/>
    <xf numFmtId="0" fontId="6" fillId="0" borderId="1" xfId="0" applyFont="1" applyBorder="1" applyAlignment="1" applyProtection="1">
      <alignment horizontal="center"/>
      <protection locked="0"/>
    </xf>
    <xf numFmtId="0" fontId="4" fillId="0" borderId="0" xfId="0" applyFont="1"/>
    <xf numFmtId="0" fontId="7" fillId="0" borderId="0" xfId="0" applyFont="1" applyBorder="1" applyAlignment="1">
      <alignment horizontal="center"/>
    </xf>
    <xf numFmtId="0" fontId="1" fillId="0" borderId="0" xfId="0" applyFont="1" applyBorder="1"/>
    <xf numFmtId="0" fontId="7" fillId="0" borderId="0" xfId="0" applyFont="1" applyBorder="1" applyAlignment="1">
      <alignment horizontal="right"/>
    </xf>
    <xf numFmtId="0" fontId="8" fillId="0" borderId="0" xfId="0" applyFont="1" applyAlignment="1">
      <alignment horizontal="center"/>
    </xf>
    <xf numFmtId="0" fontId="10" fillId="0" borderId="0" xfId="0" applyFont="1"/>
    <xf numFmtId="0" fontId="2" fillId="0" borderId="0" xfId="0" applyFont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0" fillId="0" borderId="0" xfId="0" applyFont="1" applyAlignment="1">
      <alignment vertical="center"/>
    </xf>
    <xf numFmtId="0" fontId="10" fillId="0" borderId="6" xfId="0" applyFont="1" applyFill="1" applyBorder="1" applyAlignment="1">
      <alignment horizontal="left" vertic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 wrapText="1"/>
    </xf>
    <xf numFmtId="0" fontId="10" fillId="2" borderId="8" xfId="0" applyFont="1" applyFill="1" applyBorder="1" applyAlignment="1">
      <alignment horizontal="center" wrapText="1"/>
    </xf>
    <xf numFmtId="0" fontId="10" fillId="2" borderId="8" xfId="0" applyFont="1" applyFill="1" applyBorder="1" applyAlignment="1">
      <alignment horizontal="center"/>
    </xf>
    <xf numFmtId="4" fontId="10" fillId="2" borderId="8" xfId="0" applyNumberFormat="1" applyFont="1" applyFill="1" applyBorder="1" applyAlignment="1">
      <alignment horizontal="center"/>
    </xf>
    <xf numFmtId="0" fontId="4" fillId="2" borderId="10" xfId="0" applyFont="1" applyFill="1" applyBorder="1" applyAlignment="1">
      <alignment vertical="center"/>
    </xf>
    <xf numFmtId="0" fontId="4" fillId="2" borderId="0" xfId="0" applyFont="1" applyFill="1" applyBorder="1"/>
    <xf numFmtId="0" fontId="4" fillId="0" borderId="11" xfId="0" applyFont="1" applyBorder="1"/>
    <xf numFmtId="0" fontId="4" fillId="0" borderId="12" xfId="0" applyFont="1" applyBorder="1"/>
    <xf numFmtId="0" fontId="4" fillId="0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0" xfId="0" applyFont="1" applyBorder="1"/>
    <xf numFmtId="0" fontId="4" fillId="0" borderId="15" xfId="0" applyFont="1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vertical="center"/>
    </xf>
    <xf numFmtId="167" fontId="4" fillId="0" borderId="0" xfId="2" applyNumberFormat="1" applyFont="1" applyFill="1" applyBorder="1" applyAlignment="1" applyProtection="1"/>
    <xf numFmtId="0" fontId="4" fillId="0" borderId="16" xfId="0" applyFont="1" applyBorder="1"/>
    <xf numFmtId="10" fontId="4" fillId="0" borderId="16" xfId="0" applyNumberFormat="1" applyFont="1" applyBorder="1"/>
    <xf numFmtId="0" fontId="6" fillId="0" borderId="0" xfId="0" applyFont="1" applyFill="1" applyBorder="1"/>
    <xf numFmtId="167" fontId="4" fillId="4" borderId="0" xfId="2" applyNumberFormat="1" applyFont="1" applyFill="1" applyBorder="1" applyAlignment="1" applyProtection="1"/>
    <xf numFmtId="9" fontId="4" fillId="0" borderId="0" xfId="2" applyFont="1" applyFill="1" applyBorder="1" applyAlignment="1" applyProtection="1"/>
    <xf numFmtId="0" fontId="4" fillId="0" borderId="17" xfId="0" applyFont="1" applyBorder="1"/>
    <xf numFmtId="0" fontId="4" fillId="0" borderId="15" xfId="0" applyFont="1" applyBorder="1"/>
    <xf numFmtId="0" fontId="4" fillId="0" borderId="18" xfId="0" applyFont="1" applyBorder="1"/>
    <xf numFmtId="167" fontId="4" fillId="5" borderId="0" xfId="2" applyNumberFormat="1" applyFont="1" applyFill="1" applyBorder="1" applyAlignment="1" applyProtection="1"/>
    <xf numFmtId="167" fontId="4" fillId="6" borderId="0" xfId="2" applyNumberFormat="1" applyFont="1" applyFill="1" applyBorder="1" applyAlignment="1" applyProtection="1"/>
    <xf numFmtId="167" fontId="4" fillId="7" borderId="0" xfId="2" applyNumberFormat="1" applyFont="1" applyFill="1" applyBorder="1" applyAlignment="1" applyProtection="1"/>
    <xf numFmtId="167" fontId="4" fillId="8" borderId="0" xfId="2" applyNumberFormat="1" applyFont="1" applyFill="1" applyBorder="1" applyAlignment="1" applyProtection="1"/>
    <xf numFmtId="0" fontId="4" fillId="0" borderId="1" xfId="0" applyFont="1" applyBorder="1" applyAlignment="1">
      <alignment horizontal="center"/>
    </xf>
    <xf numFmtId="2" fontId="4" fillId="0" borderId="0" xfId="2" applyNumberFormat="1" applyFont="1" applyFill="1" applyBorder="1" applyAlignment="1" applyProtection="1"/>
    <xf numFmtId="0" fontId="4" fillId="0" borderId="19" xfId="0" applyFont="1" applyBorder="1"/>
    <xf numFmtId="0" fontId="6" fillId="0" borderId="20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0" xfId="0" applyFont="1" applyBorder="1"/>
    <xf numFmtId="2" fontId="4" fillId="0" borderId="20" xfId="0" applyNumberFormat="1" applyFont="1" applyBorder="1" applyAlignment="1">
      <alignment horizontal="center"/>
    </xf>
    <xf numFmtId="2" fontId="4" fillId="0" borderId="20" xfId="2" applyNumberFormat="1" applyFont="1" applyFill="1" applyBorder="1" applyAlignment="1" applyProtection="1">
      <alignment horizontal="center"/>
    </xf>
    <xf numFmtId="2" fontId="4" fillId="0" borderId="20" xfId="2" applyNumberFormat="1" applyFont="1" applyFill="1" applyBorder="1" applyAlignment="1" applyProtection="1"/>
    <xf numFmtId="2" fontId="6" fillId="0" borderId="20" xfId="2" applyNumberFormat="1" applyFont="1" applyFill="1" applyBorder="1" applyAlignment="1" applyProtection="1"/>
    <xf numFmtId="0" fontId="4" fillId="0" borderId="21" xfId="0" applyFont="1" applyBorder="1"/>
    <xf numFmtId="0" fontId="6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0" borderId="0" xfId="2" applyNumberFormat="1" applyFont="1" applyFill="1" applyBorder="1" applyAlignment="1" applyProtection="1">
      <alignment horizontal="center"/>
    </xf>
    <xf numFmtId="2" fontId="6" fillId="0" borderId="0" xfId="2" applyNumberFormat="1" applyFont="1" applyFill="1" applyBorder="1" applyAlignment="1" applyProtection="1"/>
    <xf numFmtId="2" fontId="4" fillId="10" borderId="0" xfId="2" applyNumberFormat="1" applyFont="1" applyFill="1" applyBorder="1" applyAlignment="1" applyProtection="1"/>
    <xf numFmtId="0" fontId="4" fillId="11" borderId="14" xfId="0" applyFont="1" applyFill="1" applyBorder="1"/>
    <xf numFmtId="0" fontId="4" fillId="11" borderId="0" xfId="0" applyFont="1" applyFill="1" applyBorder="1" applyAlignment="1">
      <alignment horizontal="left"/>
    </xf>
    <xf numFmtId="2" fontId="4" fillId="12" borderId="0" xfId="0" applyNumberFormat="1" applyFont="1" applyFill="1" applyBorder="1" applyAlignment="1">
      <alignment horizontal="center"/>
    </xf>
    <xf numFmtId="2" fontId="4" fillId="12" borderId="0" xfId="2" applyNumberFormat="1" applyFont="1" applyFill="1" applyBorder="1" applyAlignment="1" applyProtection="1">
      <alignment horizontal="center"/>
    </xf>
    <xf numFmtId="2" fontId="4" fillId="11" borderId="0" xfId="2" applyNumberFormat="1" applyFont="1" applyFill="1" applyBorder="1" applyAlignment="1" applyProtection="1"/>
    <xf numFmtId="0" fontId="4" fillId="11" borderId="0" xfId="0" applyFont="1" applyFill="1" applyBorder="1"/>
    <xf numFmtId="0" fontId="4" fillId="11" borderId="16" xfId="0" applyFont="1" applyFill="1" applyBorder="1"/>
    <xf numFmtId="0" fontId="4" fillId="11" borderId="0" xfId="0" applyFont="1" applyFill="1"/>
    <xf numFmtId="0" fontId="10" fillId="10" borderId="5" xfId="0" applyFont="1" applyFill="1" applyBorder="1" applyAlignment="1">
      <alignment horizontal="left" vertical="center"/>
    </xf>
    <xf numFmtId="0" fontId="10" fillId="10" borderId="6" xfId="0" applyFont="1" applyFill="1" applyBorder="1" applyAlignment="1">
      <alignment horizontal="left" vertical="center"/>
    </xf>
    <xf numFmtId="0" fontId="10" fillId="10" borderId="7" xfId="0" applyFont="1" applyFill="1" applyBorder="1" applyAlignment="1">
      <alignment horizontal="left" vertical="center"/>
    </xf>
    <xf numFmtId="0" fontId="4" fillId="10" borderId="12" xfId="0" applyFont="1" applyFill="1" applyBorder="1" applyAlignment="1">
      <alignment vertical="center"/>
    </xf>
    <xf numFmtId="0" fontId="16" fillId="14" borderId="22" xfId="0" applyFont="1" applyFill="1" applyBorder="1" applyAlignment="1">
      <alignment horizontal="justify" vertical="center" wrapText="1"/>
    </xf>
    <xf numFmtId="0" fontId="16" fillId="14" borderId="25" xfId="0" applyFont="1" applyFill="1" applyBorder="1" applyAlignment="1">
      <alignment vertical="center" wrapText="1"/>
    </xf>
    <xf numFmtId="0" fontId="18" fillId="14" borderId="22" xfId="0" applyFont="1" applyFill="1" applyBorder="1" applyAlignment="1">
      <alignment horizontal="center" vertical="center" wrapText="1"/>
    </xf>
    <xf numFmtId="0" fontId="18" fillId="14" borderId="25" xfId="0" applyFont="1" applyFill="1" applyBorder="1" applyAlignment="1">
      <alignment horizontal="center" vertical="center" wrapText="1"/>
    </xf>
    <xf numFmtId="0" fontId="10" fillId="0" borderId="35" xfId="0" applyFont="1" applyFill="1" applyBorder="1" applyAlignment="1">
      <alignment vertical="center"/>
    </xf>
    <xf numFmtId="0" fontId="10" fillId="0" borderId="36" xfId="0" applyFont="1" applyFill="1" applyBorder="1" applyAlignment="1">
      <alignment horizontal="left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justify" vertical="center" wrapText="1"/>
    </xf>
    <xf numFmtId="0" fontId="16" fillId="0" borderId="0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vertical="center" wrapText="1"/>
    </xf>
    <xf numFmtId="0" fontId="20" fillId="0" borderId="0" xfId="0" applyFont="1" applyFill="1" applyBorder="1" applyAlignment="1">
      <alignment vertical="center" wrapText="1"/>
    </xf>
    <xf numFmtId="0" fontId="10" fillId="0" borderId="0" xfId="0" applyFont="1" applyAlignment="1">
      <alignment horizontal="center"/>
    </xf>
    <xf numFmtId="2" fontId="10" fillId="0" borderId="0" xfId="0" applyNumberFormat="1" applyFont="1" applyFill="1" applyAlignment="1">
      <alignment horizontal="right"/>
    </xf>
    <xf numFmtId="0" fontId="10" fillId="0" borderId="0" xfId="0" applyFont="1" applyFill="1" applyAlignment="1">
      <alignment horizontal="center"/>
    </xf>
    <xf numFmtId="2" fontId="1" fillId="0" borderId="0" xfId="0" applyNumberFormat="1" applyFont="1" applyAlignment="1">
      <alignment vertical="center"/>
    </xf>
    <xf numFmtId="0" fontId="23" fillId="13" borderId="22" xfId="0" applyFont="1" applyFill="1" applyBorder="1" applyAlignment="1">
      <alignment horizontal="center" vertical="center" wrapText="1"/>
    </xf>
    <xf numFmtId="0" fontId="25" fillId="13" borderId="22" xfId="0" applyFont="1" applyFill="1" applyBorder="1" applyAlignment="1">
      <alignment vertical="center" wrapText="1"/>
    </xf>
    <xf numFmtId="0" fontId="23" fillId="13" borderId="23" xfId="0" applyFont="1" applyFill="1" applyBorder="1" applyAlignment="1">
      <alignment horizontal="center" vertical="center" wrapText="1"/>
    </xf>
    <xf numFmtId="0" fontId="25" fillId="13" borderId="23" xfId="0" applyFont="1" applyFill="1" applyBorder="1" applyAlignment="1">
      <alignment vertical="center" wrapText="1"/>
    </xf>
    <xf numFmtId="0" fontId="16" fillId="14" borderId="25" xfId="0" applyFont="1" applyFill="1" applyBorder="1" applyAlignment="1">
      <alignment horizontal="justify" vertical="center" wrapText="1"/>
    </xf>
    <xf numFmtId="0" fontId="10" fillId="10" borderId="73" xfId="0" applyFont="1" applyFill="1" applyBorder="1" applyAlignment="1">
      <alignment horizontal="left" vertical="center"/>
    </xf>
    <xf numFmtId="0" fontId="10" fillId="10" borderId="36" xfId="0" applyFont="1" applyFill="1" applyBorder="1" applyAlignment="1">
      <alignment horizontal="left" vertical="center"/>
    </xf>
    <xf numFmtId="0" fontId="10" fillId="10" borderId="74" xfId="0" applyFont="1" applyFill="1" applyBorder="1" applyAlignment="1">
      <alignment horizontal="left" vertical="center"/>
    </xf>
    <xf numFmtId="0" fontId="10" fillId="0" borderId="75" xfId="0" applyFont="1" applyBorder="1" applyAlignment="1">
      <alignment horizontal="center"/>
    </xf>
    <xf numFmtId="0" fontId="10" fillId="0" borderId="75" xfId="0" applyFont="1" applyBorder="1" applyAlignment="1">
      <alignment horizontal="center" wrapText="1"/>
    </xf>
    <xf numFmtId="0" fontId="10" fillId="2" borderId="75" xfId="0" applyFont="1" applyFill="1" applyBorder="1" applyAlignment="1">
      <alignment horizontal="center" wrapText="1"/>
    </xf>
    <xf numFmtId="0" fontId="10" fillId="2" borderId="75" xfId="0" applyFont="1" applyFill="1" applyBorder="1" applyAlignment="1">
      <alignment horizontal="center"/>
    </xf>
    <xf numFmtId="4" fontId="10" fillId="2" borderId="75" xfId="0" applyNumberFormat="1" applyFont="1" applyFill="1" applyBorder="1" applyAlignment="1">
      <alignment horizontal="center"/>
    </xf>
    <xf numFmtId="2" fontId="4" fillId="0" borderId="3" xfId="2" applyNumberFormat="1" applyFont="1" applyFill="1" applyBorder="1" applyAlignment="1" applyProtection="1">
      <alignment horizontal="center" vertical="center"/>
    </xf>
    <xf numFmtId="2" fontId="4" fillId="0" borderId="22" xfId="2" applyNumberFormat="1" applyFont="1" applyFill="1" applyBorder="1" applyAlignment="1" applyProtection="1">
      <alignment horizontal="center" vertical="center"/>
    </xf>
    <xf numFmtId="2" fontId="4" fillId="17" borderId="1" xfId="2" applyNumberFormat="1" applyFont="1" applyFill="1" applyBorder="1" applyAlignment="1" applyProtection="1">
      <alignment horizontal="center" vertical="center"/>
    </xf>
    <xf numFmtId="0" fontId="4" fillId="18" borderId="10" xfId="0" applyFont="1" applyFill="1" applyBorder="1" applyAlignment="1">
      <alignment vertical="center"/>
    </xf>
    <xf numFmtId="0" fontId="11" fillId="19" borderId="78" xfId="0" applyFont="1" applyFill="1" applyBorder="1" applyAlignment="1">
      <alignment horizontal="center" vertical="center"/>
    </xf>
    <xf numFmtId="0" fontId="11" fillId="19" borderId="79" xfId="0" applyFont="1" applyFill="1" applyBorder="1" applyAlignment="1">
      <alignment horizontal="center" vertical="center"/>
    </xf>
    <xf numFmtId="0" fontId="11" fillId="19" borderId="78" xfId="0" applyFont="1" applyFill="1" applyBorder="1" applyAlignment="1">
      <alignment horizontal="center"/>
    </xf>
    <xf numFmtId="2" fontId="6" fillId="20" borderId="3" xfId="2" applyNumberFormat="1" applyFont="1" applyFill="1" applyBorder="1" applyAlignment="1" applyProtection="1">
      <alignment horizontal="center" vertical="center"/>
    </xf>
    <xf numFmtId="0" fontId="11" fillId="19" borderId="34" xfId="0" applyFont="1" applyFill="1" applyBorder="1" applyAlignment="1">
      <alignment horizontal="center"/>
    </xf>
    <xf numFmtId="0" fontId="11" fillId="19" borderId="80" xfId="0" applyFont="1" applyFill="1" applyBorder="1" applyAlignment="1">
      <alignment horizontal="center"/>
    </xf>
    <xf numFmtId="0" fontId="11" fillId="19" borderId="81" xfId="0" applyFont="1" applyFill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4" fillId="9" borderId="0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 wrapText="1"/>
    </xf>
    <xf numFmtId="10" fontId="4" fillId="0" borderId="0" xfId="0" applyNumberFormat="1" applyFont="1" applyBorder="1"/>
    <xf numFmtId="2" fontId="4" fillId="0" borderId="0" xfId="0" applyNumberFormat="1" applyFont="1" applyBorder="1" applyAlignment="1">
      <alignment horizontal="center"/>
    </xf>
    <xf numFmtId="2" fontId="4" fillId="0" borderId="0" xfId="2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/>
    <xf numFmtId="0" fontId="4" fillId="0" borderId="0" xfId="0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2" fontId="4" fillId="17" borderId="22" xfId="2" applyNumberFormat="1" applyFont="1" applyFill="1" applyBorder="1" applyAlignment="1" applyProtection="1">
      <alignment horizontal="center" vertical="center"/>
    </xf>
    <xf numFmtId="2" fontId="4" fillId="17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2" fontId="4" fillId="2" borderId="1" xfId="0" applyNumberFormat="1" applyFont="1" applyFill="1" applyBorder="1" applyAlignment="1">
      <alignment horizontal="center" vertical="center"/>
    </xf>
    <xf numFmtId="2" fontId="4" fillId="2" borderId="1" xfId="2" applyNumberFormat="1" applyFont="1" applyFill="1" applyBorder="1" applyAlignment="1" applyProtection="1">
      <alignment horizontal="center" vertical="center"/>
    </xf>
    <xf numFmtId="0" fontId="4" fillId="0" borderId="0" xfId="0" applyFont="1" applyAlignment="1">
      <alignment vertical="center"/>
    </xf>
    <xf numFmtId="0" fontId="4" fillId="23" borderId="15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2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0" fillId="0" borderId="0" xfId="0" applyFont="1" applyFill="1" applyBorder="1"/>
    <xf numFmtId="2" fontId="0" fillId="0" borderId="0" xfId="0" applyNumberForma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left" vertical="center" wrapText="1"/>
    </xf>
    <xf numFmtId="2" fontId="22" fillId="0" borderId="0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2" fontId="16" fillId="0" borderId="0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/>
    <xf numFmtId="0" fontId="28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2" fontId="10" fillId="0" borderId="0" xfId="0" applyNumberFormat="1" applyFont="1" applyFill="1" applyBorder="1" applyAlignment="1">
      <alignment horizontal="right" vertical="center"/>
    </xf>
    <xf numFmtId="2" fontId="10" fillId="0" borderId="0" xfId="0" applyNumberFormat="1" applyFont="1" applyFill="1" applyBorder="1" applyAlignment="1">
      <alignment horizontal="right"/>
    </xf>
    <xf numFmtId="0" fontId="10" fillId="0" borderId="0" xfId="0" applyFont="1" applyFill="1" applyBorder="1" applyAlignment="1">
      <alignment horizontal="center"/>
    </xf>
    <xf numFmtId="0" fontId="1" fillId="25" borderId="44" xfId="0" applyFont="1" applyFill="1" applyBorder="1" applyAlignment="1">
      <alignment horizontal="left" vertical="center"/>
    </xf>
    <xf numFmtId="0" fontId="33" fillId="25" borderId="49" xfId="0" applyFont="1" applyFill="1" applyBorder="1" applyAlignment="1">
      <alignment vertical="center"/>
    </xf>
    <xf numFmtId="0" fontId="33" fillId="25" borderId="44" xfId="0" applyFont="1" applyFill="1" applyBorder="1" applyAlignment="1">
      <alignment vertical="center"/>
    </xf>
    <xf numFmtId="0" fontId="33" fillId="25" borderId="49" xfId="0" applyFont="1" applyFill="1" applyBorder="1" applyAlignment="1">
      <alignment horizontal="left" vertical="center"/>
    </xf>
    <xf numFmtId="0" fontId="33" fillId="25" borderId="44" xfId="0" applyFont="1" applyFill="1" applyBorder="1" applyAlignment="1">
      <alignment horizontal="left" vertical="center"/>
    </xf>
    <xf numFmtId="0" fontId="10" fillId="10" borderId="0" xfId="0" applyFont="1" applyFill="1"/>
    <xf numFmtId="0" fontId="1" fillId="10" borderId="0" xfId="0" applyFont="1" applyFill="1"/>
    <xf numFmtId="0" fontId="1" fillId="10" borderId="0" xfId="0" applyFont="1" applyFill="1" applyAlignment="1">
      <alignment vertical="center"/>
    </xf>
    <xf numFmtId="0" fontId="10" fillId="10" borderId="0" xfId="0" applyFont="1" applyFill="1" applyAlignment="1">
      <alignment vertical="center"/>
    </xf>
    <xf numFmtId="0" fontId="1" fillId="10" borderId="0" xfId="0" applyFont="1" applyFill="1" applyBorder="1" applyAlignment="1">
      <alignment horizontal="left" vertical="center"/>
    </xf>
    <xf numFmtId="2" fontId="2" fillId="10" borderId="0" xfId="2" applyNumberFormat="1" applyFont="1" applyFill="1" applyBorder="1" applyAlignment="1" applyProtection="1">
      <alignment vertical="center" textRotation="90" wrapText="1"/>
    </xf>
    <xf numFmtId="0" fontId="2" fillId="10" borderId="0" xfId="0" applyFont="1" applyFill="1" applyBorder="1" applyAlignment="1">
      <alignment horizontal="center" vertical="center"/>
    </xf>
    <xf numFmtId="2" fontId="1" fillId="10" borderId="0" xfId="0" applyNumberFormat="1" applyFont="1" applyFill="1" applyBorder="1" applyAlignment="1">
      <alignment horizontal="right" vertical="center"/>
    </xf>
    <xf numFmtId="2" fontId="10" fillId="10" borderId="0" xfId="0" applyNumberFormat="1" applyFont="1" applyFill="1" applyBorder="1" applyAlignment="1">
      <alignment horizontal="right"/>
    </xf>
    <xf numFmtId="2" fontId="1" fillId="10" borderId="0" xfId="0" applyNumberFormat="1" applyFont="1" applyFill="1" applyBorder="1" applyAlignment="1">
      <alignment horizontal="center" vertical="center"/>
    </xf>
    <xf numFmtId="0" fontId="10" fillId="10" borderId="0" xfId="0" applyFont="1" applyFill="1" applyBorder="1" applyAlignment="1">
      <alignment horizontal="left" vertical="center"/>
    </xf>
    <xf numFmtId="2" fontId="10" fillId="10" borderId="0" xfId="0" applyNumberFormat="1" applyFont="1" applyFill="1" applyBorder="1" applyAlignment="1">
      <alignment horizontal="right" vertical="center"/>
    </xf>
    <xf numFmtId="2" fontId="1" fillId="10" borderId="0" xfId="0" applyNumberFormat="1" applyFont="1" applyFill="1" applyAlignment="1">
      <alignment vertical="center"/>
    </xf>
    <xf numFmtId="0" fontId="8" fillId="21" borderId="94" xfId="0" applyFont="1" applyFill="1" applyBorder="1" applyAlignment="1">
      <alignment horizontal="center" vertical="center"/>
    </xf>
    <xf numFmtId="0" fontId="8" fillId="21" borderId="87" xfId="0" applyFont="1" applyFill="1" applyBorder="1" applyAlignment="1">
      <alignment horizontal="center" vertical="center"/>
    </xf>
    <xf numFmtId="0" fontId="8" fillId="21" borderId="90" xfId="0" applyFont="1" applyFill="1" applyBorder="1" applyAlignment="1">
      <alignment horizontal="center" vertical="center"/>
    </xf>
    <xf numFmtId="0" fontId="8" fillId="21" borderId="93" xfId="0" applyFont="1" applyFill="1" applyBorder="1" applyAlignment="1">
      <alignment horizontal="center" vertical="center"/>
    </xf>
    <xf numFmtId="0" fontId="8" fillId="21" borderId="34" xfId="0" applyFont="1" applyFill="1" applyBorder="1" applyAlignment="1">
      <alignment horizontal="center" vertical="center"/>
    </xf>
    <xf numFmtId="0" fontId="8" fillId="21" borderId="32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vertical="center" wrapText="1"/>
    </xf>
    <xf numFmtId="0" fontId="8" fillId="24" borderId="31" xfId="0" applyFont="1" applyFill="1" applyBorder="1" applyAlignment="1">
      <alignment horizontal="center" vertical="center" wrapText="1"/>
    </xf>
    <xf numFmtId="0" fontId="35" fillId="24" borderId="25" xfId="0" applyFont="1" applyFill="1" applyBorder="1" applyAlignment="1">
      <alignment horizontal="center"/>
    </xf>
    <xf numFmtId="0" fontId="31" fillId="29" borderId="80" xfId="0" applyFont="1" applyFill="1" applyBorder="1" applyAlignment="1">
      <alignment horizontal="center" vertical="center"/>
    </xf>
    <xf numFmtId="0" fontId="18" fillId="14" borderId="94" xfId="0" applyFont="1" applyFill="1" applyBorder="1" applyAlignment="1">
      <alignment horizontal="center" vertical="center" wrapText="1"/>
    </xf>
    <xf numFmtId="0" fontId="18" fillId="14" borderId="87" xfId="0" applyFont="1" applyFill="1" applyBorder="1" applyAlignment="1">
      <alignment horizontal="center" vertical="center" wrapText="1"/>
    </xf>
    <xf numFmtId="0" fontId="16" fillId="14" borderId="87" xfId="0" applyFont="1" applyFill="1" applyBorder="1" applyAlignment="1">
      <alignment vertical="center" wrapText="1"/>
    </xf>
    <xf numFmtId="0" fontId="25" fillId="13" borderId="22" xfId="0" applyFont="1" applyFill="1" applyBorder="1" applyAlignment="1">
      <alignment horizontal="left" vertical="center" wrapText="1"/>
    </xf>
    <xf numFmtId="0" fontId="23" fillId="13" borderId="25" xfId="0" applyFont="1" applyFill="1" applyBorder="1" applyAlignment="1">
      <alignment horizontal="center" vertical="center" wrapText="1"/>
    </xf>
    <xf numFmtId="0" fontId="25" fillId="13" borderId="25" xfId="0" applyFont="1" applyFill="1" applyBorder="1" applyAlignment="1">
      <alignment vertical="center" wrapText="1"/>
    </xf>
    <xf numFmtId="2" fontId="34" fillId="10" borderId="97" xfId="0" applyNumberFormat="1" applyFont="1" applyFill="1" applyBorder="1" applyAlignment="1">
      <alignment horizontal="right"/>
    </xf>
    <xf numFmtId="0" fontId="35" fillId="24" borderId="67" xfId="0" applyFont="1" applyFill="1" applyBorder="1" applyAlignment="1">
      <alignment horizontal="center"/>
    </xf>
    <xf numFmtId="0" fontId="8" fillId="21" borderId="33" xfId="0" applyFont="1" applyFill="1" applyBorder="1" applyAlignment="1">
      <alignment horizontal="center" vertical="center"/>
    </xf>
    <xf numFmtId="0" fontId="11" fillId="19" borderId="24" xfId="0" applyFont="1" applyFill="1" applyBorder="1" applyAlignment="1">
      <alignment horizontal="center"/>
    </xf>
    <xf numFmtId="0" fontId="11" fillId="19" borderId="68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left" vertical="center"/>
    </xf>
    <xf numFmtId="2" fontId="10" fillId="0" borderId="0" xfId="0" applyNumberFormat="1" applyFont="1" applyBorder="1"/>
    <xf numFmtId="0" fontId="10" fillId="0" borderId="0" xfId="0" applyFont="1" applyBorder="1"/>
    <xf numFmtId="0" fontId="10" fillId="0" borderId="98" xfId="0" applyFont="1" applyFill="1" applyBorder="1" applyAlignment="1">
      <alignment horizontal="center" wrapText="1"/>
    </xf>
    <xf numFmtId="0" fontId="10" fillId="0" borderId="98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 wrapText="1"/>
    </xf>
    <xf numFmtId="0" fontId="18" fillId="13" borderId="94" xfId="0" applyFont="1" applyFill="1" applyBorder="1" applyAlignment="1">
      <alignment horizontal="center" vertical="center" wrapText="1"/>
    </xf>
    <xf numFmtId="0" fontId="18" fillId="13" borderId="87" xfId="0" applyFont="1" applyFill="1" applyBorder="1" applyAlignment="1">
      <alignment horizontal="center" vertical="center" wrapText="1"/>
    </xf>
    <xf numFmtId="0" fontId="16" fillId="13" borderId="87" xfId="0" applyFont="1" applyFill="1" applyBorder="1" applyAlignment="1">
      <alignment horizontal="left" vertical="center" wrapText="1"/>
    </xf>
    <xf numFmtId="0" fontId="1" fillId="10" borderId="30" xfId="0" applyFont="1" applyFill="1" applyBorder="1" applyAlignment="1">
      <alignment horizontal="center" vertical="center"/>
    </xf>
    <xf numFmtId="0" fontId="1" fillId="10" borderId="31" xfId="0" applyFont="1" applyFill="1" applyBorder="1" applyAlignment="1">
      <alignment horizontal="center" vertical="center"/>
    </xf>
    <xf numFmtId="0" fontId="1" fillId="10" borderId="51" xfId="0" applyFont="1" applyFill="1" applyBorder="1" applyAlignment="1">
      <alignment horizontal="center" vertical="center"/>
    </xf>
    <xf numFmtId="0" fontId="1" fillId="10" borderId="70" xfId="0" applyFont="1" applyFill="1" applyBorder="1" applyAlignment="1">
      <alignment horizontal="center" vertical="center"/>
    </xf>
    <xf numFmtId="0" fontId="1" fillId="10" borderId="52" xfId="0" applyFont="1" applyFill="1" applyBorder="1" applyAlignment="1">
      <alignment horizontal="center" vertical="center"/>
    </xf>
    <xf numFmtId="0" fontId="18" fillId="15" borderId="54" xfId="0" applyFont="1" applyFill="1" applyBorder="1" applyAlignment="1">
      <alignment horizontal="center"/>
    </xf>
    <xf numFmtId="0" fontId="18" fillId="15" borderId="50" xfId="0" applyFont="1" applyFill="1" applyBorder="1" applyAlignment="1">
      <alignment horizontal="center"/>
    </xf>
    <xf numFmtId="0" fontId="18" fillId="15" borderId="55" xfId="0" applyFont="1" applyFill="1" applyBorder="1" applyAlignment="1">
      <alignment horizontal="center"/>
    </xf>
    <xf numFmtId="0" fontId="0" fillId="14" borderId="59" xfId="0" applyFill="1" applyBorder="1"/>
    <xf numFmtId="0" fontId="16" fillId="14" borderId="53" xfId="0" applyFont="1" applyFill="1" applyBorder="1" applyAlignment="1">
      <alignment wrapText="1"/>
    </xf>
    <xf numFmtId="2" fontId="0" fillId="14" borderId="59" xfId="0" applyNumberFormat="1" applyFill="1" applyBorder="1"/>
    <xf numFmtId="0" fontId="16" fillId="14" borderId="56" xfId="0" applyFont="1" applyFill="1" applyBorder="1" applyAlignment="1">
      <alignment horizontal="center"/>
    </xf>
    <xf numFmtId="0" fontId="16" fillId="14" borderId="60" xfId="0" applyFont="1" applyFill="1" applyBorder="1"/>
    <xf numFmtId="0" fontId="16" fillId="14" borderId="62" xfId="0" applyFont="1" applyFill="1" applyBorder="1" applyAlignment="1">
      <alignment wrapText="1"/>
    </xf>
    <xf numFmtId="2" fontId="16" fillId="14" borderId="60" xfId="0" applyNumberFormat="1" applyFont="1" applyFill="1" applyBorder="1"/>
    <xf numFmtId="0" fontId="16" fillId="14" borderId="57" xfId="0" applyFont="1" applyFill="1" applyBorder="1" applyAlignment="1">
      <alignment horizontal="center"/>
    </xf>
    <xf numFmtId="0" fontId="0" fillId="14" borderId="60" xfId="0" applyFill="1" applyBorder="1"/>
    <xf numFmtId="2" fontId="0" fillId="14" borderId="60" xfId="0" applyNumberFormat="1" applyFill="1" applyBorder="1"/>
    <xf numFmtId="0" fontId="16" fillId="14" borderId="61" xfId="0" applyFont="1" applyFill="1" applyBorder="1"/>
    <xf numFmtId="0" fontId="16" fillId="14" borderId="63" xfId="0" applyFont="1" applyFill="1" applyBorder="1" applyAlignment="1">
      <alignment vertical="center" wrapText="1"/>
    </xf>
    <xf numFmtId="2" fontId="16" fillId="14" borderId="61" xfId="0" applyNumberFormat="1" applyFont="1" applyFill="1" applyBorder="1"/>
    <xf numFmtId="0" fontId="16" fillId="14" borderId="58" xfId="0" applyFont="1" applyFill="1" applyBorder="1" applyAlignment="1">
      <alignment horizontal="center"/>
    </xf>
    <xf numFmtId="0" fontId="16" fillId="13" borderId="60" xfId="0" applyFont="1" applyFill="1" applyBorder="1"/>
    <xf numFmtId="0" fontId="16" fillId="13" borderId="62" xfId="0" applyFont="1" applyFill="1" applyBorder="1" applyAlignment="1">
      <alignment wrapText="1"/>
    </xf>
    <xf numFmtId="2" fontId="0" fillId="13" borderId="60" xfId="0" applyNumberFormat="1" applyFill="1" applyBorder="1"/>
    <xf numFmtId="0" fontId="16" fillId="13" borderId="57" xfId="0" applyFont="1" applyFill="1" applyBorder="1" applyAlignment="1">
      <alignment horizontal="center"/>
    </xf>
    <xf numFmtId="0" fontId="22" fillId="13" borderId="60" xfId="0" applyFont="1" applyFill="1" applyBorder="1"/>
    <xf numFmtId="0" fontId="22" fillId="13" borderId="62" xfId="0" applyFont="1" applyFill="1" applyBorder="1" applyAlignment="1">
      <alignment wrapText="1"/>
    </xf>
    <xf numFmtId="2" fontId="22" fillId="13" borderId="60" xfId="0" applyNumberFormat="1" applyFont="1" applyFill="1" applyBorder="1"/>
    <xf numFmtId="0" fontId="22" fillId="13" borderId="57" xfId="0" applyFont="1" applyFill="1" applyBorder="1" applyAlignment="1">
      <alignment horizontal="center"/>
    </xf>
    <xf numFmtId="0" fontId="18" fillId="15" borderId="54" xfId="0" applyFont="1" applyFill="1" applyBorder="1" applyAlignment="1">
      <alignment horizontal="left" vertical="center"/>
    </xf>
    <xf numFmtId="0" fontId="18" fillId="15" borderId="55" xfId="0" applyFont="1" applyFill="1" applyBorder="1" applyAlignment="1">
      <alignment horizontal="left" vertical="center"/>
    </xf>
    <xf numFmtId="0" fontId="0" fillId="13" borderId="59" xfId="0" applyFill="1" applyBorder="1" applyAlignment="1">
      <alignment horizontal="center" vertical="center"/>
    </xf>
    <xf numFmtId="0" fontId="16" fillId="13" borderId="59" xfId="0" applyFont="1" applyFill="1" applyBorder="1" applyAlignment="1">
      <alignment horizontal="left" vertical="center" wrapText="1"/>
    </xf>
    <xf numFmtId="2" fontId="0" fillId="13" borderId="59" xfId="0" applyNumberFormat="1" applyFill="1" applyBorder="1" applyAlignment="1">
      <alignment horizontal="center" vertical="center"/>
    </xf>
    <xf numFmtId="0" fontId="16" fillId="13" borderId="56" xfId="0" applyFont="1" applyFill="1" applyBorder="1" applyAlignment="1">
      <alignment horizontal="center" vertical="center"/>
    </xf>
    <xf numFmtId="0" fontId="0" fillId="13" borderId="60" xfId="0" applyFill="1" applyBorder="1" applyAlignment="1">
      <alignment horizontal="center" vertical="center"/>
    </xf>
    <xf numFmtId="0" fontId="16" fillId="13" borderId="60" xfId="0" applyFont="1" applyFill="1" applyBorder="1" applyAlignment="1">
      <alignment horizontal="left" vertical="center" wrapText="1"/>
    </xf>
    <xf numFmtId="2" fontId="0" fillId="13" borderId="60" xfId="0" applyNumberFormat="1" applyFill="1" applyBorder="1" applyAlignment="1">
      <alignment horizontal="center" vertical="center"/>
    </xf>
    <xf numFmtId="0" fontId="16" fillId="13" borderId="57" xfId="0" applyFont="1" applyFill="1" applyBorder="1" applyAlignment="1">
      <alignment horizontal="center" vertical="center"/>
    </xf>
    <xf numFmtId="0" fontId="22" fillId="13" borderId="60" xfId="0" applyFont="1" applyFill="1" applyBorder="1" applyAlignment="1">
      <alignment horizontal="center" vertical="center"/>
    </xf>
    <xf numFmtId="0" fontId="22" fillId="13" borderId="60" xfId="0" applyFont="1" applyFill="1" applyBorder="1" applyAlignment="1">
      <alignment horizontal="left" vertical="center" wrapText="1"/>
    </xf>
    <xf numFmtId="2" fontId="22" fillId="13" borderId="60" xfId="0" applyNumberFormat="1" applyFont="1" applyFill="1" applyBorder="1" applyAlignment="1">
      <alignment horizontal="center" vertical="center"/>
    </xf>
    <xf numFmtId="0" fontId="22" fillId="13" borderId="57" xfId="0" applyFont="1" applyFill="1" applyBorder="1" applyAlignment="1">
      <alignment horizontal="center" vertical="center"/>
    </xf>
    <xf numFmtId="0" fontId="0" fillId="13" borderId="61" xfId="0" applyFill="1" applyBorder="1" applyAlignment="1">
      <alignment horizontal="center" vertical="center"/>
    </xf>
    <xf numFmtId="0" fontId="16" fillId="13" borderId="61" xfId="0" applyFont="1" applyFill="1" applyBorder="1" applyAlignment="1">
      <alignment horizontal="left" vertical="center" wrapText="1"/>
    </xf>
    <xf numFmtId="2" fontId="0" fillId="13" borderId="61" xfId="0" applyNumberFormat="1" applyFill="1" applyBorder="1" applyAlignment="1">
      <alignment horizontal="center" vertical="center"/>
    </xf>
    <xf numFmtId="0" fontId="16" fillId="13" borderId="58" xfId="0" applyFont="1" applyFill="1" applyBorder="1" applyAlignment="1">
      <alignment horizontal="center" vertical="center"/>
    </xf>
    <xf numFmtId="0" fontId="16" fillId="0" borderId="0" xfId="0" applyFont="1"/>
    <xf numFmtId="0" fontId="1" fillId="0" borderId="1" xfId="0" applyFont="1" applyBorder="1" applyAlignment="1" applyProtection="1">
      <alignment horizontal="left" vertical="top" wrapText="1"/>
      <protection locked="0"/>
    </xf>
    <xf numFmtId="2" fontId="4" fillId="22" borderId="1" xfId="0" applyNumberFormat="1" applyFont="1" applyFill="1" applyBorder="1" applyAlignment="1">
      <alignment horizontal="center"/>
    </xf>
    <xf numFmtId="165" fontId="4" fillId="2" borderId="1" xfId="3" applyFont="1" applyFill="1" applyBorder="1" applyAlignment="1" applyProtection="1"/>
    <xf numFmtId="0" fontId="3" fillId="0" borderId="3" xfId="0" applyFont="1" applyBorder="1" applyAlignment="1">
      <alignment horizontal="right"/>
    </xf>
    <xf numFmtId="0" fontId="2" fillId="0" borderId="1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 wrapText="1"/>
    </xf>
    <xf numFmtId="0" fontId="3" fillId="0" borderId="37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5" fillId="0" borderId="3" xfId="0" applyFont="1" applyBorder="1" applyAlignment="1">
      <alignment horizontal="center" vertical="center" textRotation="90" wrapText="1"/>
    </xf>
    <xf numFmtId="166" fontId="4" fillId="0" borderId="1" xfId="0" applyNumberFormat="1" applyFont="1" applyBorder="1" applyAlignment="1" applyProtection="1">
      <alignment horizontal="right"/>
      <protection locked="0"/>
    </xf>
    <xf numFmtId="0" fontId="3" fillId="0" borderId="3" xfId="0" applyFont="1" applyBorder="1" applyAlignment="1">
      <alignment horizontal="left" vertical="center"/>
    </xf>
    <xf numFmtId="0" fontId="4" fillId="0" borderId="29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3" fillId="0" borderId="37" xfId="0" applyFont="1" applyBorder="1" applyAlignment="1">
      <alignment horizontal="center"/>
    </xf>
    <xf numFmtId="0" fontId="4" fillId="0" borderId="82" xfId="0" applyFont="1" applyBorder="1" applyAlignment="1" applyProtection="1">
      <alignment horizontal="left"/>
      <protection locked="0"/>
    </xf>
    <xf numFmtId="0" fontId="4" fillId="0" borderId="62" xfId="0" applyFont="1" applyBorder="1" applyAlignment="1" applyProtection="1">
      <alignment horizontal="left"/>
      <protection locked="0"/>
    </xf>
    <xf numFmtId="0" fontId="4" fillId="0" borderId="83" xfId="0" applyFont="1" applyBorder="1" applyAlignment="1" applyProtection="1">
      <alignment horizontal="left"/>
      <protection locked="0"/>
    </xf>
    <xf numFmtId="0" fontId="2" fillId="0" borderId="1" xfId="0" applyFont="1" applyBorder="1" applyAlignment="1">
      <alignment horizontal="center" vertical="center"/>
    </xf>
    <xf numFmtId="0" fontId="4" fillId="0" borderId="99" xfId="0" applyFont="1" applyBorder="1" applyProtection="1">
      <protection locked="0"/>
    </xf>
    <xf numFmtId="0" fontId="3" fillId="0" borderId="99" xfId="0" applyFont="1" applyBorder="1" applyAlignment="1">
      <alignment horizontal="center"/>
    </xf>
    <xf numFmtId="2" fontId="4" fillId="0" borderId="99" xfId="0" applyNumberFormat="1" applyFont="1" applyBorder="1" applyAlignment="1" applyProtection="1">
      <alignment horizontal="right"/>
      <protection locked="0"/>
    </xf>
    <xf numFmtId="164" fontId="4" fillId="2" borderId="1" xfId="1" applyFont="1" applyFill="1" applyBorder="1" applyAlignment="1" applyProtection="1">
      <alignment horizontal="right"/>
    </xf>
    <xf numFmtId="0" fontId="2" fillId="0" borderId="14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40" xfId="0" applyFont="1" applyFill="1" applyBorder="1" applyAlignment="1">
      <alignment horizontal="center"/>
    </xf>
    <xf numFmtId="0" fontId="4" fillId="2" borderId="39" xfId="0" applyFont="1" applyFill="1" applyBorder="1" applyAlignment="1">
      <alignment vertical="center"/>
    </xf>
    <xf numFmtId="0" fontId="4" fillId="2" borderId="29" xfId="0" applyFont="1" applyFill="1" applyBorder="1" applyAlignment="1">
      <alignment horizontal="center" vertical="center"/>
    </xf>
    <xf numFmtId="0" fontId="4" fillId="28" borderId="38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4" fillId="2" borderId="39" xfId="0" applyFont="1" applyFill="1" applyBorder="1" applyAlignment="1">
      <alignment horizontal="left" vertical="center"/>
    </xf>
    <xf numFmtId="0" fontId="4" fillId="2" borderId="42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16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 wrapText="1"/>
    </xf>
    <xf numFmtId="2" fontId="26" fillId="0" borderId="0" xfId="2" applyNumberFormat="1" applyFont="1" applyFill="1" applyBorder="1" applyAlignment="1" applyProtection="1">
      <alignment horizontal="left" vertical="center" textRotation="90" wrapText="1"/>
    </xf>
    <xf numFmtId="2" fontId="27" fillId="0" borderId="22" xfId="2" applyNumberFormat="1" applyFont="1" applyFill="1" applyBorder="1" applyAlignment="1" applyProtection="1">
      <alignment horizontal="center" vertical="center"/>
    </xf>
    <xf numFmtId="2" fontId="8" fillId="9" borderId="82" xfId="2" applyNumberFormat="1" applyFont="1" applyFill="1" applyBorder="1" applyAlignment="1" applyProtection="1">
      <alignment horizontal="center" vertical="center"/>
    </xf>
    <xf numFmtId="2" fontId="8" fillId="9" borderId="83" xfId="2" applyNumberFormat="1" applyFont="1" applyFill="1" applyBorder="1" applyAlignment="1" applyProtection="1">
      <alignment horizontal="center" vertical="center"/>
    </xf>
    <xf numFmtId="0" fontId="4" fillId="9" borderId="42" xfId="0" applyFont="1" applyFill="1" applyBorder="1" applyAlignment="1">
      <alignment horizontal="center" vertical="center"/>
    </xf>
    <xf numFmtId="0" fontId="12" fillId="3" borderId="43" xfId="0" applyFont="1" applyFill="1" applyBorder="1" applyAlignment="1">
      <alignment horizontal="center" vertical="center" wrapText="1"/>
    </xf>
    <xf numFmtId="0" fontId="20" fillId="13" borderId="54" xfId="0" applyFont="1" applyFill="1" applyBorder="1" applyAlignment="1">
      <alignment horizontal="center" vertical="center" wrapText="1"/>
    </xf>
    <xf numFmtId="0" fontId="20" fillId="13" borderId="27" xfId="0" applyFont="1" applyFill="1" applyBorder="1" applyAlignment="1">
      <alignment horizontal="center" vertical="center" wrapText="1"/>
    </xf>
    <xf numFmtId="0" fontId="20" fillId="13" borderId="64" xfId="0" applyFont="1" applyFill="1" applyBorder="1" applyAlignment="1">
      <alignment horizontal="center" vertical="center" wrapText="1"/>
    </xf>
    <xf numFmtId="0" fontId="11" fillId="19" borderId="76" xfId="0" applyFont="1" applyFill="1" applyBorder="1" applyAlignment="1">
      <alignment horizontal="center" vertical="center" wrapText="1"/>
    </xf>
    <xf numFmtId="0" fontId="11" fillId="19" borderId="77" xfId="0" applyFont="1" applyFill="1" applyBorder="1" applyAlignment="1">
      <alignment horizontal="center" vertical="center" wrapText="1"/>
    </xf>
    <xf numFmtId="0" fontId="4" fillId="22" borderId="28" xfId="0" applyFont="1" applyFill="1" applyBorder="1" applyAlignment="1">
      <alignment horizontal="center" vertical="center"/>
    </xf>
    <xf numFmtId="0" fontId="4" fillId="22" borderId="50" xfId="0" applyFont="1" applyFill="1" applyBorder="1" applyAlignment="1">
      <alignment horizontal="center" vertical="center"/>
    </xf>
    <xf numFmtId="0" fontId="4" fillId="22" borderId="55" xfId="0" applyFont="1" applyFill="1" applyBorder="1" applyAlignment="1">
      <alignment horizontal="center" vertical="center"/>
    </xf>
    <xf numFmtId="0" fontId="4" fillId="28" borderId="28" xfId="0" applyFont="1" applyFill="1" applyBorder="1" applyAlignment="1">
      <alignment horizontal="center" vertical="center"/>
    </xf>
    <xf numFmtId="0" fontId="4" fillId="28" borderId="50" xfId="0" applyFont="1" applyFill="1" applyBorder="1" applyAlignment="1">
      <alignment horizontal="center" vertical="center"/>
    </xf>
    <xf numFmtId="0" fontId="4" fillId="28" borderId="55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18" borderId="46" xfId="0" applyFont="1" applyFill="1" applyBorder="1" applyAlignment="1">
      <alignment horizontal="left" vertical="center"/>
    </xf>
    <xf numFmtId="0" fontId="4" fillId="18" borderId="47" xfId="0" applyFont="1" applyFill="1" applyBorder="1" applyAlignment="1">
      <alignment horizontal="left" vertical="center"/>
    </xf>
    <xf numFmtId="0" fontId="4" fillId="18" borderId="48" xfId="0" applyFont="1" applyFill="1" applyBorder="1" applyAlignment="1">
      <alignment horizontal="left" vertical="center"/>
    </xf>
    <xf numFmtId="0" fontId="4" fillId="18" borderId="49" xfId="0" applyFont="1" applyFill="1" applyBorder="1" applyAlignment="1">
      <alignment horizontal="left" vertical="center"/>
    </xf>
    <xf numFmtId="0" fontId="4" fillId="18" borderId="44" xfId="0" applyFont="1" applyFill="1" applyBorder="1" applyAlignment="1">
      <alignment horizontal="left" vertical="center"/>
    </xf>
    <xf numFmtId="0" fontId="4" fillId="18" borderId="45" xfId="0" applyFont="1" applyFill="1" applyBorder="1" applyAlignment="1">
      <alignment horizontal="left" vertical="center"/>
    </xf>
    <xf numFmtId="0" fontId="4" fillId="18" borderId="44" xfId="0" applyFont="1" applyFill="1" applyBorder="1" applyAlignment="1">
      <alignment horizontal="left" vertical="top"/>
    </xf>
    <xf numFmtId="0" fontId="4" fillId="18" borderId="45" xfId="0" applyFont="1" applyFill="1" applyBorder="1" applyAlignment="1">
      <alignment horizontal="left" vertical="top"/>
    </xf>
    <xf numFmtId="0" fontId="16" fillId="14" borderId="87" xfId="0" applyFont="1" applyFill="1" applyBorder="1" applyAlignment="1">
      <alignment horizontal="left" vertical="center" wrapText="1"/>
    </xf>
    <xf numFmtId="0" fontId="16" fillId="14" borderId="85" xfId="0" applyFont="1" applyFill="1" applyBorder="1" applyAlignment="1">
      <alignment horizontal="left" vertical="center" wrapText="1"/>
    </xf>
    <xf numFmtId="0" fontId="23" fillId="13" borderId="70" xfId="0" applyFont="1" applyFill="1" applyBorder="1" applyAlignment="1">
      <alignment horizontal="center" vertical="center" wrapText="1"/>
    </xf>
    <xf numFmtId="0" fontId="23" fillId="13" borderId="30" xfId="0" applyFont="1" applyFill="1" applyBorder="1" applyAlignment="1">
      <alignment horizontal="center" vertical="center" wrapText="1"/>
    </xf>
    <xf numFmtId="0" fontId="23" fillId="13" borderId="52" xfId="0" applyFont="1" applyFill="1" applyBorder="1" applyAlignment="1">
      <alignment horizontal="center" vertical="center" wrapText="1"/>
    </xf>
    <xf numFmtId="0" fontId="18" fillId="14" borderId="51" xfId="0" applyFont="1" applyFill="1" applyBorder="1" applyAlignment="1">
      <alignment horizontal="center" vertical="center" wrapText="1"/>
    </xf>
    <xf numFmtId="0" fontId="18" fillId="14" borderId="31" xfId="0" applyFont="1" applyFill="1" applyBorder="1" applyAlignment="1">
      <alignment horizontal="center" vertical="center" wrapText="1"/>
    </xf>
    <xf numFmtId="0" fontId="23" fillId="13" borderId="31" xfId="0" applyFont="1" applyFill="1" applyBorder="1" applyAlignment="1">
      <alignment horizontal="center" vertical="center" wrapText="1"/>
    </xf>
    <xf numFmtId="0" fontId="24" fillId="13" borderId="86" xfId="0" applyFont="1" applyFill="1" applyBorder="1" applyAlignment="1">
      <alignment horizontal="left" vertical="center" wrapText="1"/>
    </xf>
    <xf numFmtId="0" fontId="24" fillId="13" borderId="84" xfId="0" applyFont="1" applyFill="1" applyBorder="1" applyAlignment="1">
      <alignment horizontal="left" vertical="center" wrapText="1"/>
    </xf>
    <xf numFmtId="0" fontId="20" fillId="14" borderId="26" xfId="0" applyFont="1" applyFill="1" applyBorder="1" applyAlignment="1">
      <alignment horizontal="left" vertical="center" wrapText="1"/>
    </xf>
    <xf numFmtId="0" fontId="20" fillId="14" borderId="65" xfId="0" applyFont="1" applyFill="1" applyBorder="1" applyAlignment="1">
      <alignment horizontal="left" vertical="center" wrapText="1"/>
    </xf>
    <xf numFmtId="0" fontId="16" fillId="14" borderId="25" xfId="0" applyFont="1" applyFill="1" applyBorder="1" applyAlignment="1">
      <alignment horizontal="left" vertical="center" wrapText="1"/>
    </xf>
    <xf numFmtId="0" fontId="16" fillId="14" borderId="67" xfId="0" applyFont="1" applyFill="1" applyBorder="1" applyAlignment="1">
      <alignment horizontal="left" vertical="center" wrapText="1"/>
    </xf>
    <xf numFmtId="0" fontId="25" fillId="13" borderId="22" xfId="0" applyFont="1" applyFill="1" applyBorder="1" applyAlignment="1">
      <alignment horizontal="left" vertical="center" wrapText="1"/>
    </xf>
    <xf numFmtId="0" fontId="25" fillId="13" borderId="66" xfId="0" applyFont="1" applyFill="1" applyBorder="1" applyAlignment="1">
      <alignment horizontal="left" vertical="center" wrapText="1"/>
    </xf>
    <xf numFmtId="0" fontId="25" fillId="13" borderId="25" xfId="0" applyFont="1" applyFill="1" applyBorder="1" applyAlignment="1">
      <alignment horizontal="left" vertical="center" wrapText="1"/>
    </xf>
    <xf numFmtId="0" fontId="25" fillId="13" borderId="67" xfId="0" applyFont="1" applyFill="1" applyBorder="1" applyAlignment="1">
      <alignment horizontal="left" vertical="center" wrapText="1"/>
    </xf>
    <xf numFmtId="0" fontId="25" fillId="13" borderId="23" xfId="0" applyFont="1" applyFill="1" applyBorder="1" applyAlignment="1">
      <alignment horizontal="left" vertical="center" wrapText="1"/>
    </xf>
    <xf numFmtId="0" fontId="25" fillId="13" borderId="69" xfId="0" applyFont="1" applyFill="1" applyBorder="1" applyAlignment="1">
      <alignment horizontal="left" vertical="center" wrapText="1"/>
    </xf>
    <xf numFmtId="0" fontId="18" fillId="15" borderId="28" xfId="0" applyFont="1" applyFill="1" applyBorder="1" applyAlignment="1">
      <alignment horizontal="center" vertical="center" wrapText="1"/>
    </xf>
    <xf numFmtId="0" fontId="18" fillId="15" borderId="55" xfId="0" applyFont="1" applyFill="1" applyBorder="1" applyAlignment="1">
      <alignment horizontal="center" vertical="center" wrapText="1"/>
    </xf>
    <xf numFmtId="0" fontId="16" fillId="14" borderId="22" xfId="0" applyFont="1" applyFill="1" applyBorder="1" applyAlignment="1">
      <alignment horizontal="left" vertical="center" wrapText="1"/>
    </xf>
    <xf numFmtId="0" fontId="16" fillId="14" borderId="66" xfId="0" applyFont="1" applyFill="1" applyBorder="1" applyAlignment="1">
      <alignment horizontal="left" vertical="center" wrapText="1"/>
    </xf>
    <xf numFmtId="0" fontId="16" fillId="13" borderId="87" xfId="0" applyFont="1" applyFill="1" applyBorder="1" applyAlignment="1">
      <alignment horizontal="left" vertical="center" wrapText="1"/>
    </xf>
    <xf numFmtId="0" fontId="16" fillId="13" borderId="85" xfId="0" applyFont="1" applyFill="1" applyBorder="1" applyAlignment="1">
      <alignment horizontal="left" vertical="center" wrapText="1"/>
    </xf>
    <xf numFmtId="0" fontId="18" fillId="15" borderId="50" xfId="0" applyFont="1" applyFill="1" applyBorder="1" applyAlignment="1">
      <alignment horizontal="center" vertical="center" wrapText="1"/>
    </xf>
    <xf numFmtId="0" fontId="18" fillId="14" borderId="30" xfId="0" applyFont="1" applyFill="1" applyBorder="1" applyAlignment="1">
      <alignment horizontal="center" vertical="center" wrapText="1"/>
    </xf>
    <xf numFmtId="0" fontId="10" fillId="10" borderId="56" xfId="0" applyFont="1" applyFill="1" applyBorder="1" applyAlignment="1">
      <alignment horizontal="center" vertical="center" wrapText="1"/>
    </xf>
    <xf numFmtId="0" fontId="10" fillId="10" borderId="57" xfId="0" applyFont="1" applyFill="1" applyBorder="1" applyAlignment="1">
      <alignment horizontal="center" vertical="center" wrapText="1"/>
    </xf>
    <xf numFmtId="0" fontId="10" fillId="10" borderId="58" xfId="0" applyFont="1" applyFill="1" applyBorder="1" applyAlignment="1">
      <alignment horizontal="center" vertical="center" wrapText="1"/>
    </xf>
    <xf numFmtId="0" fontId="35" fillId="24" borderId="56" xfId="0" applyFont="1" applyFill="1" applyBorder="1" applyAlignment="1">
      <alignment horizontal="center" vertical="center"/>
    </xf>
    <xf numFmtId="0" fontId="35" fillId="24" borderId="58" xfId="0" applyFont="1" applyFill="1" applyBorder="1" applyAlignment="1">
      <alignment horizontal="center" vertical="center"/>
    </xf>
    <xf numFmtId="0" fontId="10" fillId="10" borderId="55" xfId="0" applyFont="1" applyFill="1" applyBorder="1" applyAlignment="1">
      <alignment horizontal="center"/>
    </xf>
    <xf numFmtId="0" fontId="10" fillId="10" borderId="95" xfId="0" applyFont="1" applyFill="1" applyBorder="1" applyAlignment="1">
      <alignment horizontal="center"/>
    </xf>
    <xf numFmtId="0" fontId="10" fillId="10" borderId="96" xfId="0" applyFont="1" applyFill="1" applyBorder="1" applyAlignment="1">
      <alignment horizontal="center"/>
    </xf>
    <xf numFmtId="0" fontId="10" fillId="10" borderId="72" xfId="0" applyFont="1" applyFill="1" applyBorder="1" applyAlignment="1">
      <alignment horizontal="center" vertical="center" wrapText="1"/>
    </xf>
    <xf numFmtId="0" fontId="1" fillId="22" borderId="88" xfId="0" applyFont="1" applyFill="1" applyBorder="1" applyAlignment="1">
      <alignment horizontal="left" vertical="center"/>
    </xf>
    <xf numFmtId="0" fontId="1" fillId="22" borderId="53" xfId="0" applyFont="1" applyFill="1" applyBorder="1" applyAlignment="1">
      <alignment horizontal="left" vertical="center"/>
    </xf>
    <xf numFmtId="0" fontId="1" fillId="22" borderId="82" xfId="0" applyFont="1" applyFill="1" applyBorder="1" applyAlignment="1">
      <alignment horizontal="left" vertical="center"/>
    </xf>
    <xf numFmtId="0" fontId="1" fillId="22" borderId="62" xfId="0" applyFont="1" applyFill="1" applyBorder="1" applyAlignment="1">
      <alignment horizontal="left" vertical="center"/>
    </xf>
    <xf numFmtId="0" fontId="1" fillId="22" borderId="91" xfId="0" applyFont="1" applyFill="1" applyBorder="1" applyAlignment="1">
      <alignment horizontal="left" vertical="center"/>
    </xf>
    <xf numFmtId="0" fontId="1" fillId="22" borderId="63" xfId="0" applyFont="1" applyFill="1" applyBorder="1" applyAlignment="1">
      <alignment horizontal="left" vertical="center"/>
    </xf>
    <xf numFmtId="0" fontId="1" fillId="22" borderId="26" xfId="0" applyFont="1" applyFill="1" applyBorder="1" applyAlignment="1">
      <alignment horizontal="left" vertical="center"/>
    </xf>
    <xf numFmtId="0" fontId="1" fillId="10" borderId="26" xfId="0" applyFont="1" applyFill="1" applyBorder="1" applyAlignment="1">
      <alignment horizontal="center" vertical="center"/>
    </xf>
    <xf numFmtId="0" fontId="1" fillId="10" borderId="22" xfId="0" applyFont="1" applyFill="1" applyBorder="1" applyAlignment="1">
      <alignment horizontal="center" vertical="center"/>
    </xf>
    <xf numFmtId="0" fontId="1" fillId="10" borderId="25" xfId="0" applyFont="1" applyFill="1" applyBorder="1" applyAlignment="1">
      <alignment horizontal="center" vertical="center"/>
    </xf>
    <xf numFmtId="2" fontId="1" fillId="10" borderId="65" xfId="0" applyNumberFormat="1" applyFont="1" applyFill="1" applyBorder="1" applyAlignment="1">
      <alignment horizontal="center" vertical="center"/>
    </xf>
    <xf numFmtId="2" fontId="1" fillId="10" borderId="66" xfId="0" applyNumberFormat="1" applyFont="1" applyFill="1" applyBorder="1" applyAlignment="1">
      <alignment horizontal="center" vertical="center"/>
    </xf>
    <xf numFmtId="2" fontId="1" fillId="10" borderId="67" xfId="0" applyNumberFormat="1" applyFont="1" applyFill="1" applyBorder="1" applyAlignment="1">
      <alignment horizontal="center" vertical="center"/>
    </xf>
    <xf numFmtId="0" fontId="1" fillId="10" borderId="86" xfId="0" applyFont="1" applyFill="1" applyBorder="1" applyAlignment="1">
      <alignment horizontal="center" vertical="center"/>
    </xf>
    <xf numFmtId="0" fontId="1" fillId="10" borderId="23" xfId="0" applyFont="1" applyFill="1" applyBorder="1" applyAlignment="1">
      <alignment horizontal="center" vertical="center"/>
    </xf>
    <xf numFmtId="2" fontId="1" fillId="10" borderId="84" xfId="0" applyNumberFormat="1" applyFont="1" applyFill="1" applyBorder="1" applyAlignment="1">
      <alignment horizontal="center" vertical="center"/>
    </xf>
    <xf numFmtId="2" fontId="1" fillId="10" borderId="69" xfId="0" applyNumberFormat="1" applyFont="1" applyFill="1" applyBorder="1" applyAlignment="1">
      <alignment horizontal="center" vertical="center"/>
    </xf>
    <xf numFmtId="0" fontId="1" fillId="22" borderId="22" xfId="0" applyFont="1" applyFill="1" applyBorder="1" applyAlignment="1">
      <alignment horizontal="left" vertical="center"/>
    </xf>
    <xf numFmtId="0" fontId="2" fillId="22" borderId="51" xfId="0" applyFont="1" applyFill="1" applyBorder="1" applyAlignment="1">
      <alignment horizontal="center" vertical="center"/>
    </xf>
    <xf numFmtId="0" fontId="2" fillId="22" borderId="30" xfId="0" applyFont="1" applyFill="1" applyBorder="1" applyAlignment="1">
      <alignment horizontal="center" vertical="center"/>
    </xf>
    <xf numFmtId="0" fontId="2" fillId="22" borderId="31" xfId="0" applyFont="1" applyFill="1" applyBorder="1" applyAlignment="1">
      <alignment horizontal="center" vertical="center"/>
    </xf>
    <xf numFmtId="0" fontId="2" fillId="22" borderId="26" xfId="0" applyFont="1" applyFill="1" applyBorder="1" applyAlignment="1">
      <alignment horizontal="center" vertical="center"/>
    </xf>
    <xf numFmtId="0" fontId="2" fillId="22" borderId="22" xfId="0" applyFont="1" applyFill="1" applyBorder="1" applyAlignment="1">
      <alignment horizontal="center" vertical="center"/>
    </xf>
    <xf numFmtId="0" fontId="2" fillId="22" borderId="25" xfId="0" applyFont="1" applyFill="1" applyBorder="1" applyAlignment="1">
      <alignment horizontal="center" vertical="center"/>
    </xf>
    <xf numFmtId="2" fontId="2" fillId="22" borderId="88" xfId="0" applyNumberFormat="1" applyFont="1" applyFill="1" applyBorder="1" applyAlignment="1">
      <alignment horizontal="center" vertical="center"/>
    </xf>
    <xf numFmtId="2" fontId="2" fillId="22" borderId="82" xfId="0" applyNumberFormat="1" applyFont="1" applyFill="1" applyBorder="1" applyAlignment="1">
      <alignment horizontal="center" vertical="center"/>
    </xf>
    <xf numFmtId="2" fontId="2" fillId="22" borderId="91" xfId="0" applyNumberFormat="1" applyFont="1" applyFill="1" applyBorder="1" applyAlignment="1">
      <alignment horizontal="center" vertical="center"/>
    </xf>
    <xf numFmtId="2" fontId="2" fillId="22" borderId="71" xfId="0" applyNumberFormat="1" applyFont="1" applyFill="1" applyBorder="1" applyAlignment="1">
      <alignment horizontal="center" vertical="center"/>
    </xf>
    <xf numFmtId="0" fontId="1" fillId="22" borderId="25" xfId="0" applyFont="1" applyFill="1" applyBorder="1" applyAlignment="1">
      <alignment horizontal="left" vertical="center"/>
    </xf>
    <xf numFmtId="0" fontId="1" fillId="22" borderId="86" xfId="0" applyFont="1" applyFill="1" applyBorder="1" applyAlignment="1">
      <alignment horizontal="left" vertical="center"/>
    </xf>
    <xf numFmtId="0" fontId="1" fillId="22" borderId="71" xfId="0" applyFont="1" applyFill="1" applyBorder="1" applyAlignment="1">
      <alignment horizontal="left" vertical="center"/>
    </xf>
    <xf numFmtId="0" fontId="2" fillId="22" borderId="70" xfId="0" applyFont="1" applyFill="1" applyBorder="1" applyAlignment="1">
      <alignment horizontal="center" vertical="center"/>
    </xf>
    <xf numFmtId="0" fontId="2" fillId="22" borderId="86" xfId="0" applyFont="1" applyFill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" fillId="25" borderId="44" xfId="0" applyFont="1" applyFill="1" applyBorder="1" applyAlignment="1">
      <alignment horizontal="left" vertical="top"/>
    </xf>
    <xf numFmtId="0" fontId="1" fillId="25" borderId="45" xfId="0" applyFont="1" applyFill="1" applyBorder="1" applyAlignment="1">
      <alignment horizontal="left" vertical="top"/>
    </xf>
    <xf numFmtId="0" fontId="1" fillId="25" borderId="46" xfId="0" applyFont="1" applyFill="1" applyBorder="1" applyAlignment="1">
      <alignment horizontal="left" vertical="center"/>
    </xf>
    <xf numFmtId="0" fontId="1" fillId="25" borderId="47" xfId="0" applyFont="1" applyFill="1" applyBorder="1" applyAlignment="1">
      <alignment horizontal="left" vertical="center"/>
    </xf>
    <xf numFmtId="0" fontId="1" fillId="25" borderId="48" xfId="0" applyFont="1" applyFill="1" applyBorder="1" applyAlignment="1">
      <alignment horizontal="left" vertical="center"/>
    </xf>
    <xf numFmtId="0" fontId="36" fillId="24" borderId="51" xfId="0" applyFont="1" applyFill="1" applyBorder="1" applyAlignment="1">
      <alignment horizontal="center" vertical="center"/>
    </xf>
    <xf numFmtId="0" fontId="36" fillId="24" borderId="26" xfId="0" applyFont="1" applyFill="1" applyBorder="1" applyAlignment="1">
      <alignment horizontal="center" vertical="center"/>
    </xf>
    <xf numFmtId="0" fontId="36" fillId="24" borderId="65" xfId="0" applyFont="1" applyFill="1" applyBorder="1" applyAlignment="1">
      <alignment horizontal="center" vertical="center"/>
    </xf>
    <xf numFmtId="0" fontId="31" fillId="27" borderId="28" xfId="0" applyFont="1" applyFill="1" applyBorder="1" applyAlignment="1">
      <alignment horizontal="center" vertical="center"/>
    </xf>
    <xf numFmtId="0" fontId="31" fillId="27" borderId="50" xfId="0" applyFont="1" applyFill="1" applyBorder="1" applyAlignment="1">
      <alignment horizontal="center" vertical="center"/>
    </xf>
    <xf numFmtId="0" fontId="31" fillId="27" borderId="55" xfId="0" applyFont="1" applyFill="1" applyBorder="1" applyAlignment="1">
      <alignment horizontal="center" vertical="center"/>
    </xf>
    <xf numFmtId="0" fontId="31" fillId="26" borderId="92" xfId="0" applyFont="1" applyFill="1" applyBorder="1" applyAlignment="1">
      <alignment horizontal="right" vertical="center"/>
    </xf>
    <xf numFmtId="0" fontId="31" fillId="26" borderId="80" xfId="0" applyFont="1" applyFill="1" applyBorder="1" applyAlignment="1">
      <alignment horizontal="right" vertical="center"/>
    </xf>
    <xf numFmtId="0" fontId="35" fillId="3" borderId="89" xfId="0" applyFont="1" applyFill="1" applyBorder="1" applyAlignment="1">
      <alignment horizontal="center" vertical="center" wrapText="1"/>
    </xf>
    <xf numFmtId="0" fontId="35" fillId="3" borderId="50" xfId="0" applyFont="1" applyFill="1" applyBorder="1" applyAlignment="1">
      <alignment horizontal="center" vertical="center" wrapText="1"/>
    </xf>
    <xf numFmtId="0" fontId="35" fillId="3" borderId="90" xfId="0" applyFont="1" applyFill="1" applyBorder="1" applyAlignment="1">
      <alignment horizontal="center" vertical="center" wrapText="1"/>
    </xf>
    <xf numFmtId="0" fontId="35" fillId="3" borderId="93" xfId="0" applyFont="1" applyFill="1" applyBorder="1" applyAlignment="1">
      <alignment horizontal="center" vertical="center" wrapText="1"/>
    </xf>
    <xf numFmtId="0" fontId="35" fillId="3" borderId="86" xfId="0" applyFont="1" applyFill="1" applyBorder="1" applyAlignment="1">
      <alignment horizontal="center" vertical="center" wrapText="1"/>
    </xf>
    <xf numFmtId="0" fontId="35" fillId="3" borderId="70" xfId="0" applyFont="1" applyFill="1" applyBorder="1" applyAlignment="1">
      <alignment horizontal="center" vertical="center" wrapText="1"/>
    </xf>
    <xf numFmtId="0" fontId="35" fillId="3" borderId="31" xfId="0" applyFont="1" applyFill="1" applyBorder="1" applyAlignment="1">
      <alignment horizontal="center" vertical="center" wrapText="1"/>
    </xf>
    <xf numFmtId="0" fontId="10" fillId="0" borderId="100" xfId="0" applyFont="1" applyFill="1" applyBorder="1" applyAlignment="1">
      <alignment horizontal="left" vertical="center"/>
    </xf>
    <xf numFmtId="0" fontId="10" fillId="0" borderId="101" xfId="0" applyFont="1" applyFill="1" applyBorder="1" applyAlignment="1">
      <alignment horizontal="left" vertical="center"/>
    </xf>
    <xf numFmtId="0" fontId="10" fillId="0" borderId="102" xfId="0" applyFont="1" applyFill="1" applyBorder="1" applyAlignment="1">
      <alignment horizontal="left" vertical="center"/>
    </xf>
    <xf numFmtId="0" fontId="10" fillId="0" borderId="5" xfId="0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left" vertical="center"/>
    </xf>
    <xf numFmtId="0" fontId="10" fillId="0" borderId="7" xfId="0" applyFont="1" applyFill="1" applyBorder="1" applyAlignment="1">
      <alignment horizontal="left" vertical="center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22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/>
        <color rgb="FFFFFF00"/>
      </font>
      <fill>
        <patternFill>
          <bgColor rgb="FFFF0000"/>
        </patternFill>
      </fill>
    </dxf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color indexed="17"/>
      </font>
      <fill>
        <patternFill patternType="solid">
          <fgColor indexed="41"/>
          <bgColor indexed="2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800"/>
              <a:t>% por Tipo de Função</a:t>
            </a:r>
          </a:p>
        </c:rich>
      </c:tx>
      <c:layout>
        <c:manualLayout>
          <c:xMode val="edge"/>
          <c:yMode val="edge"/>
          <c:x val="0.23318432729541091"/>
          <c:y val="5.46876640419947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045439817186237"/>
          <c:y val="0.22592641123748625"/>
          <c:w val="0.29122327778688029"/>
          <c:h val="0.76236700036689542"/>
        </c:manualLayout>
      </c:layout>
      <c:pieChart>
        <c:varyColors val="1"/>
        <c:ser>
          <c:idx val="0"/>
          <c:order val="0"/>
          <c:spPr>
            <a:solidFill>
              <a:srgbClr val="99CCFF"/>
            </a:solidFill>
            <a:ln w="3175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F52-4378-83FA-BD728E6D00A1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F52-4378-83FA-BD728E6D00A1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F52-4378-83FA-BD728E6D00A1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F52-4378-83FA-BD728E6D00A1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317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F52-4378-83FA-BD728E6D00A1}"/>
              </c:ext>
            </c:extLst>
          </c:dPt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52-4378-83FA-BD728E6D00A1}"/>
                </c:ext>
              </c:extLst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F52-4378-83FA-BD728E6D00A1}"/>
                </c:ext>
              </c:extLst>
            </c:dLbl>
            <c:dLbl>
              <c:idx val="2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F52-4378-83FA-BD728E6D00A1}"/>
                </c:ext>
              </c:extLst>
            </c:dLbl>
            <c:dLbl>
              <c:idx val="3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F52-4378-83FA-BD728E6D00A1}"/>
                </c:ext>
              </c:extLst>
            </c:dLbl>
            <c:dLbl>
              <c:idx val="4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F52-4378-83FA-BD728E6D00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(Sumário!$I$14,Sumário!$I$21,Sumário!$I$28,Sumário!$I$35,Sumário!$I$42)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F52-4378-83FA-BD728E6D0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392722554827604"/>
          <c:y val="4.0193253562001173E-2"/>
          <c:w val="7.8657901946500686E-2"/>
          <c:h val="0.92880917893995396"/>
        </c:manualLayout>
      </c:layout>
      <c:overlay val="0"/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  <c:txPr>
        <a:bodyPr/>
        <a:lstStyle/>
        <a:p>
          <a:pPr rtl="0">
            <a:defRPr sz="5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0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288706</xdr:colOff>
      <xdr:row>3</xdr:row>
      <xdr:rowOff>57150</xdr:rowOff>
    </xdr:to>
    <xdr:pic>
      <xdr:nvPicPr>
        <xdr:cNvPr id="1155" name="Imagem 2" descr="Marca Dominante duas linha_origina.png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96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4</xdr:row>
          <xdr:rowOff>9525</xdr:rowOff>
        </xdr:from>
        <xdr:to>
          <xdr:col>4</xdr:col>
          <xdr:colOff>352425</xdr:colOff>
          <xdr:row>5</xdr:row>
          <xdr:rowOff>9525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Atualiza Sistemas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495300</xdr:colOff>
      <xdr:row>3</xdr:row>
      <xdr:rowOff>57150</xdr:rowOff>
    </xdr:to>
    <xdr:pic>
      <xdr:nvPicPr>
        <xdr:cNvPr id="2181" name="Imagem 2" descr="Marca Dominante duas linha_origina.png">
          <a:extLst>
            <a:ext uri="{FF2B5EF4-FFF2-40B4-BE49-F238E27FC236}">
              <a16:creationId xmlns:a16="http://schemas.microsoft.com/office/drawing/2014/main" id="{00000000-0008-0000-0100-00008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96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123825</xdr:colOff>
          <xdr:row>0</xdr:row>
          <xdr:rowOff>114300</xdr:rowOff>
        </xdr:from>
        <xdr:to>
          <xdr:col>14</xdr:col>
          <xdr:colOff>428625</xdr:colOff>
          <xdr:row>2</xdr:row>
          <xdr:rowOff>28575</xdr:rowOff>
        </xdr:to>
        <xdr:sp macro="" textlink="">
          <xdr:nvSpPr>
            <xdr:cNvPr id="2056" name="Button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pt-BR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Carregar  Baseline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78827</xdr:colOff>
      <xdr:row>43</xdr:row>
      <xdr:rowOff>14105</xdr:rowOff>
    </xdr:from>
    <xdr:to>
      <xdr:col>14</xdr:col>
      <xdr:colOff>65689</xdr:colOff>
      <xdr:row>50</xdr:row>
      <xdr:rowOff>162383</xdr:rowOff>
    </xdr:to>
    <xdr:graphicFrame macro="">
      <xdr:nvGraphicFramePr>
        <xdr:cNvPr id="3334" name="Gráfico 10">
          <a:extLst>
            <a:ext uri="{FF2B5EF4-FFF2-40B4-BE49-F238E27FC236}">
              <a16:creationId xmlns:a16="http://schemas.microsoft.com/office/drawing/2014/main" id="{00000000-0008-0000-0200-0000060D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266700</xdr:colOff>
      <xdr:row>3</xdr:row>
      <xdr:rowOff>57150</xdr:rowOff>
    </xdr:to>
    <xdr:pic>
      <xdr:nvPicPr>
        <xdr:cNvPr id="3335" name="Imagem 3" descr="Marca Dominante duas linha_origina.png">
          <a:extLst>
            <a:ext uri="{FF2B5EF4-FFF2-40B4-BE49-F238E27FC236}">
              <a16:creationId xmlns:a16="http://schemas.microsoft.com/office/drawing/2014/main" id="{00000000-0008-0000-0200-000007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96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1102519</xdr:colOff>
      <xdr:row>3</xdr:row>
      <xdr:rowOff>57150</xdr:rowOff>
    </xdr:to>
    <xdr:pic>
      <xdr:nvPicPr>
        <xdr:cNvPr id="15511" name="Imagem 2" descr="Marca Dominante duas linha_origina.png">
          <a:extLst>
            <a:ext uri="{FF2B5EF4-FFF2-40B4-BE49-F238E27FC236}">
              <a16:creationId xmlns:a16="http://schemas.microsoft.com/office/drawing/2014/main" id="{00000000-0008-0000-0300-000097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049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16</xdr:col>
      <xdr:colOff>676275</xdr:colOff>
      <xdr:row>39</xdr:row>
      <xdr:rowOff>0</xdr:rowOff>
    </xdr:from>
    <xdr:ext cx="184731" cy="264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3914775" y="5943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1697</xdr:colOff>
      <xdr:row>1</xdr:row>
      <xdr:rowOff>3777</xdr:rowOff>
    </xdr:from>
    <xdr:to>
      <xdr:col>1</xdr:col>
      <xdr:colOff>1001602</xdr:colOff>
      <xdr:row>4</xdr:row>
      <xdr:rowOff>16767</xdr:rowOff>
    </xdr:to>
    <xdr:pic>
      <xdr:nvPicPr>
        <xdr:cNvPr id="5" name="Imagem 2" descr="Marca Dominante duas linha_origina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7" y="3777"/>
          <a:ext cx="1002742" cy="467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4"/>
  <dimension ref="A1:AF228"/>
  <sheetViews>
    <sheetView showGridLines="0" view="pageBreakPreview" zoomScaleSheetLayoutView="100" workbookViewId="0">
      <selection activeCell="L11" sqref="L11"/>
    </sheetView>
  </sheetViews>
  <sheetFormatPr defaultColWidth="9.140625" defaultRowHeight="13.5" x14ac:dyDescent="0.25"/>
  <cols>
    <col min="1" max="4" width="2.5703125" style="1" customWidth="1"/>
    <col min="5" max="5" width="5.42578125" style="1" customWidth="1"/>
    <col min="6" max="6" width="5.5703125" style="1" customWidth="1"/>
    <col min="7" max="17" width="2.5703125" style="1" customWidth="1"/>
    <col min="18" max="18" width="4.42578125" style="1" customWidth="1"/>
    <col min="19" max="19" width="3.42578125" style="1" customWidth="1"/>
    <col min="20" max="78" width="2.5703125" style="1" customWidth="1"/>
    <col min="79" max="16384" width="9.140625" style="1"/>
  </cols>
  <sheetData>
    <row r="1" spans="1:32" ht="12" customHeight="1" x14ac:dyDescent="0.25">
      <c r="A1" s="272" t="s">
        <v>301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</row>
    <row r="2" spans="1:32" ht="12" customHeight="1" x14ac:dyDescent="0.25">
      <c r="A2" s="272"/>
      <c r="B2" s="272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2"/>
      <c r="Z2" s="272"/>
      <c r="AA2" s="272"/>
      <c r="AB2" s="272"/>
      <c r="AC2" s="272"/>
      <c r="AD2" s="272"/>
    </row>
    <row r="3" spans="1:32" ht="12" customHeight="1" x14ac:dyDescent="0.25">
      <c r="A3" s="272"/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  <c r="AC3" s="272"/>
      <c r="AD3" s="272"/>
    </row>
    <row r="4" spans="1:32" x14ac:dyDescent="0.25">
      <c r="A4" s="265" t="s">
        <v>0</v>
      </c>
      <c r="B4" s="265"/>
      <c r="C4" s="265"/>
      <c r="D4" s="265"/>
      <c r="E4" s="265"/>
      <c r="F4" s="273" t="s">
        <v>315</v>
      </c>
      <c r="G4" s="273"/>
      <c r="H4" s="273"/>
      <c r="I4" s="273"/>
      <c r="J4" s="273"/>
      <c r="K4" s="273"/>
      <c r="L4" s="273"/>
      <c r="M4" s="273"/>
      <c r="N4" s="273"/>
      <c r="O4" s="273"/>
      <c r="P4" s="273"/>
      <c r="Q4" s="273"/>
      <c r="R4" s="274" t="s">
        <v>1</v>
      </c>
      <c r="S4" s="274"/>
      <c r="T4" s="275">
        <v>0</v>
      </c>
      <c r="U4" s="275"/>
      <c r="V4" s="275"/>
      <c r="W4" s="261" t="s">
        <v>2</v>
      </c>
      <c r="X4" s="261"/>
      <c r="Y4" s="276">
        <f>Y5*T4</f>
        <v>0</v>
      </c>
      <c r="Z4" s="276"/>
      <c r="AA4" s="276"/>
      <c r="AB4" s="276"/>
      <c r="AC4" s="276"/>
      <c r="AD4" s="276"/>
    </row>
    <row r="5" spans="1:32" x14ac:dyDescent="0.25">
      <c r="A5" s="265" t="s">
        <v>198</v>
      </c>
      <c r="B5" s="265"/>
      <c r="C5" s="265"/>
      <c r="D5" s="265"/>
      <c r="E5" s="265"/>
      <c r="F5" s="269"/>
      <c r="G5" s="270"/>
      <c r="H5" s="270"/>
      <c r="I5" s="270"/>
      <c r="J5" s="270"/>
      <c r="K5" s="270"/>
      <c r="L5" s="270"/>
      <c r="M5" s="270"/>
      <c r="N5" s="270"/>
      <c r="O5" s="270"/>
      <c r="P5" s="270"/>
      <c r="Q5" s="270"/>
      <c r="R5" s="270"/>
      <c r="S5" s="270"/>
      <c r="T5" s="270"/>
      <c r="U5" s="270"/>
      <c r="V5" s="271"/>
      <c r="W5" s="268" t="s">
        <v>3</v>
      </c>
      <c r="X5" s="261"/>
      <c r="Y5" s="256">
        <f>SUM(AA11:AA14)</f>
        <v>0</v>
      </c>
      <c r="Z5" s="256"/>
      <c r="AA5" s="256"/>
      <c r="AB5" s="256"/>
      <c r="AC5" s="256"/>
      <c r="AD5" s="256"/>
    </row>
    <row r="6" spans="1:32" x14ac:dyDescent="0.25">
      <c r="A6" s="265" t="s">
        <v>4</v>
      </c>
      <c r="B6" s="265"/>
      <c r="C6" s="265"/>
      <c r="D6" s="265"/>
      <c r="E6" s="265"/>
      <c r="F6" s="266"/>
      <c r="G6" s="266"/>
      <c r="H6" s="266"/>
      <c r="I6" s="266"/>
      <c r="J6" s="266"/>
      <c r="K6" s="266"/>
      <c r="L6" s="266"/>
      <c r="M6" s="266"/>
      <c r="N6" s="266"/>
      <c r="O6" s="266"/>
      <c r="P6" s="266"/>
      <c r="Q6" s="266"/>
      <c r="R6" s="266"/>
      <c r="S6" s="266"/>
      <c r="T6" s="266"/>
      <c r="U6" s="266"/>
      <c r="V6" s="266"/>
      <c r="W6" s="267"/>
      <c r="X6" s="267"/>
      <c r="Y6" s="267"/>
      <c r="Z6" s="267"/>
      <c r="AA6" s="267"/>
      <c r="AB6" s="267"/>
      <c r="AC6" s="267"/>
      <c r="AD6" s="267"/>
    </row>
    <row r="7" spans="1:32" x14ac:dyDescent="0.25">
      <c r="A7" s="265" t="s">
        <v>5</v>
      </c>
      <c r="B7" s="265"/>
      <c r="C7" s="265"/>
      <c r="D7" s="265"/>
      <c r="E7" s="265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2" t="s">
        <v>6</v>
      </c>
      <c r="X7" s="262"/>
      <c r="Y7" s="262"/>
      <c r="Z7" s="264"/>
      <c r="AA7" s="264"/>
      <c r="AB7" s="264"/>
      <c r="AC7" s="264"/>
      <c r="AD7" s="264"/>
    </row>
    <row r="8" spans="1:32" x14ac:dyDescent="0.25">
      <c r="A8" s="265" t="s">
        <v>7</v>
      </c>
      <c r="B8" s="265"/>
      <c r="C8" s="265"/>
      <c r="D8" s="265"/>
      <c r="E8" s="265"/>
      <c r="F8" s="267"/>
      <c r="G8" s="267"/>
      <c r="H8" s="267"/>
      <c r="I8" s="267"/>
      <c r="J8" s="267"/>
      <c r="K8" s="267"/>
      <c r="L8" s="267"/>
      <c r="M8" s="267"/>
      <c r="N8" s="267"/>
      <c r="O8" s="267"/>
      <c r="P8" s="267"/>
      <c r="Q8" s="267"/>
      <c r="R8" s="267"/>
      <c r="S8" s="267"/>
      <c r="T8" s="267"/>
      <c r="U8" s="267"/>
      <c r="V8" s="267"/>
      <c r="W8" s="262" t="s">
        <v>8</v>
      </c>
      <c r="X8" s="262"/>
      <c r="Y8" s="262"/>
      <c r="Z8" s="264"/>
      <c r="AA8" s="264"/>
      <c r="AB8" s="264"/>
      <c r="AC8" s="264"/>
      <c r="AD8" s="264"/>
    </row>
    <row r="10" spans="1:32" x14ac:dyDescent="0.25">
      <c r="A10" s="259" t="s">
        <v>9</v>
      </c>
      <c r="B10" s="259"/>
      <c r="C10" s="260" t="s">
        <v>10</v>
      </c>
      <c r="D10" s="260"/>
      <c r="E10" s="260"/>
      <c r="F10" s="260"/>
      <c r="G10" s="260"/>
      <c r="H10" s="260"/>
      <c r="I10" s="260"/>
      <c r="J10" s="260"/>
      <c r="K10" s="260"/>
      <c r="L10" s="2"/>
      <c r="M10" s="3"/>
      <c r="N10" s="3"/>
      <c r="O10" s="263" t="s">
        <v>11</v>
      </c>
      <c r="P10" s="263"/>
      <c r="Q10" s="261" t="s">
        <v>12</v>
      </c>
      <c r="R10" s="261"/>
      <c r="S10" s="261"/>
      <c r="T10" s="261"/>
      <c r="U10" s="261"/>
      <c r="V10" s="261"/>
      <c r="W10" s="261" t="s">
        <v>69</v>
      </c>
      <c r="X10" s="261"/>
      <c r="Y10" s="261"/>
      <c r="Z10" s="261"/>
      <c r="AA10" s="261" t="s">
        <v>60</v>
      </c>
      <c r="AB10" s="261"/>
      <c r="AC10" s="261"/>
      <c r="AD10" s="261"/>
      <c r="AE10" s="4"/>
      <c r="AF10" s="4"/>
    </row>
    <row r="11" spans="1:32" x14ac:dyDescent="0.25">
      <c r="A11" s="259"/>
      <c r="B11" s="259"/>
      <c r="C11" s="260" t="s">
        <v>13</v>
      </c>
      <c r="D11" s="260"/>
      <c r="E11" s="260"/>
      <c r="F11" s="260"/>
      <c r="G11" s="260"/>
      <c r="H11" s="260"/>
      <c r="I11" s="260"/>
      <c r="J11" s="260"/>
      <c r="K11" s="260"/>
      <c r="L11" s="2"/>
      <c r="M11" s="3"/>
      <c r="N11" s="3"/>
      <c r="O11" s="263"/>
      <c r="P11" s="263"/>
      <c r="Q11" s="262" t="s">
        <v>14</v>
      </c>
      <c r="R11" s="262"/>
      <c r="S11" s="256">
        <f>Sumário!E55</f>
        <v>0</v>
      </c>
      <c r="T11" s="256"/>
      <c r="U11" s="256"/>
      <c r="V11" s="256"/>
      <c r="W11" s="255">
        <v>1</v>
      </c>
      <c r="X11" s="255"/>
      <c r="Y11" s="255"/>
      <c r="Z11" s="255"/>
      <c r="AA11" s="256">
        <f>S11*W11</f>
        <v>0</v>
      </c>
      <c r="AB11" s="256"/>
      <c r="AC11" s="256"/>
      <c r="AD11" s="256"/>
    </row>
    <row r="12" spans="1:32" x14ac:dyDescent="0.25">
      <c r="A12" s="259"/>
      <c r="B12" s="259"/>
      <c r="C12" s="260" t="s">
        <v>15</v>
      </c>
      <c r="D12" s="260"/>
      <c r="E12" s="260"/>
      <c r="F12" s="260"/>
      <c r="G12" s="260"/>
      <c r="H12" s="260"/>
      <c r="I12" s="260"/>
      <c r="J12" s="260"/>
      <c r="K12" s="260"/>
      <c r="L12" s="2"/>
      <c r="M12" s="3"/>
      <c r="N12" s="3"/>
      <c r="O12" s="263"/>
      <c r="P12" s="263"/>
      <c r="Q12" s="257" t="s">
        <v>16</v>
      </c>
      <c r="R12" s="257"/>
      <c r="S12" s="256">
        <f>Sumário!E56</f>
        <v>0</v>
      </c>
      <c r="T12" s="256"/>
      <c r="U12" s="256"/>
      <c r="V12" s="256"/>
      <c r="W12" s="255">
        <v>0.3</v>
      </c>
      <c r="X12" s="255"/>
      <c r="Y12" s="255"/>
      <c r="Z12" s="255"/>
      <c r="AA12" s="256">
        <f>S12*W12</f>
        <v>0</v>
      </c>
      <c r="AB12" s="256"/>
      <c r="AC12" s="256"/>
      <c r="AD12" s="256"/>
    </row>
    <row r="13" spans="1:32" x14ac:dyDescent="0.25">
      <c r="A13" s="259"/>
      <c r="B13" s="259"/>
      <c r="C13" s="260" t="s">
        <v>17</v>
      </c>
      <c r="D13" s="260"/>
      <c r="E13" s="260"/>
      <c r="F13" s="260"/>
      <c r="G13" s="260"/>
      <c r="H13" s="260"/>
      <c r="I13" s="260"/>
      <c r="J13" s="260"/>
      <c r="K13" s="260"/>
      <c r="L13" s="2"/>
      <c r="M13" s="3"/>
      <c r="N13" s="3"/>
      <c r="O13" s="263"/>
      <c r="P13" s="263"/>
      <c r="Q13" s="257" t="s">
        <v>18</v>
      </c>
      <c r="R13" s="257"/>
      <c r="S13" s="256">
        <f>Sumário!E57</f>
        <v>0</v>
      </c>
      <c r="T13" s="256"/>
      <c r="U13" s="256"/>
      <c r="V13" s="256"/>
      <c r="W13" s="255">
        <v>0.3</v>
      </c>
      <c r="X13" s="255"/>
      <c r="Y13" s="255"/>
      <c r="Z13" s="255"/>
      <c r="AA13" s="256">
        <f>S13*W13</f>
        <v>0</v>
      </c>
      <c r="AB13" s="256"/>
      <c r="AC13" s="256"/>
      <c r="AD13" s="256"/>
    </row>
    <row r="14" spans="1:32" x14ac:dyDescent="0.25">
      <c r="A14" s="259"/>
      <c r="B14" s="259"/>
      <c r="C14" s="260" t="s">
        <v>170</v>
      </c>
      <c r="D14" s="260"/>
      <c r="E14" s="260"/>
      <c r="F14" s="260"/>
      <c r="G14" s="260"/>
      <c r="H14" s="260"/>
      <c r="I14" s="260"/>
      <c r="J14" s="260"/>
      <c r="K14" s="260"/>
      <c r="L14" s="2"/>
      <c r="M14" s="3"/>
      <c r="N14" s="3"/>
      <c r="O14" s="263"/>
      <c r="P14" s="263"/>
      <c r="Q14" s="257" t="s">
        <v>57</v>
      </c>
      <c r="R14" s="257"/>
      <c r="S14" s="256">
        <f>Sumário!E58</f>
        <v>0</v>
      </c>
      <c r="T14" s="256"/>
      <c r="U14" s="256"/>
      <c r="V14" s="256"/>
      <c r="W14" s="255">
        <v>0.15</v>
      </c>
      <c r="X14" s="255"/>
      <c r="Y14" s="255"/>
      <c r="Z14" s="255"/>
      <c r="AA14" s="256">
        <f>S14*W14</f>
        <v>0</v>
      </c>
      <c r="AB14" s="256"/>
      <c r="AC14" s="256"/>
      <c r="AD14" s="256"/>
    </row>
    <row r="15" spans="1:32" ht="12" customHeight="1" x14ac:dyDescent="0.25"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6"/>
      <c r="S15" s="5"/>
    </row>
    <row r="16" spans="1:32" ht="12" customHeight="1" x14ac:dyDescent="0.3">
      <c r="B16" s="7"/>
      <c r="C16" s="7"/>
      <c r="F16" s="7"/>
      <c r="G16" s="7"/>
      <c r="H16" s="7"/>
      <c r="I16" s="7"/>
      <c r="J16" s="5"/>
      <c r="K16" s="258" t="s">
        <v>19</v>
      </c>
      <c r="L16" s="258"/>
      <c r="M16" s="258"/>
      <c r="N16" s="258"/>
      <c r="O16" s="258"/>
      <c r="P16" s="258"/>
      <c r="Q16" s="258"/>
      <c r="R16" s="258"/>
      <c r="S16" s="258"/>
    </row>
    <row r="17" spans="1:30" ht="12" customHeight="1" x14ac:dyDescent="0.25">
      <c r="A17" s="254"/>
      <c r="B17" s="254"/>
      <c r="C17" s="254"/>
      <c r="D17" s="254"/>
      <c r="E17" s="254"/>
      <c r="F17" s="254"/>
      <c r="G17" s="254"/>
      <c r="H17" s="254"/>
      <c r="I17" s="254"/>
      <c r="J17" s="254"/>
      <c r="K17" s="254"/>
      <c r="L17" s="254"/>
      <c r="M17" s="254"/>
      <c r="N17" s="254"/>
      <c r="O17" s="254"/>
      <c r="P17" s="254"/>
      <c r="Q17" s="254"/>
      <c r="R17" s="254"/>
      <c r="S17" s="254"/>
      <c r="T17" s="254"/>
      <c r="U17" s="254"/>
      <c r="V17" s="254"/>
      <c r="W17" s="254"/>
      <c r="X17" s="254"/>
      <c r="Y17" s="254"/>
      <c r="Z17" s="254"/>
      <c r="AA17" s="254"/>
      <c r="AB17" s="254"/>
      <c r="AC17" s="254"/>
      <c r="AD17" s="254"/>
    </row>
    <row r="18" spans="1:30" ht="12" customHeight="1" x14ac:dyDescent="0.25">
      <c r="A18" s="254"/>
      <c r="B18" s="254"/>
      <c r="C18" s="254"/>
      <c r="D18" s="254"/>
      <c r="E18" s="254"/>
      <c r="F18" s="254"/>
      <c r="G18" s="254"/>
      <c r="H18" s="254"/>
      <c r="I18" s="254"/>
      <c r="J18" s="254"/>
      <c r="K18" s="254"/>
      <c r="L18" s="254"/>
      <c r="M18" s="254"/>
      <c r="N18" s="254"/>
      <c r="O18" s="254"/>
      <c r="P18" s="254"/>
      <c r="Q18" s="254"/>
      <c r="R18" s="254"/>
      <c r="S18" s="254"/>
      <c r="T18" s="254"/>
      <c r="U18" s="254"/>
      <c r="V18" s="254"/>
      <c r="W18" s="254"/>
      <c r="X18" s="254"/>
      <c r="Y18" s="254"/>
      <c r="Z18" s="254"/>
      <c r="AA18" s="254"/>
      <c r="AB18" s="254"/>
      <c r="AC18" s="254"/>
      <c r="AD18" s="254"/>
    </row>
    <row r="19" spans="1:30" ht="12" customHeight="1" x14ac:dyDescent="0.25">
      <c r="A19" s="254"/>
      <c r="B19" s="254"/>
      <c r="C19" s="254"/>
      <c r="D19" s="254"/>
      <c r="E19" s="254"/>
      <c r="F19" s="254"/>
      <c r="G19" s="254"/>
      <c r="H19" s="254"/>
      <c r="I19" s="254"/>
      <c r="J19" s="254"/>
      <c r="K19" s="254"/>
      <c r="L19" s="254"/>
      <c r="M19" s="254"/>
      <c r="N19" s="254"/>
      <c r="O19" s="254"/>
      <c r="P19" s="254"/>
      <c r="Q19" s="254"/>
      <c r="R19" s="254"/>
      <c r="S19" s="254"/>
      <c r="T19" s="254"/>
      <c r="U19" s="254"/>
      <c r="V19" s="254"/>
      <c r="W19" s="254"/>
      <c r="X19" s="254"/>
      <c r="Y19" s="254"/>
      <c r="Z19" s="254"/>
      <c r="AA19" s="254"/>
      <c r="AB19" s="254"/>
      <c r="AC19" s="254"/>
      <c r="AD19" s="254"/>
    </row>
    <row r="20" spans="1:30" ht="12" customHeight="1" x14ac:dyDescent="0.25">
      <c r="A20" s="254"/>
      <c r="B20" s="254"/>
      <c r="C20" s="254"/>
      <c r="D20" s="254"/>
      <c r="E20" s="254"/>
      <c r="F20" s="254"/>
      <c r="G20" s="254"/>
      <c r="H20" s="254"/>
      <c r="I20" s="254"/>
      <c r="J20" s="254"/>
      <c r="K20" s="254"/>
      <c r="L20" s="254"/>
      <c r="M20" s="254"/>
      <c r="N20" s="254"/>
      <c r="O20" s="254"/>
      <c r="P20" s="254"/>
      <c r="Q20" s="254"/>
      <c r="R20" s="254"/>
      <c r="S20" s="254"/>
      <c r="T20" s="254"/>
      <c r="U20" s="254"/>
      <c r="V20" s="254"/>
      <c r="W20" s="254"/>
      <c r="X20" s="254"/>
      <c r="Y20" s="254"/>
      <c r="Z20" s="254"/>
      <c r="AA20" s="254"/>
      <c r="AB20" s="254"/>
      <c r="AC20" s="254"/>
      <c r="AD20" s="254"/>
    </row>
    <row r="21" spans="1:30" ht="12" customHeight="1" x14ac:dyDescent="0.25">
      <c r="A21" s="254"/>
      <c r="B21" s="254"/>
      <c r="C21" s="254"/>
      <c r="D21" s="254"/>
      <c r="E21" s="254"/>
      <c r="F21" s="254"/>
      <c r="G21" s="254"/>
      <c r="H21" s="254"/>
      <c r="I21" s="254"/>
      <c r="J21" s="254"/>
      <c r="K21" s="254"/>
      <c r="L21" s="254"/>
      <c r="M21" s="254"/>
      <c r="N21" s="254"/>
      <c r="O21" s="254"/>
      <c r="P21" s="254"/>
      <c r="Q21" s="254"/>
      <c r="R21" s="254"/>
      <c r="S21" s="254"/>
      <c r="T21" s="254"/>
      <c r="U21" s="254"/>
      <c r="V21" s="254"/>
      <c r="W21" s="254"/>
      <c r="X21" s="254"/>
      <c r="Y21" s="254"/>
      <c r="Z21" s="254"/>
      <c r="AA21" s="254"/>
      <c r="AB21" s="254"/>
      <c r="AC21" s="254"/>
      <c r="AD21" s="254"/>
    </row>
    <row r="22" spans="1:30" ht="12" customHeight="1" x14ac:dyDescent="0.25">
      <c r="A22" s="254"/>
      <c r="B22" s="254"/>
      <c r="C22" s="254"/>
      <c r="D22" s="254"/>
      <c r="E22" s="254"/>
      <c r="F22" s="254"/>
      <c r="G22" s="254"/>
      <c r="H22" s="254"/>
      <c r="I22" s="254"/>
      <c r="J22" s="254"/>
      <c r="K22" s="254"/>
      <c r="L22" s="254"/>
      <c r="M22" s="254"/>
      <c r="N22" s="254"/>
      <c r="O22" s="254"/>
      <c r="P22" s="254"/>
      <c r="Q22" s="254"/>
      <c r="R22" s="254"/>
      <c r="S22" s="254"/>
      <c r="T22" s="254"/>
      <c r="U22" s="254"/>
      <c r="V22" s="254"/>
      <c r="W22" s="254"/>
      <c r="X22" s="254"/>
      <c r="Y22" s="254"/>
      <c r="Z22" s="254"/>
      <c r="AA22" s="254"/>
      <c r="AB22" s="254"/>
      <c r="AC22" s="254"/>
      <c r="AD22" s="254"/>
    </row>
    <row r="23" spans="1:30" ht="12" customHeight="1" x14ac:dyDescent="0.25">
      <c r="A23" s="254"/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</row>
    <row r="24" spans="1:30" ht="12" customHeight="1" x14ac:dyDescent="0.25">
      <c r="A24" s="254"/>
      <c r="B24" s="254"/>
      <c r="C24" s="254"/>
      <c r="D24" s="254"/>
      <c r="E24" s="254"/>
      <c r="F24" s="254"/>
      <c r="G24" s="254"/>
      <c r="H24" s="254"/>
      <c r="I24" s="254"/>
      <c r="J24" s="254"/>
      <c r="K24" s="254"/>
      <c r="L24" s="254"/>
      <c r="M24" s="254"/>
      <c r="N24" s="254"/>
      <c r="O24" s="254"/>
      <c r="P24" s="254"/>
      <c r="Q24" s="254"/>
      <c r="R24" s="254"/>
      <c r="S24" s="254"/>
      <c r="T24" s="254"/>
      <c r="U24" s="254"/>
      <c r="V24" s="254"/>
      <c r="W24" s="254"/>
      <c r="X24" s="254"/>
      <c r="Y24" s="254"/>
      <c r="Z24" s="254"/>
      <c r="AA24" s="254"/>
      <c r="AB24" s="254"/>
      <c r="AC24" s="254"/>
      <c r="AD24" s="254"/>
    </row>
    <row r="25" spans="1:30" ht="12" customHeight="1" x14ac:dyDescent="0.25">
      <c r="A25" s="254"/>
      <c r="B25" s="254"/>
      <c r="C25" s="254"/>
      <c r="D25" s="254"/>
      <c r="E25" s="254"/>
      <c r="F25" s="254"/>
      <c r="G25" s="254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254"/>
      <c r="Z25" s="254"/>
      <c r="AA25" s="254"/>
      <c r="AB25" s="254"/>
      <c r="AC25" s="254"/>
      <c r="AD25" s="254"/>
    </row>
    <row r="26" spans="1:30" ht="12" customHeight="1" x14ac:dyDescent="0.25">
      <c r="A26" s="254"/>
      <c r="B26" s="254"/>
      <c r="C26" s="254"/>
      <c r="D26" s="254"/>
      <c r="E26" s="254"/>
      <c r="F26" s="254"/>
      <c r="G26" s="254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54"/>
      <c r="X26" s="254"/>
      <c r="Y26" s="254"/>
      <c r="Z26" s="254"/>
      <c r="AA26" s="254"/>
      <c r="AB26" s="254"/>
      <c r="AC26" s="254"/>
      <c r="AD26" s="254"/>
    </row>
    <row r="27" spans="1:30" ht="12" customHeight="1" x14ac:dyDescent="0.25">
      <c r="A27" s="254"/>
      <c r="B27" s="254"/>
      <c r="C27" s="254"/>
      <c r="D27" s="254"/>
      <c r="E27" s="254"/>
      <c r="F27" s="254"/>
      <c r="G27" s="254"/>
      <c r="H27" s="254"/>
      <c r="I27" s="254"/>
      <c r="J27" s="254"/>
      <c r="K27" s="254"/>
      <c r="L27" s="254"/>
      <c r="M27" s="254"/>
      <c r="N27" s="254"/>
      <c r="O27" s="254"/>
      <c r="P27" s="254"/>
      <c r="Q27" s="254"/>
      <c r="R27" s="254"/>
      <c r="S27" s="254"/>
      <c r="T27" s="254"/>
      <c r="U27" s="254"/>
      <c r="V27" s="254"/>
      <c r="W27" s="254"/>
      <c r="X27" s="254"/>
      <c r="Y27" s="254"/>
      <c r="Z27" s="254"/>
      <c r="AA27" s="254"/>
      <c r="AB27" s="254"/>
      <c r="AC27" s="254"/>
      <c r="AD27" s="254"/>
    </row>
    <row r="28" spans="1:30" ht="12" customHeight="1" x14ac:dyDescent="0.25">
      <c r="A28" s="254"/>
      <c r="B28" s="254"/>
      <c r="C28" s="254"/>
      <c r="D28" s="254"/>
      <c r="E28" s="254"/>
      <c r="F28" s="254"/>
      <c r="G28" s="254"/>
      <c r="H28" s="254"/>
      <c r="I28" s="254"/>
      <c r="J28" s="254"/>
      <c r="K28" s="254"/>
      <c r="L28" s="254"/>
      <c r="M28" s="254"/>
      <c r="N28" s="254"/>
      <c r="O28" s="254"/>
      <c r="P28" s="254"/>
      <c r="Q28" s="254"/>
      <c r="R28" s="254"/>
      <c r="S28" s="254"/>
      <c r="T28" s="254"/>
      <c r="U28" s="254"/>
      <c r="V28" s="254"/>
      <c r="W28" s="254"/>
      <c r="X28" s="254"/>
      <c r="Y28" s="254"/>
      <c r="Z28" s="254"/>
      <c r="AA28" s="254"/>
      <c r="AB28" s="254"/>
      <c r="AC28" s="254"/>
      <c r="AD28" s="254"/>
    </row>
    <row r="29" spans="1:30" ht="12" customHeight="1" x14ac:dyDescent="0.25">
      <c r="A29" s="254"/>
      <c r="B29" s="254"/>
      <c r="C29" s="254"/>
      <c r="D29" s="254"/>
      <c r="E29" s="254"/>
      <c r="F29" s="254"/>
      <c r="G29" s="254"/>
      <c r="H29" s="254"/>
      <c r="I29" s="254"/>
      <c r="J29" s="254"/>
      <c r="K29" s="254"/>
      <c r="L29" s="254"/>
      <c r="M29" s="254"/>
      <c r="N29" s="254"/>
      <c r="O29" s="254"/>
      <c r="P29" s="254"/>
      <c r="Q29" s="254"/>
      <c r="R29" s="254"/>
      <c r="S29" s="254"/>
      <c r="T29" s="254"/>
      <c r="U29" s="254"/>
      <c r="V29" s="254"/>
      <c r="W29" s="254"/>
      <c r="X29" s="254"/>
      <c r="Y29" s="254"/>
      <c r="Z29" s="254"/>
      <c r="AA29" s="254"/>
      <c r="AB29" s="254"/>
      <c r="AC29" s="254"/>
      <c r="AD29" s="254"/>
    </row>
    <row r="30" spans="1:30" ht="12" customHeight="1" x14ac:dyDescent="0.25">
      <c r="A30" s="254"/>
      <c r="B30" s="254"/>
      <c r="C30" s="254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4"/>
      <c r="Z30" s="254"/>
      <c r="AA30" s="254"/>
      <c r="AB30" s="254"/>
      <c r="AC30" s="254"/>
      <c r="AD30" s="254"/>
    </row>
    <row r="31" spans="1:30" ht="12" customHeight="1" x14ac:dyDescent="0.25">
      <c r="A31" s="254"/>
      <c r="B31" s="254"/>
      <c r="C31" s="254"/>
      <c r="D31" s="254"/>
      <c r="E31" s="254"/>
      <c r="F31" s="254"/>
      <c r="G31" s="254"/>
      <c r="H31" s="254"/>
      <c r="I31" s="254"/>
      <c r="J31" s="254"/>
      <c r="K31" s="254"/>
      <c r="L31" s="254"/>
      <c r="M31" s="254"/>
      <c r="N31" s="254"/>
      <c r="O31" s="254"/>
      <c r="P31" s="254"/>
      <c r="Q31" s="254"/>
      <c r="R31" s="254"/>
      <c r="S31" s="254"/>
      <c r="T31" s="254"/>
      <c r="U31" s="254"/>
      <c r="V31" s="254"/>
      <c r="W31" s="254"/>
      <c r="X31" s="254"/>
      <c r="Y31" s="254"/>
      <c r="Z31" s="254"/>
      <c r="AA31" s="254"/>
      <c r="AB31" s="254"/>
      <c r="AC31" s="254"/>
      <c r="AD31" s="254"/>
    </row>
    <row r="32" spans="1:30" ht="12" customHeight="1" x14ac:dyDescent="0.25">
      <c r="A32" s="254"/>
      <c r="B32" s="254"/>
      <c r="C32" s="254"/>
      <c r="D32" s="254"/>
      <c r="E32" s="254"/>
      <c r="F32" s="254"/>
      <c r="G32" s="254"/>
      <c r="H32" s="254"/>
      <c r="I32" s="254"/>
      <c r="J32" s="254"/>
      <c r="K32" s="254"/>
      <c r="L32" s="254"/>
      <c r="M32" s="254"/>
      <c r="N32" s="254"/>
      <c r="O32" s="254"/>
      <c r="P32" s="254"/>
      <c r="Q32" s="254"/>
      <c r="R32" s="254"/>
      <c r="S32" s="254"/>
      <c r="T32" s="254"/>
      <c r="U32" s="254"/>
      <c r="V32" s="254"/>
      <c r="W32" s="254"/>
      <c r="X32" s="254"/>
      <c r="Y32" s="254"/>
      <c r="Z32" s="254"/>
      <c r="AA32" s="254"/>
      <c r="AB32" s="254"/>
      <c r="AC32" s="254"/>
      <c r="AD32" s="254"/>
    </row>
    <row r="33" spans="1:30" ht="12" customHeight="1" x14ac:dyDescent="0.25">
      <c r="A33" s="254"/>
      <c r="B33" s="254"/>
      <c r="C33" s="254"/>
      <c r="D33" s="254"/>
      <c r="E33" s="254"/>
      <c r="F33" s="254"/>
      <c r="G33" s="254"/>
      <c r="H33" s="254"/>
      <c r="I33" s="254"/>
      <c r="J33" s="254"/>
      <c r="K33" s="254"/>
      <c r="L33" s="254"/>
      <c r="M33" s="254"/>
      <c r="N33" s="254"/>
      <c r="O33" s="254"/>
      <c r="P33" s="254"/>
      <c r="Q33" s="254"/>
      <c r="R33" s="254"/>
      <c r="S33" s="254"/>
      <c r="T33" s="254"/>
      <c r="U33" s="254"/>
      <c r="V33" s="254"/>
      <c r="W33" s="254"/>
      <c r="X33" s="254"/>
      <c r="Y33" s="254"/>
      <c r="Z33" s="254"/>
      <c r="AA33" s="254"/>
      <c r="AB33" s="254"/>
      <c r="AC33" s="254"/>
      <c r="AD33" s="254"/>
    </row>
    <row r="34" spans="1:30" ht="12" customHeight="1" x14ac:dyDescent="0.25">
      <c r="A34" s="254"/>
      <c r="B34" s="254"/>
      <c r="C34" s="254"/>
      <c r="D34" s="254"/>
      <c r="E34" s="254"/>
      <c r="F34" s="254"/>
      <c r="G34" s="254"/>
      <c r="H34" s="254"/>
      <c r="I34" s="254"/>
      <c r="J34" s="254"/>
      <c r="K34" s="254"/>
      <c r="L34" s="254"/>
      <c r="M34" s="254"/>
      <c r="N34" s="254"/>
      <c r="O34" s="254"/>
      <c r="P34" s="254"/>
      <c r="Q34" s="254"/>
      <c r="R34" s="254"/>
      <c r="S34" s="254"/>
      <c r="T34" s="254"/>
      <c r="U34" s="254"/>
      <c r="V34" s="254"/>
      <c r="W34" s="254"/>
      <c r="X34" s="254"/>
      <c r="Y34" s="254"/>
      <c r="Z34" s="254"/>
      <c r="AA34" s="254"/>
      <c r="AB34" s="254"/>
      <c r="AC34" s="254"/>
      <c r="AD34" s="254"/>
    </row>
    <row r="35" spans="1:30" ht="12" customHeight="1" x14ac:dyDescent="0.25">
      <c r="A35" s="254"/>
      <c r="B35" s="254"/>
      <c r="C35" s="254"/>
      <c r="D35" s="254"/>
      <c r="E35" s="254"/>
      <c r="F35" s="254"/>
      <c r="G35" s="254"/>
      <c r="H35" s="254"/>
      <c r="I35" s="254"/>
      <c r="J35" s="254"/>
      <c r="K35" s="254"/>
      <c r="L35" s="254"/>
      <c r="M35" s="254"/>
      <c r="N35" s="254"/>
      <c r="O35" s="254"/>
      <c r="P35" s="254"/>
      <c r="Q35" s="254"/>
      <c r="R35" s="254"/>
      <c r="S35" s="254"/>
      <c r="T35" s="254"/>
      <c r="U35" s="254"/>
      <c r="V35" s="254"/>
      <c r="W35" s="254"/>
      <c r="X35" s="254"/>
      <c r="Y35" s="254"/>
      <c r="Z35" s="254"/>
      <c r="AA35" s="254"/>
      <c r="AB35" s="254"/>
      <c r="AC35" s="254"/>
      <c r="AD35" s="254"/>
    </row>
    <row r="36" spans="1:30" ht="12" customHeight="1" x14ac:dyDescent="0.25">
      <c r="A36" s="254"/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54"/>
      <c r="N36" s="254"/>
      <c r="O36" s="254"/>
      <c r="P36" s="254"/>
      <c r="Q36" s="254"/>
      <c r="R36" s="254"/>
      <c r="S36" s="254"/>
      <c r="T36" s="254"/>
      <c r="U36" s="254"/>
      <c r="V36" s="254"/>
      <c r="W36" s="254"/>
      <c r="X36" s="254"/>
      <c r="Y36" s="254"/>
      <c r="Z36" s="254"/>
      <c r="AA36" s="254"/>
      <c r="AB36" s="254"/>
      <c r="AC36" s="254"/>
      <c r="AD36" s="254"/>
    </row>
    <row r="37" spans="1:30" ht="12" customHeight="1" x14ac:dyDescent="0.25">
      <c r="A37" s="254"/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54"/>
      <c r="N37" s="254"/>
      <c r="O37" s="254"/>
      <c r="P37" s="254"/>
      <c r="Q37" s="254"/>
      <c r="R37" s="254"/>
      <c r="S37" s="254"/>
      <c r="T37" s="254"/>
      <c r="U37" s="254"/>
      <c r="V37" s="254"/>
      <c r="W37" s="254"/>
      <c r="X37" s="254"/>
      <c r="Y37" s="254"/>
      <c r="Z37" s="254"/>
      <c r="AA37" s="254"/>
      <c r="AB37" s="254"/>
      <c r="AC37" s="254"/>
      <c r="AD37" s="254"/>
    </row>
    <row r="38" spans="1:30" ht="12" customHeight="1" x14ac:dyDescent="0.25">
      <c r="A38" s="254"/>
      <c r="B38" s="254"/>
      <c r="C38" s="254"/>
      <c r="D38" s="254"/>
      <c r="E38" s="254"/>
      <c r="F38" s="254"/>
      <c r="G38" s="254"/>
      <c r="H38" s="254"/>
      <c r="I38" s="254"/>
      <c r="J38" s="254"/>
      <c r="K38" s="254"/>
      <c r="L38" s="254"/>
      <c r="M38" s="254"/>
      <c r="N38" s="254"/>
      <c r="O38" s="254"/>
      <c r="P38" s="254"/>
      <c r="Q38" s="254"/>
      <c r="R38" s="254"/>
      <c r="S38" s="254"/>
      <c r="T38" s="254"/>
      <c r="U38" s="254"/>
      <c r="V38" s="254"/>
      <c r="W38" s="254"/>
      <c r="X38" s="254"/>
      <c r="Y38" s="254"/>
      <c r="Z38" s="254"/>
      <c r="AA38" s="254"/>
      <c r="AB38" s="254"/>
      <c r="AC38" s="254"/>
      <c r="AD38" s="254"/>
    </row>
    <row r="39" spans="1:30" ht="12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30" ht="12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258" t="s">
        <v>20</v>
      </c>
      <c r="L40" s="258"/>
      <c r="M40" s="258"/>
      <c r="N40" s="258"/>
      <c r="O40" s="258"/>
      <c r="P40" s="258"/>
      <c r="Q40" s="258"/>
      <c r="R40" s="258"/>
      <c r="S40" s="258"/>
    </row>
    <row r="41" spans="1:30" ht="12" customHeight="1" x14ac:dyDescent="0.25">
      <c r="A41" s="254"/>
      <c r="B41" s="254"/>
      <c r="C41" s="254"/>
      <c r="D41" s="254"/>
      <c r="E41" s="254"/>
      <c r="F41" s="254"/>
      <c r="G41" s="254"/>
      <c r="H41" s="254"/>
      <c r="I41" s="254"/>
      <c r="J41" s="254"/>
      <c r="K41" s="254"/>
      <c r="L41" s="254"/>
      <c r="M41" s="254"/>
      <c r="N41" s="254"/>
      <c r="O41" s="254"/>
      <c r="P41" s="254"/>
      <c r="Q41" s="254"/>
      <c r="R41" s="254"/>
      <c r="S41" s="254"/>
      <c r="T41" s="254"/>
      <c r="U41" s="254"/>
      <c r="V41" s="254"/>
      <c r="W41" s="254"/>
      <c r="X41" s="254"/>
      <c r="Y41" s="254"/>
      <c r="Z41" s="254"/>
      <c r="AA41" s="254"/>
      <c r="AB41" s="254"/>
      <c r="AC41" s="254"/>
      <c r="AD41" s="254"/>
    </row>
    <row r="42" spans="1:30" ht="12" customHeight="1" x14ac:dyDescent="0.25">
      <c r="A42" s="254"/>
      <c r="B42" s="254"/>
      <c r="C42" s="254"/>
      <c r="D42" s="254"/>
      <c r="E42" s="254"/>
      <c r="F42" s="254"/>
      <c r="G42" s="254"/>
      <c r="H42" s="254"/>
      <c r="I42" s="254"/>
      <c r="J42" s="254"/>
      <c r="K42" s="254"/>
      <c r="L42" s="254"/>
      <c r="M42" s="254"/>
      <c r="N42" s="254"/>
      <c r="O42" s="254"/>
      <c r="P42" s="254"/>
      <c r="Q42" s="254"/>
      <c r="R42" s="254"/>
      <c r="S42" s="254"/>
      <c r="T42" s="254"/>
      <c r="U42" s="254"/>
      <c r="V42" s="254"/>
      <c r="W42" s="254"/>
      <c r="X42" s="254"/>
      <c r="Y42" s="254"/>
      <c r="Z42" s="254"/>
      <c r="AA42" s="254"/>
      <c r="AB42" s="254"/>
      <c r="AC42" s="254"/>
      <c r="AD42" s="254"/>
    </row>
    <row r="43" spans="1:30" ht="12" customHeight="1" x14ac:dyDescent="0.25">
      <c r="A43" s="254"/>
      <c r="B43" s="254"/>
      <c r="C43" s="254"/>
      <c r="D43" s="254"/>
      <c r="E43" s="254"/>
      <c r="F43" s="254"/>
      <c r="G43" s="254"/>
      <c r="H43" s="254"/>
      <c r="I43" s="254"/>
      <c r="J43" s="254"/>
      <c r="K43" s="254"/>
      <c r="L43" s="254"/>
      <c r="M43" s="254"/>
      <c r="N43" s="254"/>
      <c r="O43" s="254"/>
      <c r="P43" s="254"/>
      <c r="Q43" s="254"/>
      <c r="R43" s="254"/>
      <c r="S43" s="254"/>
      <c r="T43" s="254"/>
      <c r="U43" s="254"/>
      <c r="V43" s="254"/>
      <c r="W43" s="254"/>
      <c r="X43" s="254"/>
      <c r="Y43" s="254"/>
      <c r="Z43" s="254"/>
      <c r="AA43" s="254"/>
      <c r="AB43" s="254"/>
      <c r="AC43" s="254"/>
      <c r="AD43" s="254"/>
    </row>
    <row r="44" spans="1:30" ht="12" customHeight="1" x14ac:dyDescent="0.25">
      <c r="A44" s="254"/>
      <c r="B44" s="254"/>
      <c r="C44" s="254"/>
      <c r="D44" s="254"/>
      <c r="E44" s="254"/>
      <c r="F44" s="254"/>
      <c r="G44" s="254"/>
      <c r="H44" s="254"/>
      <c r="I44" s="254"/>
      <c r="J44" s="254"/>
      <c r="K44" s="254"/>
      <c r="L44" s="254"/>
      <c r="M44" s="254"/>
      <c r="N44" s="254"/>
      <c r="O44" s="254"/>
      <c r="P44" s="254"/>
      <c r="Q44" s="254"/>
      <c r="R44" s="254"/>
      <c r="S44" s="254"/>
      <c r="T44" s="254"/>
      <c r="U44" s="254"/>
      <c r="V44" s="254"/>
      <c r="W44" s="254"/>
      <c r="X44" s="254"/>
      <c r="Y44" s="254"/>
      <c r="Z44" s="254"/>
      <c r="AA44" s="254"/>
      <c r="AB44" s="254"/>
      <c r="AC44" s="254"/>
      <c r="AD44" s="254"/>
    </row>
    <row r="45" spans="1:30" ht="12" customHeight="1" x14ac:dyDescent="0.25">
      <c r="A45" s="254"/>
      <c r="B45" s="254"/>
      <c r="C45" s="254"/>
      <c r="D45" s="254"/>
      <c r="E45" s="254"/>
      <c r="F45" s="254"/>
      <c r="G45" s="254"/>
      <c r="H45" s="254"/>
      <c r="I45" s="254"/>
      <c r="J45" s="254"/>
      <c r="K45" s="254"/>
      <c r="L45" s="254"/>
      <c r="M45" s="254"/>
      <c r="N45" s="254"/>
      <c r="O45" s="254"/>
      <c r="P45" s="254"/>
      <c r="Q45" s="254"/>
      <c r="R45" s="254"/>
      <c r="S45" s="254"/>
      <c r="T45" s="254"/>
      <c r="U45" s="254"/>
      <c r="V45" s="254"/>
      <c r="W45" s="254"/>
      <c r="X45" s="254"/>
      <c r="Y45" s="254"/>
      <c r="Z45" s="254"/>
      <c r="AA45" s="254"/>
      <c r="AB45" s="254"/>
      <c r="AC45" s="254"/>
      <c r="AD45" s="254"/>
    </row>
    <row r="46" spans="1:30" ht="12" customHeight="1" x14ac:dyDescent="0.25">
      <c r="A46" s="254"/>
      <c r="B46" s="254"/>
      <c r="C46" s="254"/>
      <c r="D46" s="254"/>
      <c r="E46" s="254"/>
      <c r="F46" s="254"/>
      <c r="G46" s="254"/>
      <c r="H46" s="254"/>
      <c r="I46" s="254"/>
      <c r="J46" s="254"/>
      <c r="K46" s="254"/>
      <c r="L46" s="254"/>
      <c r="M46" s="254"/>
      <c r="N46" s="254"/>
      <c r="O46" s="254"/>
      <c r="P46" s="254"/>
      <c r="Q46" s="254"/>
      <c r="R46" s="254"/>
      <c r="S46" s="254"/>
      <c r="T46" s="254"/>
      <c r="U46" s="254"/>
      <c r="V46" s="254"/>
      <c r="W46" s="254"/>
      <c r="X46" s="254"/>
      <c r="Y46" s="254"/>
      <c r="Z46" s="254"/>
      <c r="AA46" s="254"/>
      <c r="AB46" s="254"/>
      <c r="AC46" s="254"/>
      <c r="AD46" s="254"/>
    </row>
    <row r="47" spans="1:30" ht="12" customHeight="1" x14ac:dyDescent="0.25">
      <c r="A47" s="254"/>
      <c r="B47" s="254"/>
      <c r="C47" s="254"/>
      <c r="D47" s="254"/>
      <c r="E47" s="254"/>
      <c r="F47" s="254"/>
      <c r="G47" s="254"/>
      <c r="H47" s="254"/>
      <c r="I47" s="254"/>
      <c r="J47" s="254"/>
      <c r="K47" s="254"/>
      <c r="L47" s="254"/>
      <c r="M47" s="254"/>
      <c r="N47" s="254"/>
      <c r="O47" s="254"/>
      <c r="P47" s="254"/>
      <c r="Q47" s="254"/>
      <c r="R47" s="254"/>
      <c r="S47" s="254"/>
      <c r="T47" s="254"/>
      <c r="U47" s="254"/>
      <c r="V47" s="254"/>
      <c r="W47" s="254"/>
      <c r="X47" s="254"/>
      <c r="Y47" s="254"/>
      <c r="Z47" s="254"/>
      <c r="AA47" s="254"/>
      <c r="AB47" s="254"/>
      <c r="AC47" s="254"/>
      <c r="AD47" s="254"/>
    </row>
    <row r="48" spans="1:30" ht="12" customHeight="1" x14ac:dyDescent="0.25">
      <c r="A48" s="254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54"/>
      <c r="P48" s="254"/>
      <c r="Q48" s="254"/>
      <c r="R48" s="254"/>
      <c r="S48" s="254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</row>
    <row r="49" spans="1:30" ht="12" customHeight="1" x14ac:dyDescent="0.25">
      <c r="A49" s="254"/>
      <c r="B49" s="254"/>
      <c r="C49" s="254"/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  <c r="O49" s="254"/>
      <c r="P49" s="254"/>
      <c r="Q49" s="254"/>
      <c r="R49" s="254"/>
      <c r="S49" s="254"/>
      <c r="T49" s="254"/>
      <c r="U49" s="254"/>
      <c r="V49" s="254"/>
      <c r="W49" s="254"/>
      <c r="X49" s="254"/>
      <c r="Y49" s="254"/>
      <c r="Z49" s="254"/>
      <c r="AA49" s="254"/>
      <c r="AB49" s="254"/>
      <c r="AC49" s="254"/>
      <c r="AD49" s="254"/>
    </row>
    <row r="50" spans="1:30" ht="12" customHeight="1" x14ac:dyDescent="0.25">
      <c r="A50" s="254"/>
      <c r="B50" s="254"/>
      <c r="C50" s="254"/>
      <c r="D50" s="254"/>
      <c r="E50" s="254"/>
      <c r="F50" s="254"/>
      <c r="G50" s="254"/>
      <c r="H50" s="254"/>
      <c r="I50" s="254"/>
      <c r="J50" s="254"/>
      <c r="K50" s="254"/>
      <c r="L50" s="254"/>
      <c r="M50" s="254"/>
      <c r="N50" s="254"/>
      <c r="O50" s="254"/>
      <c r="P50" s="254"/>
      <c r="Q50" s="254"/>
      <c r="R50" s="254"/>
      <c r="S50" s="254"/>
      <c r="T50" s="254"/>
      <c r="U50" s="254"/>
      <c r="V50" s="254"/>
      <c r="W50" s="254"/>
      <c r="X50" s="254"/>
      <c r="Y50" s="254"/>
      <c r="Z50" s="254"/>
      <c r="AA50" s="254"/>
      <c r="AB50" s="254"/>
      <c r="AC50" s="254"/>
      <c r="AD50" s="254"/>
    </row>
    <row r="51" spans="1:30" ht="12" customHeight="1" x14ac:dyDescent="0.25">
      <c r="A51" s="254"/>
      <c r="B51" s="254"/>
      <c r="C51" s="254"/>
      <c r="D51" s="254"/>
      <c r="E51" s="254"/>
      <c r="F51" s="254"/>
      <c r="G51" s="254"/>
      <c r="H51" s="254"/>
      <c r="I51" s="254"/>
      <c r="J51" s="254"/>
      <c r="K51" s="254"/>
      <c r="L51" s="254"/>
      <c r="M51" s="254"/>
      <c r="N51" s="254"/>
      <c r="O51" s="254"/>
      <c r="P51" s="254"/>
      <c r="Q51" s="254"/>
      <c r="R51" s="254"/>
      <c r="S51" s="254"/>
      <c r="T51" s="254"/>
      <c r="U51" s="254"/>
      <c r="V51" s="254"/>
      <c r="W51" s="254"/>
      <c r="X51" s="254"/>
      <c r="Y51" s="254"/>
      <c r="Z51" s="254"/>
      <c r="AA51" s="254"/>
      <c r="AB51" s="254"/>
      <c r="AC51" s="254"/>
      <c r="AD51" s="254"/>
    </row>
    <row r="52" spans="1:30" ht="12" customHeight="1" x14ac:dyDescent="0.25">
      <c r="A52" s="254"/>
      <c r="B52" s="254"/>
      <c r="C52" s="254"/>
      <c r="D52" s="254"/>
      <c r="E52" s="254"/>
      <c r="F52" s="254"/>
      <c r="G52" s="254"/>
      <c r="H52" s="254"/>
      <c r="I52" s="254"/>
      <c r="J52" s="254"/>
      <c r="K52" s="254"/>
      <c r="L52" s="254"/>
      <c r="M52" s="254"/>
      <c r="N52" s="254"/>
      <c r="O52" s="254"/>
      <c r="P52" s="254"/>
      <c r="Q52" s="254"/>
      <c r="R52" s="254"/>
      <c r="S52" s="254"/>
      <c r="T52" s="254"/>
      <c r="U52" s="254"/>
      <c r="V52" s="254"/>
      <c r="W52" s="254"/>
      <c r="X52" s="254"/>
      <c r="Y52" s="254"/>
      <c r="Z52" s="254"/>
      <c r="AA52" s="254"/>
      <c r="AB52" s="254"/>
      <c r="AC52" s="254"/>
      <c r="AD52" s="254"/>
    </row>
    <row r="53" spans="1:30" ht="12" customHeight="1" x14ac:dyDescent="0.25">
      <c r="A53" s="254"/>
      <c r="B53" s="254"/>
      <c r="C53" s="254"/>
      <c r="D53" s="254"/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4"/>
    </row>
    <row r="54" spans="1:30" ht="12" customHeight="1" x14ac:dyDescent="0.25">
      <c r="A54" s="254"/>
      <c r="B54" s="254"/>
      <c r="C54" s="254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54"/>
      <c r="O54" s="254"/>
      <c r="P54" s="254"/>
      <c r="Q54" s="254"/>
      <c r="R54" s="254"/>
      <c r="S54" s="254"/>
      <c r="T54" s="254"/>
      <c r="U54" s="254"/>
      <c r="V54" s="254"/>
      <c r="W54" s="254"/>
      <c r="X54" s="254"/>
      <c r="Y54" s="254"/>
      <c r="Z54" s="254"/>
      <c r="AA54" s="254"/>
      <c r="AB54" s="254"/>
      <c r="AC54" s="254"/>
      <c r="AD54" s="254"/>
    </row>
    <row r="55" spans="1:30" ht="12" customHeight="1" x14ac:dyDescent="0.25">
      <c r="A55" s="254"/>
      <c r="B55" s="254"/>
      <c r="C55" s="254"/>
      <c r="D55" s="254"/>
      <c r="E55" s="254"/>
      <c r="F55" s="254"/>
      <c r="G55" s="254"/>
      <c r="H55" s="254"/>
      <c r="I55" s="254"/>
      <c r="J55" s="254"/>
      <c r="K55" s="254"/>
      <c r="L55" s="254"/>
      <c r="M55" s="254"/>
      <c r="N55" s="254"/>
      <c r="O55" s="254"/>
      <c r="P55" s="254"/>
      <c r="Q55" s="254"/>
      <c r="R55" s="254"/>
      <c r="S55" s="254"/>
      <c r="T55" s="254"/>
      <c r="U55" s="254"/>
      <c r="V55" s="254"/>
      <c r="W55" s="254"/>
      <c r="X55" s="254"/>
      <c r="Y55" s="254"/>
      <c r="Z55" s="254"/>
      <c r="AA55" s="254"/>
      <c r="AB55" s="254"/>
      <c r="AC55" s="254"/>
      <c r="AD55" s="254"/>
    </row>
    <row r="56" spans="1:30" ht="12" customHeight="1" x14ac:dyDescent="0.25">
      <c r="A56" s="254"/>
      <c r="B56" s="254"/>
      <c r="C56" s="254"/>
      <c r="D56" s="254"/>
      <c r="E56" s="254"/>
      <c r="F56" s="254"/>
      <c r="G56" s="254"/>
      <c r="H56" s="254"/>
      <c r="I56" s="254"/>
      <c r="J56" s="254"/>
      <c r="K56" s="254"/>
      <c r="L56" s="254"/>
      <c r="M56" s="254"/>
      <c r="N56" s="254"/>
      <c r="O56" s="254"/>
      <c r="P56" s="254"/>
      <c r="Q56" s="254"/>
      <c r="R56" s="254"/>
      <c r="S56" s="254"/>
      <c r="T56" s="254"/>
      <c r="U56" s="254"/>
      <c r="V56" s="254"/>
      <c r="W56" s="254"/>
      <c r="X56" s="254"/>
      <c r="Y56" s="254"/>
      <c r="Z56" s="254"/>
      <c r="AA56" s="254"/>
      <c r="AB56" s="254"/>
      <c r="AC56" s="254"/>
      <c r="AD56" s="254"/>
    </row>
    <row r="57" spans="1:30" ht="12" customHeight="1" x14ac:dyDescent="0.25">
      <c r="A57" s="254"/>
      <c r="B57" s="254"/>
      <c r="C57" s="254"/>
      <c r="D57" s="254"/>
      <c r="E57" s="254"/>
      <c r="F57" s="254"/>
      <c r="G57" s="254"/>
      <c r="H57" s="254"/>
      <c r="I57" s="254"/>
      <c r="J57" s="254"/>
      <c r="K57" s="254"/>
      <c r="L57" s="254"/>
      <c r="M57" s="254"/>
      <c r="N57" s="254"/>
      <c r="O57" s="254"/>
      <c r="P57" s="254"/>
      <c r="Q57" s="254"/>
      <c r="R57" s="254"/>
      <c r="S57" s="254"/>
      <c r="T57" s="254"/>
      <c r="U57" s="254"/>
      <c r="V57" s="254"/>
      <c r="W57" s="254"/>
      <c r="X57" s="254"/>
      <c r="Y57" s="254"/>
      <c r="Z57" s="254"/>
      <c r="AA57" s="254"/>
      <c r="AB57" s="254"/>
      <c r="AC57" s="254"/>
      <c r="AD57" s="254"/>
    </row>
    <row r="58" spans="1:30" ht="12" customHeight="1" x14ac:dyDescent="0.25">
      <c r="A58" s="254"/>
      <c r="B58" s="254"/>
      <c r="C58" s="254"/>
      <c r="D58" s="254"/>
      <c r="E58" s="254"/>
      <c r="F58" s="254"/>
      <c r="G58" s="254"/>
      <c r="H58" s="254"/>
      <c r="I58" s="254"/>
      <c r="J58" s="254"/>
      <c r="K58" s="254"/>
      <c r="L58" s="254"/>
      <c r="M58" s="254"/>
      <c r="N58" s="254"/>
      <c r="O58" s="254"/>
      <c r="P58" s="254"/>
      <c r="Q58" s="254"/>
      <c r="R58" s="254"/>
      <c r="S58" s="254"/>
      <c r="T58" s="254"/>
      <c r="U58" s="254"/>
      <c r="V58" s="254"/>
      <c r="W58" s="254"/>
      <c r="X58" s="254"/>
      <c r="Y58" s="254"/>
      <c r="Z58" s="254"/>
      <c r="AA58" s="254"/>
      <c r="AB58" s="254"/>
      <c r="AC58" s="254"/>
      <c r="AD58" s="254"/>
    </row>
    <row r="59" spans="1:30" ht="12" customHeight="1" x14ac:dyDescent="0.25">
      <c r="A59" s="254"/>
      <c r="B59" s="254"/>
      <c r="C59" s="254"/>
      <c r="D59" s="254"/>
      <c r="E59" s="254"/>
      <c r="F59" s="254"/>
      <c r="G59" s="254"/>
      <c r="H59" s="254"/>
      <c r="I59" s="254"/>
      <c r="J59" s="254"/>
      <c r="K59" s="254"/>
      <c r="L59" s="254"/>
      <c r="M59" s="254"/>
      <c r="N59" s="254"/>
      <c r="O59" s="254"/>
      <c r="P59" s="254"/>
      <c r="Q59" s="254"/>
      <c r="R59" s="254"/>
      <c r="S59" s="254"/>
      <c r="T59" s="254"/>
      <c r="U59" s="254"/>
      <c r="V59" s="254"/>
      <c r="W59" s="254"/>
      <c r="X59" s="254"/>
      <c r="Y59" s="254"/>
      <c r="Z59" s="254"/>
      <c r="AA59" s="254"/>
      <c r="AB59" s="254"/>
      <c r="AC59" s="254"/>
      <c r="AD59" s="254"/>
    </row>
    <row r="60" spans="1:30" ht="12" customHeight="1" x14ac:dyDescent="0.25">
      <c r="A60" s="254"/>
      <c r="B60" s="254"/>
      <c r="C60" s="254"/>
      <c r="D60" s="254"/>
      <c r="E60" s="254"/>
      <c r="F60" s="254"/>
      <c r="G60" s="254"/>
      <c r="H60" s="254"/>
      <c r="I60" s="254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54"/>
      <c r="Z60" s="254"/>
      <c r="AA60" s="254"/>
      <c r="AB60" s="254"/>
      <c r="AC60" s="254"/>
      <c r="AD60" s="254"/>
    </row>
    <row r="61" spans="1:30" ht="12" customHeight="1" x14ac:dyDescent="0.25">
      <c r="B61" s="5"/>
      <c r="C61" s="5"/>
      <c r="D61" s="5"/>
      <c r="E61" s="5"/>
      <c r="F61" s="5"/>
      <c r="G61" s="5"/>
      <c r="H61" s="5"/>
      <c r="I61" s="5"/>
      <c r="J61" s="5"/>
    </row>
    <row r="62" spans="1:30" ht="12" customHeight="1" x14ac:dyDescent="0.25">
      <c r="B62" s="5"/>
      <c r="C62" s="5"/>
      <c r="D62" s="5"/>
      <c r="E62" s="5"/>
      <c r="F62" s="5"/>
      <c r="G62" s="5"/>
      <c r="H62" s="5"/>
      <c r="I62" s="5"/>
      <c r="J62" s="5"/>
    </row>
    <row r="63" spans="1:30" ht="12" customHeight="1" x14ac:dyDescent="0.25">
      <c r="B63" s="5"/>
      <c r="C63" s="5"/>
      <c r="D63" s="5"/>
      <c r="E63" s="5"/>
      <c r="F63" s="5"/>
      <c r="G63" s="5"/>
      <c r="H63" s="5"/>
      <c r="I63" s="5"/>
      <c r="J63" s="5"/>
    </row>
    <row r="64" spans="1:30" ht="12" customHeight="1" x14ac:dyDescent="0.25">
      <c r="B64" s="5"/>
      <c r="C64" s="5"/>
      <c r="D64" s="5"/>
      <c r="E64" s="5"/>
      <c r="F64" s="5"/>
      <c r="G64" s="5"/>
      <c r="H64" s="5"/>
      <c r="I64" s="5"/>
      <c r="J64" s="5"/>
    </row>
    <row r="65" spans="2:10" ht="12" customHeight="1" x14ac:dyDescent="0.25">
      <c r="B65" s="5"/>
      <c r="C65" s="5"/>
      <c r="D65" s="5"/>
      <c r="E65" s="5"/>
      <c r="F65" s="5"/>
      <c r="G65" s="5"/>
      <c r="H65" s="5"/>
      <c r="I65" s="5"/>
      <c r="J65" s="5"/>
    </row>
    <row r="66" spans="2:10" ht="12" customHeight="1" x14ac:dyDescent="0.25">
      <c r="B66" s="5"/>
      <c r="C66" s="5"/>
      <c r="D66" s="5"/>
      <c r="E66" s="5"/>
      <c r="F66" s="5"/>
      <c r="G66" s="5"/>
      <c r="H66" s="5"/>
      <c r="I66" s="5"/>
      <c r="J66" s="5"/>
    </row>
    <row r="67" spans="2:10" ht="12" customHeight="1" x14ac:dyDescent="0.25">
      <c r="B67" s="5"/>
      <c r="C67" s="5"/>
      <c r="D67" s="5"/>
      <c r="E67" s="5"/>
      <c r="F67" s="5"/>
      <c r="G67" s="5"/>
      <c r="H67" s="5"/>
      <c r="I67" s="5"/>
      <c r="J67" s="5"/>
    </row>
    <row r="68" spans="2:10" ht="12" customHeight="1" x14ac:dyDescent="0.25">
      <c r="B68" s="5"/>
      <c r="C68" s="5"/>
      <c r="D68" s="5"/>
      <c r="E68" s="5"/>
      <c r="F68" s="5"/>
      <c r="G68" s="5"/>
      <c r="H68" s="5"/>
      <c r="I68" s="5"/>
      <c r="J68" s="5"/>
    </row>
    <row r="69" spans="2:10" ht="12" customHeight="1" x14ac:dyDescent="0.25">
      <c r="B69" s="5"/>
      <c r="C69" s="5"/>
      <c r="D69" s="5"/>
      <c r="E69" s="5"/>
      <c r="F69" s="5"/>
      <c r="G69" s="5"/>
      <c r="H69" s="5"/>
      <c r="I69" s="5"/>
      <c r="J69" s="5"/>
    </row>
    <row r="70" spans="2:10" ht="12" customHeight="1" x14ac:dyDescent="0.25">
      <c r="B70" s="5"/>
      <c r="C70" s="5"/>
      <c r="D70" s="5"/>
      <c r="E70" s="5"/>
      <c r="F70" s="5"/>
      <c r="G70" s="5"/>
      <c r="H70" s="5"/>
      <c r="I70" s="5"/>
      <c r="J70" s="5"/>
    </row>
    <row r="71" spans="2:10" ht="12" customHeight="1" x14ac:dyDescent="0.25">
      <c r="B71" s="5"/>
      <c r="C71" s="5"/>
      <c r="D71" s="5"/>
      <c r="E71" s="5"/>
      <c r="F71" s="5"/>
      <c r="G71" s="5"/>
      <c r="H71" s="5"/>
      <c r="I71" s="5"/>
      <c r="J71" s="5"/>
    </row>
    <row r="72" spans="2:10" ht="12" customHeight="1" x14ac:dyDescent="0.25">
      <c r="B72" s="5"/>
      <c r="C72" s="5"/>
      <c r="D72" s="5"/>
      <c r="E72" s="5"/>
      <c r="F72" s="5"/>
      <c r="G72" s="5"/>
      <c r="H72" s="5"/>
      <c r="I72" s="5"/>
      <c r="J72" s="5"/>
    </row>
    <row r="73" spans="2:10" ht="12" customHeight="1" x14ac:dyDescent="0.25">
      <c r="B73" s="5"/>
      <c r="C73" s="5"/>
      <c r="D73" s="5"/>
      <c r="E73" s="5"/>
      <c r="F73" s="5"/>
      <c r="G73" s="5"/>
      <c r="H73" s="5"/>
      <c r="I73" s="5"/>
      <c r="J73" s="5"/>
    </row>
    <row r="74" spans="2:10" ht="12" customHeight="1" x14ac:dyDescent="0.25">
      <c r="B74" s="5"/>
      <c r="C74" s="5"/>
      <c r="D74" s="5"/>
      <c r="E74" s="5"/>
      <c r="F74" s="5"/>
      <c r="G74" s="5"/>
      <c r="H74" s="5"/>
      <c r="I74" s="5"/>
      <c r="J74" s="5"/>
    </row>
    <row r="75" spans="2:10" ht="12" customHeight="1" x14ac:dyDescent="0.25">
      <c r="B75" s="5"/>
      <c r="C75" s="5"/>
      <c r="D75" s="5"/>
      <c r="E75" s="5"/>
      <c r="F75" s="5"/>
      <c r="G75" s="5"/>
      <c r="H75" s="5"/>
      <c r="I75" s="5"/>
      <c r="J75" s="5"/>
    </row>
    <row r="76" spans="2:10" ht="12" customHeight="1" x14ac:dyDescent="0.25">
      <c r="B76" s="5"/>
      <c r="C76" s="5"/>
      <c r="D76" s="5"/>
      <c r="E76" s="5"/>
      <c r="F76" s="5"/>
      <c r="G76" s="5"/>
      <c r="H76" s="5"/>
      <c r="I76" s="5"/>
      <c r="J76" s="5"/>
    </row>
    <row r="77" spans="2:10" ht="12" customHeight="1" x14ac:dyDescent="0.25">
      <c r="B77" s="5"/>
      <c r="C77" s="5"/>
      <c r="D77" s="5"/>
      <c r="E77" s="5"/>
      <c r="F77" s="5"/>
      <c r="G77" s="5"/>
      <c r="H77" s="5"/>
      <c r="I77" s="5"/>
      <c r="J77" s="5"/>
    </row>
    <row r="78" spans="2:10" ht="12" customHeight="1" x14ac:dyDescent="0.25">
      <c r="B78" s="5"/>
      <c r="C78" s="5"/>
      <c r="D78" s="5"/>
      <c r="E78" s="5"/>
      <c r="F78" s="5"/>
      <c r="G78" s="5"/>
      <c r="H78" s="5"/>
      <c r="I78" s="5"/>
      <c r="J78" s="5"/>
    </row>
    <row r="79" spans="2:10" ht="12" customHeight="1" x14ac:dyDescent="0.25">
      <c r="B79" s="5"/>
      <c r="C79" s="5"/>
      <c r="D79" s="5"/>
      <c r="E79" s="5"/>
      <c r="F79" s="5"/>
      <c r="G79" s="5"/>
      <c r="H79" s="5"/>
      <c r="I79" s="5"/>
      <c r="J79" s="5"/>
    </row>
    <row r="80" spans="2:10" ht="12" customHeight="1" x14ac:dyDescent="0.25">
      <c r="B80" s="5"/>
      <c r="C80" s="5"/>
      <c r="D80" s="5"/>
      <c r="E80" s="5"/>
      <c r="F80" s="5"/>
      <c r="G80" s="5"/>
      <c r="H80" s="5"/>
      <c r="I80" s="5"/>
      <c r="J80" s="5"/>
    </row>
    <row r="81" spans="2:10" ht="12" customHeight="1" x14ac:dyDescent="0.25">
      <c r="B81" s="5"/>
      <c r="C81" s="5"/>
      <c r="D81" s="5"/>
      <c r="E81" s="5"/>
      <c r="F81" s="5"/>
      <c r="G81" s="5"/>
      <c r="H81" s="5"/>
      <c r="I81" s="5"/>
      <c r="J81" s="5"/>
    </row>
    <row r="82" spans="2:10" ht="12" customHeight="1" x14ac:dyDescent="0.25">
      <c r="B82" s="5"/>
      <c r="C82" s="5"/>
      <c r="D82" s="5"/>
      <c r="E82" s="5"/>
      <c r="F82" s="5"/>
      <c r="G82" s="5"/>
      <c r="H82" s="5"/>
      <c r="I82" s="5"/>
      <c r="J82" s="5"/>
    </row>
    <row r="83" spans="2:10" ht="12" customHeight="1" x14ac:dyDescent="0.25">
      <c r="B83" s="5"/>
      <c r="C83" s="5"/>
      <c r="D83" s="5"/>
      <c r="E83" s="5"/>
      <c r="F83" s="5"/>
      <c r="G83" s="5"/>
      <c r="H83" s="5"/>
      <c r="I83" s="5"/>
      <c r="J83" s="5"/>
    </row>
    <row r="84" spans="2:10" ht="12" customHeight="1" x14ac:dyDescent="0.25">
      <c r="B84" s="5"/>
      <c r="C84" s="5"/>
      <c r="D84" s="5"/>
      <c r="E84" s="5"/>
      <c r="F84" s="5"/>
      <c r="G84" s="5"/>
      <c r="H84" s="5"/>
      <c r="I84" s="5"/>
      <c r="J84" s="5"/>
    </row>
    <row r="85" spans="2:10" ht="12" customHeight="1" x14ac:dyDescent="0.25">
      <c r="B85" s="5"/>
      <c r="C85" s="5"/>
      <c r="D85" s="5"/>
      <c r="E85" s="5"/>
      <c r="F85" s="5"/>
      <c r="G85" s="5"/>
      <c r="H85" s="5"/>
      <c r="I85" s="5"/>
      <c r="J85" s="5"/>
    </row>
    <row r="86" spans="2:10" ht="12" customHeight="1" x14ac:dyDescent="0.25">
      <c r="B86" s="5"/>
      <c r="C86" s="5"/>
      <c r="D86" s="5"/>
      <c r="E86" s="5"/>
      <c r="F86" s="5"/>
      <c r="G86" s="5"/>
      <c r="H86" s="5"/>
      <c r="I86" s="5"/>
      <c r="J86" s="5"/>
    </row>
    <row r="87" spans="2:10" ht="12" customHeight="1" x14ac:dyDescent="0.25">
      <c r="B87" s="5"/>
      <c r="C87" s="5"/>
      <c r="D87" s="5"/>
      <c r="E87" s="5"/>
      <c r="F87" s="5"/>
      <c r="G87" s="5"/>
      <c r="H87" s="5"/>
      <c r="I87" s="5"/>
      <c r="J87" s="5"/>
    </row>
    <row r="88" spans="2:10" ht="12" customHeight="1" x14ac:dyDescent="0.25">
      <c r="B88" s="5"/>
      <c r="C88" s="5"/>
      <c r="D88" s="5"/>
      <c r="E88" s="5"/>
      <c r="F88" s="5"/>
      <c r="G88" s="5"/>
      <c r="H88" s="5"/>
      <c r="I88" s="5"/>
      <c r="J88" s="5"/>
    </row>
    <row r="89" spans="2:10" ht="12" customHeight="1" x14ac:dyDescent="0.25">
      <c r="B89" s="5"/>
      <c r="C89" s="5"/>
      <c r="D89" s="5"/>
      <c r="E89" s="5"/>
      <c r="F89" s="5"/>
      <c r="G89" s="5"/>
      <c r="H89" s="5"/>
      <c r="I89" s="5"/>
      <c r="J89" s="5"/>
    </row>
    <row r="90" spans="2:10" ht="12" customHeight="1" x14ac:dyDescent="0.25">
      <c r="B90" s="5"/>
      <c r="C90" s="5"/>
      <c r="D90" s="5"/>
      <c r="E90" s="5"/>
      <c r="F90" s="5"/>
      <c r="G90" s="5"/>
      <c r="H90" s="5"/>
      <c r="I90" s="5"/>
      <c r="J90" s="5"/>
    </row>
    <row r="91" spans="2:10" ht="12" customHeight="1" x14ac:dyDescent="0.25">
      <c r="B91" s="5"/>
      <c r="C91" s="5"/>
      <c r="D91" s="5"/>
      <c r="E91" s="5"/>
      <c r="F91" s="5"/>
      <c r="G91" s="5"/>
      <c r="H91" s="5"/>
      <c r="I91" s="5"/>
      <c r="J91" s="5"/>
    </row>
    <row r="92" spans="2:10" ht="12" customHeight="1" x14ac:dyDescent="0.25">
      <c r="B92" s="5"/>
      <c r="C92" s="5"/>
      <c r="D92" s="5"/>
      <c r="E92" s="5"/>
      <c r="F92" s="5"/>
      <c r="G92" s="5"/>
      <c r="H92" s="5"/>
      <c r="I92" s="5"/>
      <c r="J92" s="5"/>
    </row>
    <row r="93" spans="2:10" ht="12" customHeight="1" x14ac:dyDescent="0.25">
      <c r="B93" s="5"/>
      <c r="C93" s="5"/>
      <c r="D93" s="5"/>
      <c r="E93" s="5"/>
      <c r="F93" s="5"/>
      <c r="G93" s="5"/>
      <c r="H93" s="5"/>
      <c r="I93" s="5"/>
      <c r="J93" s="5"/>
    </row>
    <row r="94" spans="2:10" ht="12" customHeight="1" x14ac:dyDescent="0.25">
      <c r="B94" s="5"/>
      <c r="C94" s="5"/>
      <c r="D94" s="5"/>
      <c r="E94" s="5"/>
      <c r="F94" s="5"/>
      <c r="G94" s="5"/>
      <c r="H94" s="5"/>
      <c r="I94" s="5"/>
      <c r="J94" s="5"/>
    </row>
    <row r="95" spans="2:10" ht="12" customHeight="1" x14ac:dyDescent="0.25">
      <c r="B95" s="5"/>
      <c r="C95" s="5"/>
      <c r="D95" s="5"/>
      <c r="E95" s="5"/>
      <c r="F95" s="5"/>
      <c r="G95" s="5"/>
      <c r="H95" s="5"/>
      <c r="I95" s="5"/>
      <c r="J95" s="5"/>
    </row>
    <row r="96" spans="2:10" ht="12" customHeight="1" x14ac:dyDescent="0.25">
      <c r="B96" s="5"/>
      <c r="C96" s="5"/>
      <c r="D96" s="5"/>
      <c r="E96" s="5"/>
      <c r="F96" s="5"/>
      <c r="G96" s="5"/>
      <c r="H96" s="5"/>
      <c r="I96" s="5"/>
      <c r="J96" s="5"/>
    </row>
    <row r="97" spans="2:10" ht="12" customHeight="1" x14ac:dyDescent="0.25">
      <c r="B97" s="5"/>
      <c r="C97" s="5"/>
      <c r="D97" s="5"/>
      <c r="E97" s="5"/>
      <c r="F97" s="5"/>
      <c r="G97" s="5"/>
      <c r="H97" s="5"/>
      <c r="I97" s="5"/>
      <c r="J97" s="5"/>
    </row>
    <row r="98" spans="2:10" ht="12" customHeight="1" x14ac:dyDescent="0.25">
      <c r="B98" s="5"/>
      <c r="C98" s="5"/>
      <c r="D98" s="5"/>
      <c r="E98" s="5"/>
      <c r="F98" s="5"/>
      <c r="G98" s="5"/>
      <c r="H98" s="5"/>
      <c r="I98" s="5"/>
      <c r="J98" s="5"/>
    </row>
    <row r="99" spans="2:10" ht="12" customHeight="1" x14ac:dyDescent="0.25">
      <c r="B99" s="5"/>
      <c r="C99" s="5"/>
      <c r="D99" s="5"/>
      <c r="E99" s="5"/>
      <c r="F99" s="5"/>
      <c r="G99" s="5"/>
      <c r="H99" s="5"/>
      <c r="I99" s="5"/>
      <c r="J99" s="5"/>
    </row>
    <row r="100" spans="2:10" ht="12" customHeight="1" x14ac:dyDescent="0.25">
      <c r="B100" s="5"/>
      <c r="C100" s="5"/>
      <c r="D100" s="5"/>
      <c r="E100" s="5"/>
      <c r="F100" s="5"/>
      <c r="G100" s="5"/>
      <c r="H100" s="5"/>
      <c r="I100" s="5"/>
      <c r="J100" s="5"/>
    </row>
    <row r="101" spans="2:10" ht="12" customHeight="1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2" spans="2:10" ht="12" customHeight="1" x14ac:dyDescent="0.25">
      <c r="B102" s="5"/>
      <c r="C102" s="5"/>
      <c r="D102" s="5"/>
      <c r="E102" s="5"/>
      <c r="F102" s="5"/>
      <c r="G102" s="5"/>
      <c r="H102" s="5"/>
      <c r="I102" s="5"/>
      <c r="J102" s="5"/>
    </row>
    <row r="103" spans="2:10" ht="12" customHeight="1" x14ac:dyDescent="0.25">
      <c r="B103" s="5"/>
      <c r="C103" s="5"/>
      <c r="D103" s="5"/>
      <c r="E103" s="5"/>
      <c r="F103" s="5"/>
      <c r="G103" s="5"/>
      <c r="H103" s="5"/>
      <c r="I103" s="5"/>
      <c r="J103" s="5"/>
    </row>
    <row r="104" spans="2:10" ht="12" customHeight="1" x14ac:dyDescent="0.25">
      <c r="B104" s="5"/>
      <c r="C104" s="5"/>
      <c r="D104" s="5"/>
      <c r="E104" s="5"/>
      <c r="F104" s="5"/>
      <c r="G104" s="5"/>
      <c r="H104" s="5"/>
      <c r="I104" s="5"/>
      <c r="J104" s="5"/>
    </row>
    <row r="105" spans="2:10" ht="12" customHeight="1" x14ac:dyDescent="0.25">
      <c r="B105" s="5"/>
      <c r="C105" s="5"/>
      <c r="D105" s="5"/>
      <c r="E105" s="5"/>
      <c r="F105" s="5"/>
      <c r="G105" s="5"/>
      <c r="H105" s="5"/>
      <c r="I105" s="5"/>
      <c r="J105" s="5"/>
    </row>
    <row r="106" spans="2:10" ht="12" customHeight="1" x14ac:dyDescent="0.25">
      <c r="B106" s="5"/>
      <c r="C106" s="5"/>
      <c r="D106" s="5"/>
      <c r="E106" s="5"/>
      <c r="F106" s="5"/>
      <c r="G106" s="5"/>
      <c r="H106" s="5"/>
      <c r="I106" s="5"/>
      <c r="J106" s="5"/>
    </row>
    <row r="107" spans="2:10" ht="12" customHeight="1" x14ac:dyDescent="0.25">
      <c r="B107" s="5"/>
      <c r="C107" s="5"/>
      <c r="D107" s="5"/>
      <c r="E107" s="5"/>
      <c r="F107" s="5"/>
      <c r="G107" s="5"/>
      <c r="H107" s="5"/>
      <c r="I107" s="5"/>
      <c r="J107" s="5"/>
    </row>
    <row r="108" spans="2:10" ht="12" customHeight="1" x14ac:dyDescent="0.25">
      <c r="B108" s="5"/>
      <c r="C108" s="5"/>
      <c r="D108" s="5"/>
      <c r="E108" s="5"/>
      <c r="F108" s="5"/>
      <c r="G108" s="5"/>
      <c r="H108" s="5"/>
      <c r="I108" s="5"/>
      <c r="J108" s="5"/>
    </row>
    <row r="109" spans="2:10" ht="12" customHeight="1" x14ac:dyDescent="0.25">
      <c r="B109" s="5"/>
      <c r="C109" s="5"/>
      <c r="D109" s="5"/>
      <c r="E109" s="5"/>
      <c r="F109" s="5"/>
      <c r="G109" s="5"/>
      <c r="H109" s="5"/>
      <c r="I109" s="5"/>
      <c r="J109" s="5"/>
    </row>
    <row r="110" spans="2:10" ht="12" customHeight="1" x14ac:dyDescent="0.25">
      <c r="B110" s="5"/>
      <c r="C110" s="5"/>
      <c r="D110" s="5"/>
      <c r="E110" s="5"/>
      <c r="F110" s="5"/>
      <c r="G110" s="5"/>
      <c r="H110" s="5"/>
      <c r="I110" s="5"/>
      <c r="J110" s="5"/>
    </row>
    <row r="111" spans="2:10" ht="12" customHeight="1" x14ac:dyDescent="0.25">
      <c r="B111" s="5"/>
      <c r="C111" s="5"/>
      <c r="D111" s="5"/>
      <c r="E111" s="5"/>
      <c r="F111" s="5"/>
      <c r="G111" s="5"/>
      <c r="H111" s="5"/>
      <c r="I111" s="5"/>
      <c r="J111" s="5"/>
    </row>
    <row r="112" spans="2:10" ht="12" customHeight="1" x14ac:dyDescent="0.25"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2" customHeight="1" x14ac:dyDescent="0.25"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2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 spans="1:10" ht="12" customHeight="1" x14ac:dyDescent="0.25"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2" customHeight="1" x14ac:dyDescent="0.25"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2" customHeight="1" x14ac:dyDescent="0.25"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2" customHeight="1" x14ac:dyDescent="0.25"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2" customHeight="1" x14ac:dyDescent="0.25"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2" customHeight="1" x14ac:dyDescent="0.25"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2" customHeight="1" x14ac:dyDescent="0.25"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2" customHeight="1" x14ac:dyDescent="0.25"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2" customHeight="1" x14ac:dyDescent="0.25"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2" customHeight="1" x14ac:dyDescent="0.25"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2" customHeight="1" x14ac:dyDescent="0.25"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2" customHeight="1" x14ac:dyDescent="0.25"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2" customHeight="1" x14ac:dyDescent="0.25"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2" customHeight="1" x14ac:dyDescent="0.25">
      <c r="B128" s="5"/>
      <c r="C128" s="5"/>
      <c r="D128" s="5"/>
      <c r="E128" s="5"/>
      <c r="F128" s="5"/>
      <c r="G128" s="5"/>
      <c r="H128" s="5"/>
      <c r="I128" s="5"/>
      <c r="J128" s="5"/>
    </row>
    <row r="129" spans="2:10" ht="12" customHeight="1" x14ac:dyDescent="0.25">
      <c r="B129" s="5"/>
      <c r="C129" s="5"/>
      <c r="D129" s="5"/>
      <c r="E129" s="5"/>
      <c r="F129" s="5"/>
      <c r="G129" s="5"/>
      <c r="H129" s="5"/>
      <c r="I129" s="5"/>
      <c r="J129" s="5"/>
    </row>
    <row r="130" spans="2:10" ht="12" customHeight="1" x14ac:dyDescent="0.25">
      <c r="B130" s="5"/>
      <c r="C130" s="5"/>
      <c r="D130" s="5"/>
      <c r="E130" s="5"/>
      <c r="F130" s="5"/>
      <c r="G130" s="5"/>
      <c r="H130" s="5"/>
      <c r="I130" s="5"/>
      <c r="J130" s="5"/>
    </row>
    <row r="131" spans="2:10" ht="12" customHeight="1" x14ac:dyDescent="0.25">
      <c r="B131" s="5"/>
      <c r="C131" s="5"/>
      <c r="D131" s="5"/>
      <c r="E131" s="5"/>
      <c r="F131" s="5"/>
      <c r="G131" s="5"/>
      <c r="H131" s="5"/>
      <c r="I131" s="5"/>
      <c r="J131" s="5"/>
    </row>
    <row r="132" spans="2:10" ht="12" customHeight="1" x14ac:dyDescent="0.25">
      <c r="B132" s="5"/>
      <c r="C132" s="5"/>
      <c r="D132" s="5"/>
      <c r="E132" s="5"/>
      <c r="F132" s="5"/>
      <c r="G132" s="5"/>
      <c r="H132" s="5"/>
      <c r="I132" s="5"/>
      <c r="J132" s="5"/>
    </row>
    <row r="133" spans="2:10" ht="12" customHeight="1" x14ac:dyDescent="0.25">
      <c r="B133" s="5"/>
      <c r="C133" s="5"/>
      <c r="D133" s="5"/>
      <c r="E133" s="5"/>
      <c r="F133" s="5"/>
      <c r="G133" s="5"/>
      <c r="H133" s="5"/>
      <c r="I133" s="5"/>
      <c r="J133" s="5"/>
    </row>
    <row r="134" spans="2:10" ht="12" customHeight="1" x14ac:dyDescent="0.25">
      <c r="B134" s="5"/>
      <c r="C134" s="5"/>
      <c r="D134" s="5"/>
      <c r="E134" s="5"/>
      <c r="F134" s="5"/>
      <c r="G134" s="5"/>
      <c r="H134" s="5"/>
      <c r="I134" s="5"/>
      <c r="J134" s="5"/>
    </row>
    <row r="135" spans="2:10" ht="12" customHeight="1" x14ac:dyDescent="0.25">
      <c r="B135" s="5"/>
      <c r="C135" s="5"/>
      <c r="D135" s="5"/>
      <c r="E135" s="5"/>
      <c r="F135" s="5"/>
      <c r="G135" s="5"/>
      <c r="H135" s="5"/>
      <c r="I135" s="5"/>
      <c r="J135" s="5"/>
    </row>
    <row r="136" spans="2:10" ht="12" customHeight="1" x14ac:dyDescent="0.25">
      <c r="B136" s="5"/>
      <c r="C136" s="5"/>
      <c r="D136" s="5"/>
      <c r="E136" s="5"/>
      <c r="F136" s="5"/>
      <c r="G136" s="5"/>
      <c r="H136" s="5"/>
      <c r="I136" s="5"/>
      <c r="J136" s="5"/>
    </row>
    <row r="137" spans="2:10" ht="12" customHeight="1" x14ac:dyDescent="0.25">
      <c r="B137" s="5"/>
      <c r="C137" s="5"/>
      <c r="D137" s="5"/>
      <c r="E137" s="5"/>
      <c r="F137" s="5"/>
      <c r="G137" s="5"/>
      <c r="H137" s="5"/>
      <c r="I137" s="5"/>
      <c r="J137" s="5"/>
    </row>
    <row r="138" spans="2:10" ht="12" customHeight="1" x14ac:dyDescent="0.25">
      <c r="B138" s="5"/>
      <c r="C138" s="5"/>
      <c r="D138" s="5"/>
      <c r="E138" s="5"/>
      <c r="F138" s="5"/>
      <c r="G138" s="5"/>
      <c r="H138" s="5"/>
      <c r="I138" s="5"/>
      <c r="J138" s="5"/>
    </row>
    <row r="139" spans="2:10" ht="12" customHeight="1" x14ac:dyDescent="0.25">
      <c r="B139" s="5"/>
      <c r="C139" s="5"/>
      <c r="D139" s="5"/>
      <c r="E139" s="5"/>
      <c r="F139" s="5"/>
      <c r="G139" s="5"/>
      <c r="H139" s="5"/>
      <c r="I139" s="5"/>
      <c r="J139" s="5"/>
    </row>
    <row r="140" spans="2:10" ht="12" customHeight="1" x14ac:dyDescent="0.25">
      <c r="B140" s="5"/>
      <c r="C140" s="5"/>
      <c r="D140" s="5"/>
      <c r="E140" s="5"/>
      <c r="F140" s="5"/>
      <c r="G140" s="5"/>
      <c r="H140" s="5"/>
      <c r="I140" s="5"/>
      <c r="J140" s="5"/>
    </row>
    <row r="141" spans="2:10" ht="12" customHeight="1" x14ac:dyDescent="0.25">
      <c r="B141" s="5"/>
      <c r="C141" s="5"/>
      <c r="D141" s="5"/>
      <c r="E141" s="5"/>
      <c r="F141" s="5"/>
      <c r="G141" s="5"/>
      <c r="H141" s="5"/>
      <c r="I141" s="5"/>
      <c r="J141" s="5"/>
    </row>
    <row r="142" spans="2:10" ht="12" customHeight="1" x14ac:dyDescent="0.25">
      <c r="B142" s="5"/>
      <c r="C142" s="5"/>
      <c r="D142" s="5"/>
      <c r="E142" s="5"/>
      <c r="F142" s="5"/>
      <c r="G142" s="5"/>
      <c r="H142" s="5"/>
      <c r="I142" s="5"/>
      <c r="J142" s="5"/>
    </row>
    <row r="143" spans="2:10" ht="12" customHeight="1" x14ac:dyDescent="0.25">
      <c r="B143" s="5"/>
      <c r="C143" s="5"/>
      <c r="D143" s="5"/>
      <c r="E143" s="5"/>
      <c r="F143" s="5"/>
      <c r="G143" s="5"/>
      <c r="H143" s="5"/>
      <c r="I143" s="5"/>
      <c r="J143" s="5"/>
    </row>
    <row r="144" spans="2:10" ht="12" customHeight="1" x14ac:dyDescent="0.25">
      <c r="B144" s="5"/>
      <c r="C144" s="5"/>
      <c r="D144" s="5"/>
      <c r="E144" s="5"/>
      <c r="F144" s="5"/>
      <c r="G144" s="5"/>
      <c r="H144" s="5"/>
      <c r="I144" s="5"/>
      <c r="J144" s="5"/>
    </row>
    <row r="145" spans="2:10" ht="12" customHeight="1" x14ac:dyDescent="0.25">
      <c r="B145" s="5"/>
      <c r="C145" s="5"/>
      <c r="D145" s="5"/>
      <c r="E145" s="5"/>
      <c r="F145" s="5"/>
      <c r="G145" s="5"/>
      <c r="H145" s="5"/>
      <c r="I145" s="5"/>
      <c r="J145" s="5"/>
    </row>
    <row r="146" spans="2:10" ht="12" customHeight="1" x14ac:dyDescent="0.25">
      <c r="B146" s="5"/>
      <c r="C146" s="5"/>
      <c r="D146" s="5"/>
      <c r="E146" s="5"/>
      <c r="F146" s="5"/>
      <c r="G146" s="5"/>
      <c r="H146" s="5"/>
      <c r="I146" s="5"/>
      <c r="J146" s="5"/>
    </row>
    <row r="147" spans="2:10" ht="12" customHeight="1" x14ac:dyDescent="0.25">
      <c r="B147" s="5"/>
      <c r="C147" s="5"/>
      <c r="D147" s="5"/>
      <c r="E147" s="5"/>
      <c r="F147" s="5"/>
      <c r="G147" s="5"/>
      <c r="H147" s="5"/>
      <c r="I147" s="5"/>
      <c r="J147" s="5"/>
    </row>
    <row r="148" spans="2:10" ht="12" customHeight="1" x14ac:dyDescent="0.25">
      <c r="B148" s="5"/>
      <c r="C148" s="5"/>
      <c r="D148" s="5"/>
      <c r="E148" s="5"/>
      <c r="F148" s="5"/>
      <c r="G148" s="5"/>
      <c r="H148" s="5"/>
      <c r="I148" s="5"/>
      <c r="J148" s="5"/>
    </row>
    <row r="149" spans="2:10" ht="12" customHeight="1" x14ac:dyDescent="0.25">
      <c r="B149" s="5"/>
      <c r="C149" s="5"/>
      <c r="D149" s="5"/>
      <c r="E149" s="5"/>
      <c r="F149" s="5"/>
      <c r="G149" s="5"/>
      <c r="H149" s="5"/>
      <c r="I149" s="5"/>
      <c r="J149" s="5"/>
    </row>
    <row r="150" spans="2:10" ht="12" customHeight="1" x14ac:dyDescent="0.25">
      <c r="B150" s="5"/>
      <c r="C150" s="5"/>
      <c r="D150" s="5"/>
      <c r="E150" s="5"/>
      <c r="F150" s="5"/>
      <c r="G150" s="5"/>
      <c r="H150" s="5"/>
      <c r="I150" s="5"/>
      <c r="J150" s="5"/>
    </row>
    <row r="151" spans="2:10" ht="12" customHeight="1" x14ac:dyDescent="0.25">
      <c r="B151" s="5"/>
      <c r="C151" s="5"/>
      <c r="D151" s="5"/>
      <c r="E151" s="5"/>
      <c r="F151" s="5"/>
      <c r="G151" s="5"/>
      <c r="H151" s="5"/>
      <c r="I151" s="5"/>
      <c r="J151" s="5"/>
    </row>
    <row r="152" spans="2:10" ht="12" customHeight="1" x14ac:dyDescent="0.25">
      <c r="B152" s="5"/>
      <c r="C152" s="5"/>
      <c r="D152" s="5"/>
      <c r="E152" s="5"/>
      <c r="F152" s="5"/>
      <c r="G152" s="5"/>
      <c r="H152" s="5"/>
      <c r="I152" s="5"/>
      <c r="J152" s="5"/>
    </row>
    <row r="153" spans="2:10" ht="12" customHeight="1" x14ac:dyDescent="0.25">
      <c r="B153" s="5"/>
      <c r="C153" s="5"/>
      <c r="D153" s="5"/>
      <c r="E153" s="5"/>
      <c r="F153" s="5"/>
      <c r="G153" s="5"/>
      <c r="H153" s="5"/>
      <c r="I153" s="5"/>
      <c r="J153" s="5"/>
    </row>
    <row r="154" spans="2:10" ht="12" customHeight="1" x14ac:dyDescent="0.25">
      <c r="B154" s="5"/>
      <c r="C154" s="5"/>
      <c r="D154" s="5"/>
      <c r="E154" s="5"/>
      <c r="F154" s="5"/>
      <c r="G154" s="5"/>
      <c r="H154" s="5"/>
      <c r="I154" s="5"/>
      <c r="J154" s="5"/>
    </row>
    <row r="155" spans="2:10" ht="12" customHeight="1" x14ac:dyDescent="0.25">
      <c r="B155" s="5"/>
      <c r="C155" s="5"/>
      <c r="D155" s="5"/>
      <c r="E155" s="5"/>
      <c r="F155" s="5"/>
      <c r="G155" s="5"/>
      <c r="H155" s="5"/>
      <c r="I155" s="5"/>
      <c r="J155" s="5"/>
    </row>
    <row r="156" spans="2:10" ht="12" customHeight="1" x14ac:dyDescent="0.25">
      <c r="B156" s="5"/>
      <c r="C156" s="5"/>
      <c r="D156" s="5"/>
      <c r="E156" s="5"/>
      <c r="F156" s="5"/>
      <c r="G156" s="5"/>
      <c r="H156" s="5"/>
      <c r="I156" s="5"/>
      <c r="J156" s="5"/>
    </row>
    <row r="157" spans="2:10" ht="12" customHeight="1" x14ac:dyDescent="0.25">
      <c r="B157" s="5"/>
      <c r="C157" s="5"/>
      <c r="D157" s="5"/>
      <c r="E157" s="5"/>
      <c r="F157" s="5"/>
      <c r="G157" s="5"/>
      <c r="H157" s="5"/>
      <c r="I157" s="5"/>
      <c r="J157" s="5"/>
    </row>
    <row r="158" spans="2:10" ht="12" customHeight="1" x14ac:dyDescent="0.25">
      <c r="B158" s="5"/>
      <c r="C158" s="5"/>
      <c r="D158" s="5"/>
      <c r="E158" s="5"/>
      <c r="F158" s="5"/>
      <c r="G158" s="5"/>
      <c r="H158" s="5"/>
      <c r="I158" s="5"/>
      <c r="J158" s="5"/>
    </row>
    <row r="159" spans="2:10" ht="12" customHeight="1" x14ac:dyDescent="0.25">
      <c r="B159" s="5"/>
      <c r="C159" s="5"/>
      <c r="D159" s="5"/>
      <c r="E159" s="5"/>
      <c r="F159" s="5"/>
      <c r="G159" s="5"/>
      <c r="H159" s="5"/>
      <c r="I159" s="5"/>
      <c r="J159" s="5"/>
    </row>
    <row r="160" spans="2:10" ht="12" customHeight="1" x14ac:dyDescent="0.25"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2" customHeight="1" x14ac:dyDescent="0.25"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2" customHeight="1" x14ac:dyDescent="0.25"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2" customHeight="1" x14ac:dyDescent="0.25"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2" customHeight="1" x14ac:dyDescent="0.25"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2" customHeight="1" x14ac:dyDescent="0.25"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2" customHeight="1" x14ac:dyDescent="0.25"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2" customHeight="1" x14ac:dyDescent="0.25"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2" customHeight="1" x14ac:dyDescent="0.25"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2" customHeight="1" x14ac:dyDescent="0.25"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2" customHeight="1" x14ac:dyDescent="0.25"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2" customHeight="1" x14ac:dyDescent="0.25"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2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 spans="1:10" ht="12" customHeight="1" x14ac:dyDescent="0.25"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2" customHeight="1" x14ac:dyDescent="0.25"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2" customHeight="1" x14ac:dyDescent="0.25"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2" customHeight="1" x14ac:dyDescent="0.25">
      <c r="B176" s="5"/>
      <c r="C176" s="5"/>
      <c r="D176" s="5"/>
      <c r="E176" s="5"/>
      <c r="F176" s="5"/>
      <c r="G176" s="5"/>
      <c r="H176" s="5"/>
      <c r="I176" s="5"/>
      <c r="J176" s="5"/>
    </row>
    <row r="177" spans="2:10" ht="12" customHeight="1" x14ac:dyDescent="0.25">
      <c r="B177" s="5"/>
      <c r="C177" s="5"/>
      <c r="D177" s="5"/>
      <c r="E177" s="5"/>
      <c r="F177" s="5"/>
      <c r="G177" s="5"/>
      <c r="H177" s="5"/>
      <c r="I177" s="5"/>
      <c r="J177" s="5"/>
    </row>
    <row r="178" spans="2:10" ht="12" customHeight="1" x14ac:dyDescent="0.25">
      <c r="B178" s="5"/>
      <c r="C178" s="5"/>
      <c r="D178" s="5"/>
      <c r="E178" s="5"/>
      <c r="F178" s="5"/>
      <c r="G178" s="5"/>
      <c r="H178" s="5"/>
      <c r="I178" s="5"/>
      <c r="J178" s="5"/>
    </row>
    <row r="179" spans="2:10" ht="12" customHeight="1" x14ac:dyDescent="0.25">
      <c r="B179" s="5"/>
      <c r="C179" s="5"/>
      <c r="D179" s="5"/>
      <c r="E179" s="5"/>
      <c r="F179" s="5"/>
      <c r="G179" s="5"/>
      <c r="H179" s="5"/>
      <c r="I179" s="5"/>
      <c r="J179" s="5"/>
    </row>
    <row r="180" spans="2:10" ht="12" customHeight="1" x14ac:dyDescent="0.25">
      <c r="B180" s="5"/>
      <c r="C180" s="5"/>
      <c r="D180" s="5"/>
      <c r="E180" s="5"/>
      <c r="F180" s="5"/>
      <c r="G180" s="5"/>
      <c r="H180" s="5"/>
      <c r="I180" s="5"/>
      <c r="J180" s="5"/>
    </row>
    <row r="181" spans="2:10" ht="12" customHeight="1" x14ac:dyDescent="0.25">
      <c r="B181" s="5"/>
      <c r="C181" s="5"/>
      <c r="D181" s="5"/>
      <c r="E181" s="5"/>
      <c r="F181" s="5"/>
      <c r="G181" s="5"/>
      <c r="H181" s="5"/>
      <c r="I181" s="5"/>
      <c r="J181" s="5"/>
    </row>
    <row r="182" spans="2:10" ht="12" customHeight="1" x14ac:dyDescent="0.25">
      <c r="B182" s="5"/>
      <c r="C182" s="5"/>
      <c r="D182" s="5"/>
      <c r="E182" s="5"/>
      <c r="F182" s="5"/>
      <c r="G182" s="5"/>
      <c r="H182" s="5"/>
      <c r="I182" s="5"/>
      <c r="J182" s="5"/>
    </row>
    <row r="183" spans="2:10" ht="12" customHeight="1" x14ac:dyDescent="0.25">
      <c r="B183" s="5"/>
      <c r="C183" s="5"/>
      <c r="D183" s="5"/>
      <c r="E183" s="5"/>
      <c r="F183" s="5"/>
      <c r="G183" s="5"/>
      <c r="H183" s="5"/>
      <c r="I183" s="5"/>
      <c r="J183" s="5"/>
    </row>
    <row r="184" spans="2:10" ht="12" customHeight="1" x14ac:dyDescent="0.25">
      <c r="B184" s="5"/>
      <c r="C184" s="5"/>
      <c r="D184" s="5"/>
      <c r="E184" s="5"/>
      <c r="F184" s="5"/>
      <c r="G184" s="5"/>
      <c r="H184" s="5"/>
      <c r="I184" s="5"/>
      <c r="J184" s="5"/>
    </row>
    <row r="185" spans="2:10" ht="12" customHeight="1" x14ac:dyDescent="0.25">
      <c r="B185" s="5"/>
      <c r="C185" s="5"/>
      <c r="D185" s="5"/>
      <c r="E185" s="5"/>
      <c r="F185" s="5"/>
      <c r="G185" s="5"/>
      <c r="H185" s="5"/>
      <c r="I185" s="5"/>
      <c r="J185" s="5"/>
    </row>
    <row r="186" spans="2:10" ht="12" customHeight="1" x14ac:dyDescent="0.25">
      <c r="B186" s="5"/>
      <c r="C186" s="5"/>
      <c r="D186" s="5"/>
      <c r="E186" s="5"/>
      <c r="F186" s="5"/>
      <c r="G186" s="5"/>
      <c r="H186" s="5"/>
      <c r="I186" s="5"/>
      <c r="J186" s="5"/>
    </row>
    <row r="187" spans="2:10" ht="12" customHeight="1" x14ac:dyDescent="0.25">
      <c r="B187" s="5"/>
      <c r="C187" s="5"/>
      <c r="D187" s="5"/>
      <c r="E187" s="5"/>
      <c r="F187" s="5"/>
      <c r="G187" s="5"/>
      <c r="H187" s="5"/>
      <c r="I187" s="5"/>
      <c r="J187" s="5"/>
    </row>
    <row r="188" spans="2:10" ht="12" customHeight="1" x14ac:dyDescent="0.25">
      <c r="B188" s="5"/>
      <c r="C188" s="5"/>
      <c r="D188" s="5"/>
      <c r="E188" s="5"/>
      <c r="F188" s="5"/>
      <c r="G188" s="5"/>
      <c r="H188" s="5"/>
      <c r="I188" s="5"/>
      <c r="J188" s="5"/>
    </row>
    <row r="189" spans="2:10" ht="12" customHeight="1" x14ac:dyDescent="0.25"/>
    <row r="190" spans="2:10" ht="12" customHeight="1" x14ac:dyDescent="0.25"/>
    <row r="191" spans="2:10" ht="12" customHeight="1" x14ac:dyDescent="0.25"/>
    <row r="192" spans="2:10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</sheetData>
  <mergeCells count="51">
    <mergeCell ref="A5:E5"/>
    <mergeCell ref="W5:X5"/>
    <mergeCell ref="Y5:AD5"/>
    <mergeCell ref="F5:V5"/>
    <mergeCell ref="A1:AD3"/>
    <mergeCell ref="A4:E4"/>
    <mergeCell ref="F4:Q4"/>
    <mergeCell ref="R4:S4"/>
    <mergeCell ref="T4:V4"/>
    <mergeCell ref="W4:X4"/>
    <mergeCell ref="Y4:AD4"/>
    <mergeCell ref="W8:Y8"/>
    <mergeCell ref="Z8:AD8"/>
    <mergeCell ref="A6:E6"/>
    <mergeCell ref="F6:AD6"/>
    <mergeCell ref="A7:E7"/>
    <mergeCell ref="F7:V7"/>
    <mergeCell ref="W7:Y7"/>
    <mergeCell ref="Z7:AD7"/>
    <mergeCell ref="A8:E8"/>
    <mergeCell ref="F8:V8"/>
    <mergeCell ref="C13:K13"/>
    <mergeCell ref="Q13:R13"/>
    <mergeCell ref="W10:Z10"/>
    <mergeCell ref="C11:K11"/>
    <mergeCell ref="AA10:AD10"/>
    <mergeCell ref="AA11:AD11"/>
    <mergeCell ref="Q11:R11"/>
    <mergeCell ref="S11:V11"/>
    <mergeCell ref="O10:P14"/>
    <mergeCell ref="Q10:V10"/>
    <mergeCell ref="W11:Z11"/>
    <mergeCell ref="Q12:R12"/>
    <mergeCell ref="AA13:AD13"/>
    <mergeCell ref="C14:K14"/>
    <mergeCell ref="A41:AD60"/>
    <mergeCell ref="W12:Z12"/>
    <mergeCell ref="AA12:AD12"/>
    <mergeCell ref="Q14:R14"/>
    <mergeCell ref="S14:V14"/>
    <mergeCell ref="W14:Z14"/>
    <mergeCell ref="AA14:AD14"/>
    <mergeCell ref="K16:S16"/>
    <mergeCell ref="S12:V12"/>
    <mergeCell ref="W13:Z13"/>
    <mergeCell ref="K40:S40"/>
    <mergeCell ref="A17:AD38"/>
    <mergeCell ref="S13:V13"/>
    <mergeCell ref="A10:B14"/>
    <mergeCell ref="C12:K12"/>
    <mergeCell ref="C10:K10"/>
  </mergeCells>
  <phoneticPr fontId="13" type="noConversion"/>
  <pageMargins left="0.78749999999999998" right="0.78749999999999998" top="0.78749999999999998" bottom="0.78750000000000009" header="0.51180555555555562" footer="0.51180555555555562"/>
  <pageSetup paperSize="9" scale="98" firstPageNumber="0" orientation="portrait" horizontalDpi="300" verticalDpi="300" r:id="rId1"/>
  <headerFooter alignWithMargins="0">
    <oddFooter>&amp;R&amp;"Tahoma,Normal"&amp;8&amp;F - &amp;A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0]!ListarSistemas">
                <anchor moveWithCells="1" sizeWithCells="1">
                  <from>
                    <xdr:col>0</xdr:col>
                    <xdr:colOff>0</xdr:colOff>
                    <xdr:row>4</xdr:row>
                    <xdr:rowOff>9525</xdr:rowOff>
                  </from>
                  <to>
                    <xdr:col>4</xdr:col>
                    <xdr:colOff>352425</xdr:colOff>
                    <xdr:row>5</xdr:row>
                    <xdr:rowOff>9525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Sistemas!$A:$A</xm:f>
          </x14:formula1>
          <xm:sqref>F5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1"/>
  <dimension ref="A1:T500"/>
  <sheetViews>
    <sheetView showGridLines="0" tabSelected="1" view="pageBreakPreview" zoomScale="130" zoomScaleSheetLayoutView="130" workbookViewId="0">
      <pane ySplit="7" topLeftCell="A8" activePane="bottomLeft" state="frozen"/>
      <selection pane="bottomLeft" activeCell="A8" sqref="A8:F8"/>
    </sheetView>
  </sheetViews>
  <sheetFormatPr defaultColWidth="9.140625" defaultRowHeight="12.75" x14ac:dyDescent="0.25"/>
  <cols>
    <col min="1" max="5" width="7.5703125" style="8" customWidth="1"/>
    <col min="6" max="6" width="14.85546875" style="8" customWidth="1"/>
    <col min="7" max="7" width="5.42578125" style="8" customWidth="1"/>
    <col min="8" max="8" width="8.5703125" style="8" bestFit="1" customWidth="1"/>
    <col min="9" max="9" width="3.5703125" style="8" customWidth="1"/>
    <col min="10" max="10" width="5.42578125" style="8" customWidth="1"/>
    <col min="11" max="11" width="4" style="8" hidden="1" customWidth="1"/>
    <col min="12" max="12" width="5" style="8" hidden="1" customWidth="1"/>
    <col min="13" max="13" width="7.85546875" style="8" customWidth="1"/>
    <col min="14" max="14" width="5.5703125" style="8" customWidth="1"/>
    <col min="15" max="15" width="7.85546875" style="8" customWidth="1"/>
    <col min="16" max="17" width="16.5703125" style="8" hidden="1" customWidth="1"/>
    <col min="18" max="20" width="16.5703125" style="8" customWidth="1"/>
    <col min="21" max="21" width="12.5703125" style="8" customWidth="1"/>
    <col min="22" max="16384" width="9.140625" style="8"/>
  </cols>
  <sheetData>
    <row r="1" spans="1:20" s="1" customFormat="1" ht="12" customHeight="1" x14ac:dyDescent="0.25">
      <c r="A1" s="277" t="s">
        <v>305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9"/>
      <c r="Q1" s="9"/>
      <c r="R1" s="9"/>
      <c r="S1" s="9"/>
      <c r="T1" s="9"/>
    </row>
    <row r="2" spans="1:20" s="1" customFormat="1" ht="12" customHeight="1" x14ac:dyDescent="0.25">
      <c r="A2" s="277"/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9"/>
      <c r="Q2" s="9"/>
      <c r="R2" s="9"/>
      <c r="S2" s="9"/>
      <c r="T2" s="9"/>
    </row>
    <row r="3" spans="1:20" s="1" customFormat="1" ht="12" customHeight="1" x14ac:dyDescent="0.25">
      <c r="A3" s="277"/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9"/>
      <c r="Q3" s="9"/>
      <c r="R3" s="9"/>
      <c r="S3" s="9"/>
      <c r="T3" s="9"/>
    </row>
    <row r="4" spans="1:20" s="1" customFormat="1" ht="12" customHeight="1" x14ac:dyDescent="0.25">
      <c r="A4" s="278" t="str">
        <f>Contagem!A5&amp;" : "&amp;Contagem!F5</f>
        <v xml:space="preserve">Sistema/Subsistema : </v>
      </c>
      <c r="B4" s="278"/>
      <c r="C4" s="278"/>
      <c r="D4" s="278"/>
      <c r="E4" s="278"/>
      <c r="F4" s="278"/>
      <c r="G4" s="279" t="str">
        <f>Contagem!A6&amp;" : "&amp;Contagem!F6</f>
        <v xml:space="preserve">Projeto : </v>
      </c>
      <c r="H4" s="279"/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</row>
    <row r="5" spans="1:20" s="11" customFormat="1" ht="12" customHeight="1" x14ac:dyDescent="0.2">
      <c r="A5" s="280" t="str">
        <f>Contagem!A7&amp;" : "&amp;Contagem!F7</f>
        <v xml:space="preserve">Responsável : </v>
      </c>
      <c r="B5" s="280"/>
      <c r="C5" s="280"/>
      <c r="D5" s="280"/>
      <c r="E5" s="280"/>
      <c r="F5" s="280"/>
      <c r="G5" s="279" t="str">
        <f>Contagem!A8&amp;" : "&amp;Contagem!F8</f>
        <v xml:space="preserve">Revisor : </v>
      </c>
      <c r="H5" s="279"/>
      <c r="I5" s="279"/>
      <c r="J5" s="279"/>
      <c r="K5" s="279"/>
      <c r="L5" s="279"/>
      <c r="M5" s="279"/>
      <c r="N5" s="279"/>
      <c r="O5" s="279"/>
      <c r="P5" s="279"/>
      <c r="Q5" s="279"/>
      <c r="R5" s="279"/>
      <c r="S5" s="279"/>
      <c r="T5" s="279"/>
    </row>
    <row r="6" spans="1:20" s="11" customFormat="1" ht="12" customHeight="1" x14ac:dyDescent="0.2">
      <c r="A6" s="283" t="str">
        <f>Contagem!A4&amp;" : "&amp;Contagem!F4</f>
        <v>Empresa : BASIS Tecnologia</v>
      </c>
      <c r="B6" s="283"/>
      <c r="C6" s="283"/>
      <c r="D6" s="283"/>
      <c r="E6" s="283"/>
      <c r="F6" s="279" t="str">
        <f>Contagem!R4&amp;" = "&amp;VALUE(Contagem!T4)</f>
        <v>R$/PF = 0</v>
      </c>
      <c r="G6" s="279"/>
      <c r="H6" s="284" t="str">
        <f>" Custo= "&amp;DOLLAR(Contagem!Y4)</f>
        <v xml:space="preserve"> Custo= R$ 0,00</v>
      </c>
      <c r="I6" s="284"/>
      <c r="J6" s="284"/>
      <c r="K6" s="284"/>
      <c r="L6" s="284"/>
      <c r="M6" s="284"/>
      <c r="N6" s="285" t="str">
        <f>"PFB  = "&amp;VALUE(Contagem!Y5)</f>
        <v>PFB  = 0</v>
      </c>
      <c r="O6" s="285"/>
      <c r="P6" s="12"/>
      <c r="Q6" s="12"/>
      <c r="R6" s="12"/>
      <c r="S6" s="12"/>
      <c r="T6" s="13"/>
    </row>
    <row r="7" spans="1:20" s="18" customFormat="1" ht="12" customHeight="1" x14ac:dyDescent="0.25">
      <c r="A7" s="281" t="s">
        <v>21</v>
      </c>
      <c r="B7" s="281"/>
      <c r="C7" s="281"/>
      <c r="D7" s="281"/>
      <c r="E7" s="281"/>
      <c r="F7" s="281"/>
      <c r="G7" s="14" t="s">
        <v>22</v>
      </c>
      <c r="H7" s="15" t="s">
        <v>149</v>
      </c>
      <c r="I7" s="16" t="s">
        <v>23</v>
      </c>
      <c r="J7" s="16" t="s">
        <v>24</v>
      </c>
      <c r="K7" s="16" t="s">
        <v>25</v>
      </c>
      <c r="L7" s="16" t="s">
        <v>26</v>
      </c>
      <c r="M7" s="16" t="s">
        <v>27</v>
      </c>
      <c r="N7" s="16" t="s">
        <v>3</v>
      </c>
      <c r="O7" s="17" t="s">
        <v>60</v>
      </c>
      <c r="P7" s="282" t="s">
        <v>28</v>
      </c>
      <c r="Q7" s="282"/>
      <c r="R7" s="282"/>
      <c r="S7" s="282"/>
      <c r="T7" s="282"/>
    </row>
    <row r="8" spans="1:20" ht="12" customHeight="1" x14ac:dyDescent="0.25">
      <c r="A8" s="412"/>
      <c r="B8" s="413"/>
      <c r="C8" s="413"/>
      <c r="D8" s="413"/>
      <c r="E8" s="413"/>
      <c r="F8" s="414"/>
      <c r="G8" s="20"/>
      <c r="H8" s="20"/>
      <c r="I8" s="20"/>
      <c r="J8" s="20"/>
      <c r="K8" s="20"/>
      <c r="L8" s="21"/>
      <c r="M8" s="22"/>
      <c r="N8" s="23"/>
      <c r="O8" s="24"/>
      <c r="P8" s="19"/>
      <c r="Q8" s="19"/>
      <c r="R8" s="416"/>
      <c r="S8" s="416"/>
      <c r="T8" s="416"/>
    </row>
    <row r="9" spans="1:20" ht="12" customHeight="1" x14ac:dyDescent="0.25">
      <c r="A9" s="415"/>
      <c r="B9" s="416"/>
      <c r="C9" s="416"/>
      <c r="D9" s="416"/>
      <c r="E9" s="416"/>
      <c r="F9" s="417"/>
      <c r="G9" s="20"/>
      <c r="H9" s="20"/>
      <c r="I9" s="20"/>
      <c r="J9" s="20"/>
      <c r="K9" s="20"/>
      <c r="L9" s="21"/>
      <c r="M9" s="22"/>
      <c r="N9" s="23"/>
      <c r="O9" s="24"/>
      <c r="P9" s="19"/>
      <c r="Q9" s="19"/>
      <c r="R9" s="416"/>
      <c r="S9" s="416"/>
      <c r="T9" s="416"/>
    </row>
    <row r="10" spans="1:20" ht="12" customHeight="1" x14ac:dyDescent="0.25">
      <c r="A10" s="415"/>
      <c r="B10" s="416"/>
      <c r="C10" s="416"/>
      <c r="D10" s="416"/>
      <c r="E10" s="416"/>
      <c r="F10" s="417"/>
      <c r="G10" s="20"/>
      <c r="H10" s="20"/>
      <c r="I10" s="20"/>
      <c r="J10" s="20"/>
      <c r="K10" s="20"/>
      <c r="L10" s="21"/>
      <c r="M10" s="22"/>
      <c r="N10" s="23"/>
      <c r="O10" s="24"/>
      <c r="P10" s="19"/>
      <c r="Q10" s="19"/>
      <c r="R10" s="416"/>
      <c r="S10" s="416"/>
      <c r="T10" s="416"/>
    </row>
    <row r="11" spans="1:20" ht="12" customHeight="1" x14ac:dyDescent="0.25">
      <c r="A11" s="415"/>
      <c r="B11" s="416"/>
      <c r="C11" s="416"/>
      <c r="D11" s="416"/>
      <c r="E11" s="416"/>
      <c r="F11" s="417"/>
      <c r="G11" s="20"/>
      <c r="H11" s="20"/>
      <c r="I11" s="20"/>
      <c r="J11" s="20"/>
      <c r="K11" s="20"/>
      <c r="L11" s="21"/>
      <c r="M11" s="22"/>
      <c r="N11" s="23"/>
      <c r="O11" s="24"/>
      <c r="P11" s="19"/>
      <c r="Q11" s="19"/>
      <c r="R11" s="416"/>
      <c r="S11" s="416"/>
      <c r="T11" s="416"/>
    </row>
    <row r="12" spans="1:20" ht="12" customHeight="1" x14ac:dyDescent="0.25">
      <c r="A12" s="415"/>
      <c r="B12" s="416"/>
      <c r="C12" s="416"/>
      <c r="D12" s="416"/>
      <c r="E12" s="416"/>
      <c r="F12" s="417"/>
      <c r="G12" s="20"/>
      <c r="H12" s="20"/>
      <c r="I12" s="20"/>
      <c r="J12" s="20"/>
      <c r="K12" s="20"/>
      <c r="L12" s="21"/>
      <c r="M12" s="22"/>
      <c r="N12" s="23"/>
      <c r="O12" s="24"/>
      <c r="P12" s="19"/>
      <c r="Q12" s="19"/>
      <c r="R12" s="416"/>
      <c r="S12" s="416"/>
      <c r="T12" s="416"/>
    </row>
    <row r="13" spans="1:20" ht="12" customHeight="1" x14ac:dyDescent="0.25">
      <c r="A13" s="415"/>
      <c r="B13" s="416"/>
      <c r="C13" s="416"/>
      <c r="D13" s="416"/>
      <c r="E13" s="416"/>
      <c r="F13" s="417"/>
      <c r="G13" s="20"/>
      <c r="H13" s="20"/>
      <c r="I13" s="20"/>
      <c r="J13" s="20"/>
      <c r="K13" s="20"/>
      <c r="L13" s="21"/>
      <c r="M13" s="22"/>
      <c r="N13" s="23"/>
      <c r="O13" s="24"/>
      <c r="P13" s="19"/>
      <c r="Q13" s="19"/>
      <c r="R13" s="416"/>
      <c r="S13" s="416"/>
      <c r="T13" s="416"/>
    </row>
    <row r="14" spans="1:20" ht="12" customHeight="1" x14ac:dyDescent="0.25">
      <c r="A14" s="415"/>
      <c r="B14" s="416"/>
      <c r="C14" s="416"/>
      <c r="D14" s="416"/>
      <c r="E14" s="416"/>
      <c r="F14" s="417"/>
      <c r="G14" s="20"/>
      <c r="H14" s="20"/>
      <c r="I14" s="20"/>
      <c r="J14" s="20"/>
      <c r="K14" s="20"/>
      <c r="L14" s="21"/>
      <c r="M14" s="22"/>
      <c r="N14" s="23"/>
      <c r="O14" s="24"/>
      <c r="P14" s="19" t="s">
        <v>306</v>
      </c>
      <c r="Q14" s="19"/>
      <c r="R14" s="416"/>
      <c r="S14" s="416"/>
      <c r="T14" s="416"/>
    </row>
    <row r="15" spans="1:20" ht="12" customHeight="1" x14ac:dyDescent="0.25">
      <c r="A15" s="415"/>
      <c r="B15" s="416"/>
      <c r="C15" s="416"/>
      <c r="D15" s="416"/>
      <c r="E15" s="416"/>
      <c r="F15" s="417"/>
      <c r="G15" s="20"/>
      <c r="H15" s="20"/>
      <c r="I15" s="20"/>
      <c r="J15" s="20"/>
      <c r="K15" s="20"/>
      <c r="L15" s="21"/>
      <c r="M15" s="22"/>
      <c r="N15" s="23"/>
      <c r="O15" s="24"/>
      <c r="P15" s="19"/>
      <c r="Q15" s="19"/>
      <c r="R15" s="416"/>
      <c r="S15" s="416"/>
      <c r="T15" s="416"/>
    </row>
    <row r="16" spans="1:20" ht="12" customHeight="1" x14ac:dyDescent="0.25">
      <c r="A16" s="415"/>
      <c r="B16" s="416"/>
      <c r="C16" s="416"/>
      <c r="D16" s="416"/>
      <c r="E16" s="416"/>
      <c r="F16" s="417"/>
      <c r="G16" s="20"/>
      <c r="H16" s="20"/>
      <c r="I16" s="20"/>
      <c r="J16" s="20"/>
      <c r="K16" s="20"/>
      <c r="L16" s="21"/>
      <c r="M16" s="22"/>
      <c r="N16" s="23"/>
      <c r="O16" s="24"/>
      <c r="P16" s="19"/>
      <c r="Q16" s="19"/>
      <c r="R16" s="416"/>
      <c r="S16" s="416"/>
      <c r="T16" s="416"/>
    </row>
    <row r="17" spans="1:20" ht="12" customHeight="1" x14ac:dyDescent="0.25">
      <c r="A17" s="415"/>
      <c r="B17" s="416"/>
      <c r="C17" s="416"/>
      <c r="D17" s="416"/>
      <c r="E17" s="416"/>
      <c r="F17" s="417"/>
      <c r="G17" s="20"/>
      <c r="H17" s="20"/>
      <c r="I17" s="20"/>
      <c r="J17" s="20"/>
      <c r="K17" s="20"/>
      <c r="L17" s="21"/>
      <c r="M17" s="22"/>
      <c r="N17" s="23"/>
      <c r="O17" s="24"/>
      <c r="P17" s="19"/>
      <c r="Q17" s="19"/>
      <c r="R17" s="416"/>
      <c r="S17" s="416"/>
      <c r="T17" s="416"/>
    </row>
    <row r="18" spans="1:20" ht="12" customHeight="1" x14ac:dyDescent="0.25">
      <c r="A18" s="415"/>
      <c r="B18" s="416"/>
      <c r="C18" s="416"/>
      <c r="D18" s="416"/>
      <c r="E18" s="416"/>
      <c r="F18" s="417"/>
      <c r="G18" s="20"/>
      <c r="H18" s="20"/>
      <c r="I18" s="20"/>
      <c r="J18" s="20"/>
      <c r="K18" s="20"/>
      <c r="L18" s="21"/>
      <c r="M18" s="22"/>
      <c r="N18" s="23"/>
      <c r="O18" s="24"/>
      <c r="P18" s="19"/>
      <c r="Q18" s="19"/>
      <c r="R18" s="416"/>
      <c r="S18" s="416"/>
      <c r="T18" s="416"/>
    </row>
    <row r="19" spans="1:20" ht="12" customHeight="1" x14ac:dyDescent="0.25">
      <c r="A19" s="415"/>
      <c r="B19" s="416"/>
      <c r="C19" s="416"/>
      <c r="D19" s="416"/>
      <c r="E19" s="416"/>
      <c r="F19" s="417"/>
      <c r="G19" s="20"/>
      <c r="H19" s="20"/>
      <c r="I19" s="20"/>
      <c r="J19" s="20"/>
      <c r="K19" s="20"/>
      <c r="L19" s="21"/>
      <c r="M19" s="22"/>
      <c r="N19" s="23"/>
      <c r="O19" s="24"/>
      <c r="P19" s="19"/>
      <c r="Q19" s="19"/>
      <c r="R19" s="416"/>
      <c r="S19" s="416"/>
      <c r="T19" s="416"/>
    </row>
    <row r="20" spans="1:20" ht="12" customHeight="1" x14ac:dyDescent="0.25">
      <c r="A20" s="415"/>
      <c r="B20" s="416"/>
      <c r="C20" s="416"/>
      <c r="D20" s="416"/>
      <c r="E20" s="416"/>
      <c r="F20" s="417"/>
      <c r="G20" s="20"/>
      <c r="H20" s="20"/>
      <c r="I20" s="20"/>
      <c r="J20" s="20"/>
      <c r="K20" s="20"/>
      <c r="L20" s="21"/>
      <c r="M20" s="22"/>
      <c r="N20" s="23"/>
      <c r="O20" s="24"/>
      <c r="P20" s="19"/>
      <c r="Q20" s="19"/>
      <c r="R20" s="416"/>
      <c r="S20" s="416"/>
      <c r="T20" s="416"/>
    </row>
    <row r="21" spans="1:20" ht="12" customHeight="1" x14ac:dyDescent="0.25">
      <c r="A21" s="415"/>
      <c r="B21" s="416"/>
      <c r="C21" s="416"/>
      <c r="D21" s="416"/>
      <c r="E21" s="416"/>
      <c r="F21" s="417"/>
      <c r="G21" s="20"/>
      <c r="H21" s="20"/>
      <c r="I21" s="20"/>
      <c r="J21" s="20"/>
      <c r="K21" s="20"/>
      <c r="L21" s="21"/>
      <c r="M21" s="22"/>
      <c r="N21" s="23"/>
      <c r="O21" s="24"/>
      <c r="P21" s="19"/>
      <c r="Q21" s="19"/>
      <c r="R21" s="416"/>
      <c r="S21" s="416"/>
      <c r="T21" s="416"/>
    </row>
    <row r="22" spans="1:20" ht="12" customHeight="1" x14ac:dyDescent="0.25">
      <c r="A22" s="415"/>
      <c r="B22" s="416"/>
      <c r="C22" s="416"/>
      <c r="D22" s="416"/>
      <c r="E22" s="416"/>
      <c r="F22" s="417"/>
      <c r="G22" s="20"/>
      <c r="H22" s="20"/>
      <c r="I22" s="20"/>
      <c r="J22" s="20"/>
      <c r="K22" s="20"/>
      <c r="L22" s="21"/>
      <c r="M22" s="22"/>
      <c r="N22" s="23"/>
      <c r="O22" s="24"/>
      <c r="P22" s="19"/>
      <c r="Q22" s="19"/>
      <c r="R22" s="416"/>
      <c r="S22" s="416"/>
      <c r="T22" s="416"/>
    </row>
    <row r="23" spans="1:20" ht="12" customHeight="1" x14ac:dyDescent="0.25">
      <c r="A23" s="415"/>
      <c r="B23" s="416"/>
      <c r="C23" s="416"/>
      <c r="D23" s="416"/>
      <c r="E23" s="416"/>
      <c r="F23" s="417"/>
      <c r="G23" s="20"/>
      <c r="H23" s="20"/>
      <c r="I23" s="20"/>
      <c r="J23" s="20"/>
      <c r="K23" s="20"/>
      <c r="L23" s="21"/>
      <c r="M23" s="22"/>
      <c r="N23" s="23"/>
      <c r="O23" s="24"/>
      <c r="P23" s="19"/>
      <c r="Q23" s="19"/>
      <c r="R23" s="416"/>
      <c r="S23" s="416"/>
      <c r="T23" s="416"/>
    </row>
    <row r="24" spans="1:20" ht="12" customHeight="1" x14ac:dyDescent="0.25">
      <c r="A24" s="415"/>
      <c r="B24" s="416"/>
      <c r="C24" s="416"/>
      <c r="D24" s="416"/>
      <c r="E24" s="416"/>
      <c r="F24" s="417"/>
      <c r="G24" s="20"/>
      <c r="H24" s="20"/>
      <c r="I24" s="20"/>
      <c r="J24" s="20"/>
      <c r="K24" s="20"/>
      <c r="L24" s="21"/>
      <c r="M24" s="22"/>
      <c r="N24" s="23"/>
      <c r="O24" s="24"/>
      <c r="P24" s="19"/>
      <c r="Q24" s="19"/>
      <c r="R24" s="416"/>
      <c r="S24" s="416"/>
      <c r="T24" s="416"/>
    </row>
    <row r="25" spans="1:20" ht="12" customHeight="1" x14ac:dyDescent="0.25">
      <c r="A25" s="415"/>
      <c r="B25" s="416"/>
      <c r="C25" s="416"/>
      <c r="D25" s="416"/>
      <c r="E25" s="416"/>
      <c r="F25" s="417"/>
      <c r="G25" s="20"/>
      <c r="H25" s="20"/>
      <c r="I25" s="20"/>
      <c r="J25" s="20"/>
      <c r="K25" s="20"/>
      <c r="L25" s="21"/>
      <c r="M25" s="22"/>
      <c r="N25" s="23"/>
      <c r="O25" s="24"/>
      <c r="P25" s="19"/>
      <c r="Q25" s="19"/>
      <c r="R25" s="416"/>
      <c r="S25" s="416"/>
      <c r="T25" s="416"/>
    </row>
    <row r="26" spans="1:20" ht="12" customHeight="1" x14ac:dyDescent="0.25">
      <c r="A26" s="415"/>
      <c r="B26" s="416"/>
      <c r="C26" s="416"/>
      <c r="D26" s="416"/>
      <c r="E26" s="416"/>
      <c r="F26" s="417"/>
      <c r="G26" s="20"/>
      <c r="H26" s="20"/>
      <c r="I26" s="20"/>
      <c r="J26" s="20"/>
      <c r="K26" s="20"/>
      <c r="L26" s="21"/>
      <c r="M26" s="22"/>
      <c r="N26" s="23"/>
      <c r="O26" s="24"/>
      <c r="P26" s="19"/>
      <c r="Q26" s="19"/>
      <c r="R26" s="416"/>
      <c r="S26" s="416"/>
      <c r="T26" s="416"/>
    </row>
    <row r="27" spans="1:20" ht="12" customHeight="1" x14ac:dyDescent="0.25">
      <c r="A27" s="415"/>
      <c r="B27" s="416"/>
      <c r="C27" s="416"/>
      <c r="D27" s="416"/>
      <c r="E27" s="416"/>
      <c r="F27" s="417"/>
      <c r="G27" s="20"/>
      <c r="H27" s="20"/>
      <c r="I27" s="20"/>
      <c r="J27" s="20"/>
      <c r="K27" s="20"/>
      <c r="L27" s="21"/>
      <c r="M27" s="22"/>
      <c r="N27" s="23"/>
      <c r="O27" s="24"/>
      <c r="P27" s="19"/>
      <c r="Q27" s="19"/>
      <c r="R27" s="416"/>
      <c r="S27" s="416"/>
      <c r="T27" s="416"/>
    </row>
    <row r="28" spans="1:20" ht="12" customHeight="1" x14ac:dyDescent="0.25">
      <c r="A28" s="415"/>
      <c r="B28" s="416"/>
      <c r="C28" s="416"/>
      <c r="D28" s="416"/>
      <c r="E28" s="416"/>
      <c r="F28" s="417"/>
      <c r="G28" s="20"/>
      <c r="H28" s="20"/>
      <c r="I28" s="20"/>
      <c r="J28" s="20"/>
      <c r="K28" s="20"/>
      <c r="L28" s="21"/>
      <c r="M28" s="22"/>
      <c r="N28" s="23"/>
      <c r="O28" s="24"/>
      <c r="P28" s="19"/>
      <c r="Q28" s="19"/>
      <c r="R28" s="416"/>
      <c r="S28" s="416"/>
      <c r="T28" s="416"/>
    </row>
    <row r="29" spans="1:20" ht="12" customHeight="1" x14ac:dyDescent="0.25">
      <c r="A29" s="415"/>
      <c r="B29" s="416"/>
      <c r="C29" s="416"/>
      <c r="D29" s="416"/>
      <c r="E29" s="416"/>
      <c r="F29" s="417"/>
      <c r="G29" s="20"/>
      <c r="H29" s="20"/>
      <c r="I29" s="20"/>
      <c r="J29" s="20"/>
      <c r="K29" s="20"/>
      <c r="L29" s="21"/>
      <c r="M29" s="22"/>
      <c r="N29" s="23"/>
      <c r="O29" s="24"/>
      <c r="P29" s="19"/>
      <c r="Q29" s="19"/>
      <c r="R29" s="416"/>
      <c r="S29" s="416"/>
      <c r="T29" s="416"/>
    </row>
    <row r="30" spans="1:20" ht="12" customHeight="1" x14ac:dyDescent="0.25">
      <c r="A30" s="415"/>
      <c r="B30" s="416"/>
      <c r="C30" s="416"/>
      <c r="D30" s="416"/>
      <c r="E30" s="416"/>
      <c r="F30" s="417"/>
      <c r="G30" s="20"/>
      <c r="H30" s="20"/>
      <c r="I30" s="20"/>
      <c r="J30" s="20"/>
      <c r="K30" s="20"/>
      <c r="L30" s="21"/>
      <c r="M30" s="22"/>
      <c r="N30" s="23"/>
      <c r="O30" s="24"/>
      <c r="P30" s="19"/>
      <c r="Q30" s="19"/>
      <c r="R30" s="416"/>
      <c r="S30" s="416"/>
      <c r="T30" s="416"/>
    </row>
    <row r="31" spans="1:20" ht="12" customHeight="1" x14ac:dyDescent="0.25">
      <c r="A31" s="415"/>
      <c r="B31" s="416"/>
      <c r="C31" s="416"/>
      <c r="D31" s="416"/>
      <c r="E31" s="416"/>
      <c r="F31" s="417"/>
      <c r="G31" s="20"/>
      <c r="H31" s="20"/>
      <c r="I31" s="20"/>
      <c r="J31" s="20"/>
      <c r="K31" s="20"/>
      <c r="L31" s="21"/>
      <c r="M31" s="22"/>
      <c r="N31" s="23"/>
      <c r="O31" s="24"/>
      <c r="P31" s="19"/>
      <c r="Q31" s="19"/>
      <c r="R31" s="416"/>
      <c r="S31" s="416"/>
      <c r="T31" s="416"/>
    </row>
    <row r="32" spans="1:20" ht="12" customHeight="1" x14ac:dyDescent="0.25">
      <c r="A32" s="415"/>
      <c r="B32" s="416"/>
      <c r="C32" s="416"/>
      <c r="D32" s="416"/>
      <c r="E32" s="416"/>
      <c r="F32" s="417"/>
      <c r="G32" s="20"/>
      <c r="H32" s="20"/>
      <c r="I32" s="20"/>
      <c r="J32" s="20"/>
      <c r="K32" s="20"/>
      <c r="L32" s="21"/>
      <c r="M32" s="22"/>
      <c r="N32" s="23"/>
      <c r="O32" s="24"/>
      <c r="P32" s="19"/>
      <c r="Q32" s="19"/>
      <c r="R32" s="416"/>
      <c r="S32" s="416"/>
      <c r="T32" s="416"/>
    </row>
    <row r="33" spans="1:20" ht="12" customHeight="1" x14ac:dyDescent="0.25">
      <c r="A33" s="415"/>
      <c r="B33" s="416"/>
      <c r="C33" s="416"/>
      <c r="D33" s="416"/>
      <c r="E33" s="416"/>
      <c r="F33" s="417"/>
      <c r="G33" s="20"/>
      <c r="H33" s="20"/>
      <c r="I33" s="20"/>
      <c r="J33" s="20"/>
      <c r="K33" s="20"/>
      <c r="L33" s="21"/>
      <c r="M33" s="22"/>
      <c r="N33" s="23"/>
      <c r="O33" s="24"/>
      <c r="P33" s="19"/>
      <c r="Q33" s="19"/>
      <c r="R33" s="416"/>
      <c r="S33" s="416"/>
      <c r="T33" s="416"/>
    </row>
    <row r="34" spans="1:20" ht="12" customHeight="1" x14ac:dyDescent="0.25">
      <c r="A34" s="415"/>
      <c r="B34" s="416"/>
      <c r="C34" s="416"/>
      <c r="D34" s="416"/>
      <c r="E34" s="416"/>
      <c r="F34" s="417"/>
      <c r="G34" s="20"/>
      <c r="H34" s="20"/>
      <c r="I34" s="20"/>
      <c r="J34" s="20"/>
      <c r="K34" s="20"/>
      <c r="L34" s="21"/>
      <c r="M34" s="22"/>
      <c r="N34" s="23"/>
      <c r="O34" s="24"/>
      <c r="P34" s="19"/>
      <c r="Q34" s="19"/>
      <c r="R34" s="416"/>
      <c r="S34" s="416"/>
      <c r="T34" s="416"/>
    </row>
    <row r="35" spans="1:20" ht="12" customHeight="1" x14ac:dyDescent="0.25">
      <c r="A35" s="415"/>
      <c r="B35" s="416"/>
      <c r="C35" s="416"/>
      <c r="D35" s="416"/>
      <c r="E35" s="416"/>
      <c r="F35" s="417"/>
      <c r="G35" s="20"/>
      <c r="H35" s="20"/>
      <c r="I35" s="20"/>
      <c r="J35" s="20"/>
      <c r="K35" s="20"/>
      <c r="L35" s="21"/>
      <c r="M35" s="22"/>
      <c r="N35" s="23"/>
      <c r="O35" s="24"/>
      <c r="P35" s="19"/>
      <c r="Q35" s="19"/>
      <c r="R35" s="416"/>
      <c r="S35" s="416"/>
      <c r="T35" s="416"/>
    </row>
    <row r="36" spans="1:20" ht="12" customHeight="1" x14ac:dyDescent="0.25">
      <c r="A36" s="415"/>
      <c r="B36" s="416"/>
      <c r="C36" s="416"/>
      <c r="D36" s="416"/>
      <c r="E36" s="416"/>
      <c r="F36" s="417"/>
      <c r="G36" s="20"/>
      <c r="H36" s="20"/>
      <c r="I36" s="20"/>
      <c r="J36" s="20"/>
      <c r="K36" s="20"/>
      <c r="L36" s="21"/>
      <c r="M36" s="22"/>
      <c r="N36" s="23"/>
      <c r="O36" s="24"/>
      <c r="P36" s="19"/>
      <c r="Q36" s="19"/>
      <c r="R36" s="416"/>
      <c r="S36" s="416"/>
      <c r="T36" s="416"/>
    </row>
    <row r="37" spans="1:20" ht="12" customHeight="1" x14ac:dyDescent="0.25">
      <c r="A37" s="415"/>
      <c r="B37" s="416"/>
      <c r="C37" s="416"/>
      <c r="D37" s="416"/>
      <c r="E37" s="416"/>
      <c r="F37" s="417"/>
      <c r="G37" s="20"/>
      <c r="H37" s="20"/>
      <c r="I37" s="20"/>
      <c r="J37" s="20"/>
      <c r="K37" s="20"/>
      <c r="L37" s="21"/>
      <c r="M37" s="22"/>
      <c r="N37" s="23"/>
      <c r="O37" s="24"/>
      <c r="P37" s="19"/>
      <c r="Q37" s="19"/>
      <c r="R37" s="416"/>
      <c r="S37" s="416"/>
      <c r="T37" s="416"/>
    </row>
    <row r="38" spans="1:20" ht="12" customHeight="1" x14ac:dyDescent="0.25">
      <c r="A38" s="415"/>
      <c r="B38" s="416"/>
      <c r="C38" s="416"/>
      <c r="D38" s="416"/>
      <c r="E38" s="416"/>
      <c r="F38" s="417"/>
      <c r="G38" s="20"/>
      <c r="H38" s="20"/>
      <c r="I38" s="20"/>
      <c r="J38" s="20"/>
      <c r="K38" s="20"/>
      <c r="L38" s="21"/>
      <c r="M38" s="22"/>
      <c r="N38" s="23"/>
      <c r="O38" s="24"/>
      <c r="P38" s="19"/>
      <c r="Q38" s="19"/>
      <c r="R38" s="416"/>
      <c r="S38" s="416"/>
      <c r="T38" s="416"/>
    </row>
    <row r="39" spans="1:20" ht="12" customHeight="1" x14ac:dyDescent="0.25">
      <c r="A39" s="415"/>
      <c r="B39" s="416"/>
      <c r="C39" s="416"/>
      <c r="D39" s="416"/>
      <c r="E39" s="416"/>
      <c r="F39" s="417"/>
      <c r="G39" s="20"/>
      <c r="H39" s="20"/>
      <c r="I39" s="20"/>
      <c r="J39" s="20"/>
      <c r="K39" s="20"/>
      <c r="L39" s="21"/>
      <c r="M39" s="22"/>
      <c r="N39" s="23"/>
      <c r="O39" s="24"/>
      <c r="P39" s="19" t="s">
        <v>307</v>
      </c>
      <c r="Q39" s="19"/>
      <c r="R39" s="416"/>
      <c r="S39" s="416"/>
      <c r="T39" s="416"/>
    </row>
    <row r="40" spans="1:20" ht="12" customHeight="1" x14ac:dyDescent="0.25">
      <c r="A40" s="415"/>
      <c r="B40" s="416"/>
      <c r="C40" s="416"/>
      <c r="D40" s="416"/>
      <c r="E40" s="416"/>
      <c r="F40" s="417"/>
      <c r="G40" s="20"/>
      <c r="H40" s="20"/>
      <c r="I40" s="20"/>
      <c r="J40" s="20"/>
      <c r="K40" s="20"/>
      <c r="L40" s="21"/>
      <c r="M40" s="22"/>
      <c r="N40" s="23"/>
      <c r="O40" s="24"/>
      <c r="P40" s="19"/>
      <c r="Q40" s="19"/>
      <c r="R40" s="416"/>
      <c r="S40" s="416"/>
      <c r="T40" s="416"/>
    </row>
    <row r="41" spans="1:20" ht="12" customHeight="1" x14ac:dyDescent="0.25">
      <c r="A41" s="415"/>
      <c r="B41" s="416"/>
      <c r="C41" s="416"/>
      <c r="D41" s="416"/>
      <c r="E41" s="416"/>
      <c r="F41" s="417"/>
      <c r="G41" s="20"/>
      <c r="H41" s="20"/>
      <c r="I41" s="20"/>
      <c r="J41" s="20"/>
      <c r="K41" s="20"/>
      <c r="L41" s="21"/>
      <c r="M41" s="22"/>
      <c r="N41" s="23"/>
      <c r="O41" s="24"/>
      <c r="P41" s="19"/>
      <c r="Q41" s="19"/>
      <c r="R41" s="416"/>
      <c r="S41" s="416"/>
      <c r="T41" s="416"/>
    </row>
    <row r="42" spans="1:20" ht="12" customHeight="1" x14ac:dyDescent="0.25">
      <c r="A42" s="415"/>
      <c r="B42" s="416"/>
      <c r="C42" s="416"/>
      <c r="D42" s="416"/>
      <c r="E42" s="416"/>
      <c r="F42" s="417"/>
      <c r="G42" s="20"/>
      <c r="H42" s="20"/>
      <c r="I42" s="20"/>
      <c r="J42" s="20"/>
      <c r="K42" s="20"/>
      <c r="L42" s="21"/>
      <c r="M42" s="22"/>
      <c r="N42" s="23"/>
      <c r="O42" s="24"/>
      <c r="P42" s="19"/>
      <c r="Q42" s="19"/>
      <c r="R42" s="416"/>
      <c r="S42" s="416"/>
      <c r="T42" s="416"/>
    </row>
    <row r="43" spans="1:20" ht="12" customHeight="1" x14ac:dyDescent="0.25">
      <c r="A43" s="415"/>
      <c r="B43" s="416"/>
      <c r="C43" s="416"/>
      <c r="D43" s="416"/>
      <c r="E43" s="416"/>
      <c r="F43" s="417"/>
      <c r="G43" s="20"/>
      <c r="H43" s="20"/>
      <c r="I43" s="20"/>
      <c r="J43" s="20"/>
      <c r="K43" s="20"/>
      <c r="L43" s="21"/>
      <c r="M43" s="22"/>
      <c r="N43" s="23"/>
      <c r="O43" s="24"/>
      <c r="P43" s="19"/>
      <c r="Q43" s="19"/>
      <c r="R43" s="416"/>
      <c r="S43" s="416"/>
      <c r="T43" s="416"/>
    </row>
    <row r="44" spans="1:20" ht="12" customHeight="1" x14ac:dyDescent="0.25">
      <c r="A44" s="415"/>
      <c r="B44" s="416"/>
      <c r="C44" s="416"/>
      <c r="D44" s="416"/>
      <c r="E44" s="416"/>
      <c r="F44" s="417"/>
      <c r="G44" s="20"/>
      <c r="H44" s="20"/>
      <c r="I44" s="20"/>
      <c r="J44" s="20"/>
      <c r="K44" s="20"/>
      <c r="L44" s="21"/>
      <c r="M44" s="22"/>
      <c r="N44" s="23"/>
      <c r="O44" s="24"/>
      <c r="P44" s="19"/>
      <c r="Q44" s="19"/>
      <c r="R44" s="416"/>
      <c r="S44" s="416"/>
      <c r="T44" s="416"/>
    </row>
    <row r="45" spans="1:20" ht="12" customHeight="1" x14ac:dyDescent="0.25">
      <c r="A45" s="415"/>
      <c r="B45" s="416"/>
      <c r="C45" s="416"/>
      <c r="D45" s="416"/>
      <c r="E45" s="416"/>
      <c r="F45" s="417"/>
      <c r="G45" s="20"/>
      <c r="H45" s="20"/>
      <c r="I45" s="20"/>
      <c r="J45" s="20"/>
      <c r="K45" s="20"/>
      <c r="L45" s="21"/>
      <c r="M45" s="22"/>
      <c r="N45" s="23"/>
      <c r="O45" s="24"/>
      <c r="P45" s="19"/>
      <c r="Q45" s="19"/>
      <c r="R45" s="416"/>
      <c r="S45" s="416"/>
      <c r="T45" s="416"/>
    </row>
    <row r="46" spans="1:20" ht="12" customHeight="1" x14ac:dyDescent="0.25">
      <c r="A46" s="415"/>
      <c r="B46" s="416"/>
      <c r="C46" s="416"/>
      <c r="D46" s="416"/>
      <c r="E46" s="416"/>
      <c r="F46" s="417"/>
      <c r="G46" s="20"/>
      <c r="H46" s="20"/>
      <c r="I46" s="20"/>
      <c r="J46" s="20"/>
      <c r="K46" s="20"/>
      <c r="L46" s="21"/>
      <c r="M46" s="22"/>
      <c r="N46" s="23"/>
      <c r="O46" s="24"/>
      <c r="P46" s="19"/>
      <c r="Q46" s="19"/>
      <c r="R46" s="416"/>
      <c r="S46" s="416"/>
      <c r="T46" s="416"/>
    </row>
    <row r="47" spans="1:20" ht="12" customHeight="1" x14ac:dyDescent="0.25">
      <c r="A47" s="415"/>
      <c r="B47" s="416"/>
      <c r="C47" s="416"/>
      <c r="D47" s="416"/>
      <c r="E47" s="416"/>
      <c r="F47" s="417"/>
      <c r="G47" s="20"/>
      <c r="H47" s="20"/>
      <c r="I47" s="20"/>
      <c r="J47" s="20"/>
      <c r="K47" s="20"/>
      <c r="L47" s="21"/>
      <c r="M47" s="22"/>
      <c r="N47" s="23"/>
      <c r="O47" s="24"/>
      <c r="P47" s="19"/>
      <c r="Q47" s="19"/>
      <c r="R47" s="416"/>
      <c r="S47" s="416"/>
      <c r="T47" s="416"/>
    </row>
    <row r="48" spans="1:20" ht="12" customHeight="1" x14ac:dyDescent="0.25">
      <c r="A48" s="415"/>
      <c r="B48" s="416"/>
      <c r="C48" s="416"/>
      <c r="D48" s="416"/>
      <c r="E48" s="416"/>
      <c r="F48" s="417"/>
      <c r="G48" s="20"/>
      <c r="H48" s="20"/>
      <c r="I48" s="20"/>
      <c r="J48" s="20"/>
      <c r="K48" s="20"/>
      <c r="L48" s="21"/>
      <c r="M48" s="22"/>
      <c r="N48" s="23"/>
      <c r="O48" s="24"/>
      <c r="P48" s="19"/>
      <c r="Q48" s="19"/>
      <c r="R48" s="416"/>
      <c r="S48" s="416"/>
      <c r="T48" s="416"/>
    </row>
    <row r="49" spans="1:20" ht="12" customHeight="1" x14ac:dyDescent="0.25">
      <c r="A49" s="415"/>
      <c r="B49" s="416"/>
      <c r="C49" s="416"/>
      <c r="D49" s="416"/>
      <c r="E49" s="416"/>
      <c r="F49" s="417"/>
      <c r="G49" s="20"/>
      <c r="H49" s="20"/>
      <c r="I49" s="20"/>
      <c r="J49" s="20"/>
      <c r="K49" s="20"/>
      <c r="L49" s="21"/>
      <c r="M49" s="22"/>
      <c r="N49" s="23"/>
      <c r="O49" s="24"/>
      <c r="P49" s="19"/>
      <c r="Q49" s="19"/>
      <c r="R49" s="416"/>
      <c r="S49" s="416"/>
      <c r="T49" s="416"/>
    </row>
    <row r="50" spans="1:20" ht="12" customHeight="1" x14ac:dyDescent="0.25">
      <c r="A50" s="415"/>
      <c r="B50" s="416"/>
      <c r="C50" s="416"/>
      <c r="D50" s="416"/>
      <c r="E50" s="416"/>
      <c r="F50" s="417"/>
      <c r="G50" s="20"/>
      <c r="H50" s="20"/>
      <c r="I50" s="20"/>
      <c r="J50" s="20"/>
      <c r="K50" s="20"/>
      <c r="L50" s="21"/>
      <c r="M50" s="22"/>
      <c r="N50" s="23"/>
      <c r="O50" s="24"/>
      <c r="P50" s="19"/>
      <c r="Q50" s="19"/>
      <c r="R50" s="416"/>
      <c r="S50" s="416"/>
      <c r="T50" s="416"/>
    </row>
    <row r="51" spans="1:20" ht="12" customHeight="1" x14ac:dyDescent="0.25">
      <c r="A51" s="415"/>
      <c r="B51" s="416"/>
      <c r="C51" s="416"/>
      <c r="D51" s="416"/>
      <c r="E51" s="416"/>
      <c r="F51" s="417"/>
      <c r="G51" s="20"/>
      <c r="H51" s="20"/>
      <c r="I51" s="20"/>
      <c r="J51" s="20"/>
      <c r="K51" s="20"/>
      <c r="L51" s="21"/>
      <c r="M51" s="22"/>
      <c r="N51" s="23"/>
      <c r="O51" s="24"/>
      <c r="P51" s="19"/>
      <c r="Q51" s="19"/>
      <c r="R51" s="416"/>
      <c r="S51" s="416"/>
      <c r="T51" s="416"/>
    </row>
    <row r="52" spans="1:20" ht="12" customHeight="1" x14ac:dyDescent="0.25">
      <c r="A52" s="415"/>
      <c r="B52" s="416"/>
      <c r="C52" s="416"/>
      <c r="D52" s="416"/>
      <c r="E52" s="416"/>
      <c r="F52" s="417"/>
      <c r="G52" s="20"/>
      <c r="H52" s="20"/>
      <c r="I52" s="20"/>
      <c r="J52" s="20"/>
      <c r="K52" s="20"/>
      <c r="L52" s="21"/>
      <c r="M52" s="22"/>
      <c r="N52" s="23"/>
      <c r="O52" s="24"/>
      <c r="P52" s="19"/>
      <c r="Q52" s="19"/>
      <c r="R52" s="416"/>
      <c r="S52" s="416"/>
      <c r="T52" s="416"/>
    </row>
    <row r="53" spans="1:20" ht="12" customHeight="1" x14ac:dyDescent="0.25">
      <c r="A53" s="415"/>
      <c r="B53" s="416"/>
      <c r="C53" s="416"/>
      <c r="D53" s="416"/>
      <c r="E53" s="416"/>
      <c r="F53" s="417"/>
      <c r="G53" s="20"/>
      <c r="H53" s="20"/>
      <c r="I53" s="20"/>
      <c r="J53" s="20"/>
      <c r="K53" s="20"/>
      <c r="L53" s="21"/>
      <c r="M53" s="22"/>
      <c r="N53" s="23"/>
      <c r="O53" s="24"/>
      <c r="P53" s="19"/>
      <c r="Q53" s="19"/>
      <c r="R53" s="416"/>
      <c r="S53" s="416"/>
      <c r="T53" s="416"/>
    </row>
    <row r="54" spans="1:20" ht="12" customHeight="1" x14ac:dyDescent="0.25">
      <c r="A54" s="415"/>
      <c r="B54" s="416"/>
      <c r="C54" s="416"/>
      <c r="D54" s="416"/>
      <c r="E54" s="416"/>
      <c r="F54" s="417"/>
      <c r="G54" s="20"/>
      <c r="H54" s="20"/>
      <c r="I54" s="20"/>
      <c r="J54" s="20"/>
      <c r="K54" s="20"/>
      <c r="L54" s="21"/>
      <c r="M54" s="22"/>
      <c r="N54" s="23"/>
      <c r="O54" s="24"/>
      <c r="P54" s="19"/>
      <c r="Q54" s="19"/>
      <c r="R54" s="416"/>
      <c r="S54" s="416"/>
      <c r="T54" s="416"/>
    </row>
    <row r="55" spans="1:20" ht="12" customHeight="1" x14ac:dyDescent="0.25">
      <c r="A55" s="415"/>
      <c r="B55" s="416"/>
      <c r="C55" s="416"/>
      <c r="D55" s="416"/>
      <c r="E55" s="416"/>
      <c r="F55" s="417"/>
      <c r="G55" s="20"/>
      <c r="H55" s="20"/>
      <c r="I55" s="20"/>
      <c r="J55" s="20"/>
      <c r="K55" s="20"/>
      <c r="L55" s="21"/>
      <c r="M55" s="22"/>
      <c r="N55" s="23"/>
      <c r="O55" s="24"/>
      <c r="P55" s="19"/>
      <c r="Q55" s="19"/>
      <c r="R55" s="416"/>
      <c r="S55" s="416"/>
      <c r="T55" s="416"/>
    </row>
    <row r="56" spans="1:20" ht="12" customHeight="1" x14ac:dyDescent="0.25">
      <c r="A56" s="415"/>
      <c r="B56" s="416"/>
      <c r="C56" s="416"/>
      <c r="D56" s="416"/>
      <c r="E56" s="416"/>
      <c r="F56" s="417"/>
      <c r="G56" s="20"/>
      <c r="H56" s="20"/>
      <c r="I56" s="20"/>
      <c r="J56" s="20"/>
      <c r="K56" s="20"/>
      <c r="L56" s="21"/>
      <c r="M56" s="22"/>
      <c r="N56" s="23"/>
      <c r="O56" s="24"/>
      <c r="P56" s="19"/>
      <c r="Q56" s="19"/>
      <c r="R56" s="416"/>
      <c r="S56" s="416"/>
      <c r="T56" s="416"/>
    </row>
    <row r="57" spans="1:20" ht="12" customHeight="1" x14ac:dyDescent="0.25">
      <c r="A57" s="415"/>
      <c r="B57" s="416"/>
      <c r="C57" s="416"/>
      <c r="D57" s="416"/>
      <c r="E57" s="416"/>
      <c r="F57" s="417"/>
      <c r="G57" s="20"/>
      <c r="H57" s="20"/>
      <c r="I57" s="20"/>
      <c r="J57" s="20"/>
      <c r="K57" s="20"/>
      <c r="L57" s="21"/>
      <c r="M57" s="22"/>
      <c r="N57" s="23"/>
      <c r="O57" s="24"/>
      <c r="P57" s="19"/>
      <c r="Q57" s="19"/>
      <c r="R57" s="416"/>
      <c r="S57" s="416"/>
      <c r="T57" s="416"/>
    </row>
    <row r="58" spans="1:20" ht="12" customHeight="1" x14ac:dyDescent="0.25">
      <c r="A58" s="415"/>
      <c r="B58" s="416"/>
      <c r="C58" s="416"/>
      <c r="D58" s="416"/>
      <c r="E58" s="416"/>
      <c r="F58" s="417"/>
      <c r="G58" s="20"/>
      <c r="H58" s="20"/>
      <c r="I58" s="20"/>
      <c r="J58" s="20"/>
      <c r="K58" s="20"/>
      <c r="L58" s="21"/>
      <c r="M58" s="22"/>
      <c r="N58" s="23"/>
      <c r="O58" s="24"/>
      <c r="P58" s="19"/>
      <c r="Q58" s="19"/>
      <c r="R58" s="416"/>
      <c r="S58" s="416"/>
      <c r="T58" s="416"/>
    </row>
    <row r="59" spans="1:20" ht="12" customHeight="1" x14ac:dyDescent="0.25">
      <c r="A59" s="415"/>
      <c r="B59" s="416"/>
      <c r="C59" s="416"/>
      <c r="D59" s="416"/>
      <c r="E59" s="416"/>
      <c r="F59" s="417"/>
      <c r="G59" s="20"/>
      <c r="H59" s="20"/>
      <c r="I59" s="20"/>
      <c r="J59" s="20"/>
      <c r="K59" s="20"/>
      <c r="L59" s="21"/>
      <c r="M59" s="22"/>
      <c r="N59" s="23"/>
      <c r="O59" s="24"/>
      <c r="P59" s="19"/>
      <c r="Q59" s="19"/>
      <c r="R59" s="416"/>
      <c r="S59" s="416"/>
      <c r="T59" s="416"/>
    </row>
    <row r="60" spans="1:20" ht="12" customHeight="1" x14ac:dyDescent="0.25">
      <c r="A60" s="415"/>
      <c r="B60" s="416"/>
      <c r="C60" s="416"/>
      <c r="D60" s="416"/>
      <c r="E60" s="416"/>
      <c r="F60" s="417"/>
      <c r="G60" s="20"/>
      <c r="H60" s="20"/>
      <c r="I60" s="20"/>
      <c r="J60" s="20"/>
      <c r="K60" s="20"/>
      <c r="L60" s="21"/>
      <c r="M60" s="22"/>
      <c r="N60" s="23"/>
      <c r="O60" s="24"/>
      <c r="P60" s="19"/>
      <c r="Q60" s="19"/>
      <c r="R60" s="416"/>
      <c r="S60" s="416"/>
      <c r="T60" s="416"/>
    </row>
    <row r="61" spans="1:20" ht="12" customHeight="1" x14ac:dyDescent="0.25">
      <c r="A61" s="415"/>
      <c r="B61" s="416"/>
      <c r="C61" s="416"/>
      <c r="D61" s="416"/>
      <c r="E61" s="416"/>
      <c r="F61" s="417"/>
      <c r="G61" s="20"/>
      <c r="H61" s="20"/>
      <c r="I61" s="20"/>
      <c r="J61" s="20"/>
      <c r="K61" s="20"/>
      <c r="L61" s="21"/>
      <c r="M61" s="22"/>
      <c r="N61" s="23"/>
      <c r="O61" s="24"/>
      <c r="P61" s="19"/>
      <c r="Q61" s="19"/>
      <c r="R61" s="416"/>
      <c r="S61" s="416"/>
      <c r="T61" s="416"/>
    </row>
    <row r="62" spans="1:20" ht="12" customHeight="1" x14ac:dyDescent="0.25">
      <c r="A62" s="415"/>
      <c r="B62" s="416"/>
      <c r="C62" s="416"/>
      <c r="D62" s="416"/>
      <c r="E62" s="416"/>
      <c r="F62" s="417"/>
      <c r="G62" s="20"/>
      <c r="H62" s="20"/>
      <c r="I62" s="20"/>
      <c r="J62" s="20"/>
      <c r="K62" s="20"/>
      <c r="L62" s="21"/>
      <c r="M62" s="22"/>
      <c r="N62" s="23"/>
      <c r="O62" s="24"/>
      <c r="P62" s="19"/>
      <c r="Q62" s="19"/>
      <c r="R62" s="416"/>
      <c r="S62" s="416"/>
      <c r="T62" s="416"/>
    </row>
    <row r="63" spans="1:20" ht="12" customHeight="1" x14ac:dyDescent="0.25">
      <c r="A63" s="415"/>
      <c r="B63" s="416"/>
      <c r="C63" s="416"/>
      <c r="D63" s="416"/>
      <c r="E63" s="416"/>
      <c r="F63" s="417"/>
      <c r="G63" s="20"/>
      <c r="H63" s="20"/>
      <c r="I63" s="20"/>
      <c r="J63" s="20"/>
      <c r="K63" s="20"/>
      <c r="L63" s="21"/>
      <c r="M63" s="22"/>
      <c r="N63" s="23"/>
      <c r="O63" s="24"/>
      <c r="P63" s="19"/>
      <c r="Q63" s="19"/>
      <c r="R63" s="416"/>
      <c r="S63" s="416"/>
      <c r="T63" s="416"/>
    </row>
    <row r="64" spans="1:20" ht="12" customHeight="1" x14ac:dyDescent="0.25">
      <c r="A64" s="415"/>
      <c r="B64" s="416"/>
      <c r="C64" s="416"/>
      <c r="D64" s="416"/>
      <c r="E64" s="416"/>
      <c r="F64" s="417"/>
      <c r="G64" s="20"/>
      <c r="H64" s="20"/>
      <c r="I64" s="20"/>
      <c r="J64" s="20"/>
      <c r="K64" s="20"/>
      <c r="L64" s="21"/>
      <c r="M64" s="22"/>
      <c r="N64" s="23"/>
      <c r="O64" s="24"/>
      <c r="P64" s="19"/>
      <c r="Q64" s="19"/>
      <c r="R64" s="416"/>
      <c r="S64" s="416"/>
      <c r="T64" s="416"/>
    </row>
    <row r="65" spans="1:20" ht="12" customHeight="1" x14ac:dyDescent="0.25">
      <c r="A65" s="415"/>
      <c r="B65" s="416"/>
      <c r="C65" s="416"/>
      <c r="D65" s="416"/>
      <c r="E65" s="416"/>
      <c r="F65" s="417"/>
      <c r="G65" s="20"/>
      <c r="H65" s="20"/>
      <c r="I65" s="20"/>
      <c r="J65" s="20"/>
      <c r="K65" s="20"/>
      <c r="L65" s="21"/>
      <c r="M65" s="22"/>
      <c r="N65" s="23"/>
      <c r="O65" s="24"/>
      <c r="P65" s="19"/>
      <c r="Q65" s="19"/>
      <c r="R65" s="416"/>
      <c r="S65" s="416"/>
      <c r="T65" s="416"/>
    </row>
    <row r="66" spans="1:20" ht="12" customHeight="1" x14ac:dyDescent="0.25">
      <c r="A66" s="415"/>
      <c r="B66" s="416"/>
      <c r="C66" s="416"/>
      <c r="D66" s="416"/>
      <c r="E66" s="416"/>
      <c r="F66" s="417"/>
      <c r="G66" s="20"/>
      <c r="H66" s="20"/>
      <c r="I66" s="20"/>
      <c r="J66" s="20"/>
      <c r="K66" s="20"/>
      <c r="L66" s="21"/>
      <c r="M66" s="22"/>
      <c r="N66" s="23"/>
      <c r="O66" s="24"/>
      <c r="P66" s="19"/>
      <c r="Q66" s="19"/>
      <c r="R66" s="416"/>
      <c r="S66" s="416"/>
      <c r="T66" s="416"/>
    </row>
    <row r="67" spans="1:20" ht="12" customHeight="1" x14ac:dyDescent="0.25">
      <c r="A67" s="415"/>
      <c r="B67" s="416"/>
      <c r="C67" s="416"/>
      <c r="D67" s="416"/>
      <c r="E67" s="416"/>
      <c r="F67" s="417"/>
      <c r="G67" s="20"/>
      <c r="H67" s="20"/>
      <c r="I67" s="20"/>
      <c r="J67" s="20"/>
      <c r="K67" s="20"/>
      <c r="L67" s="21"/>
      <c r="M67" s="22"/>
      <c r="N67" s="23"/>
      <c r="O67" s="24"/>
      <c r="P67" s="19"/>
      <c r="Q67" s="19"/>
      <c r="R67" s="416"/>
      <c r="S67" s="416"/>
      <c r="T67" s="416"/>
    </row>
    <row r="68" spans="1:20" ht="12" customHeight="1" x14ac:dyDescent="0.25">
      <c r="A68" s="415"/>
      <c r="B68" s="416"/>
      <c r="C68" s="416"/>
      <c r="D68" s="416"/>
      <c r="E68" s="416"/>
      <c r="F68" s="417"/>
      <c r="G68" s="20"/>
      <c r="H68" s="20"/>
      <c r="I68" s="20"/>
      <c r="J68" s="20"/>
      <c r="K68" s="20"/>
      <c r="L68" s="21"/>
      <c r="M68" s="22"/>
      <c r="N68" s="23"/>
      <c r="O68" s="24"/>
      <c r="P68" s="19"/>
      <c r="Q68" s="19"/>
      <c r="R68" s="416"/>
      <c r="S68" s="416"/>
      <c r="T68" s="416"/>
    </row>
    <row r="69" spans="1:20" ht="12" customHeight="1" x14ac:dyDescent="0.25">
      <c r="A69" s="415"/>
      <c r="B69" s="416"/>
      <c r="C69" s="416"/>
      <c r="D69" s="416"/>
      <c r="E69" s="416"/>
      <c r="F69" s="417"/>
      <c r="G69" s="20"/>
      <c r="H69" s="20"/>
      <c r="I69" s="20"/>
      <c r="J69" s="20"/>
      <c r="K69" s="20"/>
      <c r="L69" s="21"/>
      <c r="M69" s="22"/>
      <c r="N69" s="23"/>
      <c r="O69" s="24"/>
      <c r="P69" s="19"/>
      <c r="Q69" s="19"/>
      <c r="R69" s="416"/>
      <c r="S69" s="416"/>
      <c r="T69" s="416"/>
    </row>
    <row r="70" spans="1:20" ht="12" customHeight="1" x14ac:dyDescent="0.25">
      <c r="A70" s="415"/>
      <c r="B70" s="416"/>
      <c r="C70" s="416"/>
      <c r="D70" s="416"/>
      <c r="E70" s="416"/>
      <c r="F70" s="417"/>
      <c r="G70" s="20"/>
      <c r="H70" s="20"/>
      <c r="I70" s="20"/>
      <c r="J70" s="20"/>
      <c r="K70" s="20"/>
      <c r="L70" s="21"/>
      <c r="M70" s="22"/>
      <c r="N70" s="23"/>
      <c r="O70" s="24"/>
      <c r="P70" s="19"/>
      <c r="Q70" s="19"/>
      <c r="R70" s="416"/>
      <c r="S70" s="416"/>
      <c r="T70" s="416"/>
    </row>
    <row r="71" spans="1:20" ht="12" customHeight="1" x14ac:dyDescent="0.25">
      <c r="A71" s="415"/>
      <c r="B71" s="416"/>
      <c r="C71" s="416"/>
      <c r="D71" s="416"/>
      <c r="E71" s="416"/>
      <c r="F71" s="417"/>
      <c r="G71" s="20"/>
      <c r="H71" s="20"/>
      <c r="I71" s="20"/>
      <c r="J71" s="20"/>
      <c r="K71" s="20"/>
      <c r="L71" s="21"/>
      <c r="M71" s="22"/>
      <c r="N71" s="23"/>
      <c r="O71" s="24"/>
      <c r="P71" s="19"/>
      <c r="Q71" s="19"/>
      <c r="R71" s="416"/>
      <c r="S71" s="416"/>
      <c r="T71" s="416"/>
    </row>
    <row r="72" spans="1:20" ht="12" customHeight="1" x14ac:dyDescent="0.25">
      <c r="A72" s="415"/>
      <c r="B72" s="416"/>
      <c r="C72" s="416"/>
      <c r="D72" s="416"/>
      <c r="E72" s="416"/>
      <c r="F72" s="417"/>
      <c r="G72" s="20"/>
      <c r="H72" s="20"/>
      <c r="I72" s="20"/>
      <c r="J72" s="20"/>
      <c r="K72" s="20"/>
      <c r="L72" s="21"/>
      <c r="M72" s="22"/>
      <c r="N72" s="23"/>
      <c r="O72" s="24"/>
      <c r="P72" s="19"/>
      <c r="Q72" s="19"/>
      <c r="R72" s="416"/>
      <c r="S72" s="416"/>
      <c r="T72" s="416"/>
    </row>
    <row r="73" spans="1:20" ht="12" customHeight="1" x14ac:dyDescent="0.25">
      <c r="A73" s="415"/>
      <c r="B73" s="416"/>
      <c r="C73" s="416"/>
      <c r="D73" s="416"/>
      <c r="E73" s="416"/>
      <c r="F73" s="417"/>
      <c r="G73" s="20"/>
      <c r="H73" s="20"/>
      <c r="I73" s="20"/>
      <c r="J73" s="20"/>
      <c r="K73" s="20"/>
      <c r="L73" s="21"/>
      <c r="M73" s="22"/>
      <c r="N73" s="23"/>
      <c r="O73" s="24"/>
      <c r="P73" s="19"/>
      <c r="Q73" s="19"/>
      <c r="R73" s="416"/>
      <c r="S73" s="416"/>
      <c r="T73" s="416"/>
    </row>
    <row r="74" spans="1:20" ht="12" customHeight="1" x14ac:dyDescent="0.25">
      <c r="A74" s="415"/>
      <c r="B74" s="416"/>
      <c r="C74" s="416"/>
      <c r="D74" s="416"/>
      <c r="E74" s="416"/>
      <c r="F74" s="417"/>
      <c r="G74" s="20"/>
      <c r="H74" s="20"/>
      <c r="I74" s="20"/>
      <c r="J74" s="20"/>
      <c r="K74" s="20"/>
      <c r="L74" s="21"/>
      <c r="M74" s="22"/>
      <c r="N74" s="23"/>
      <c r="O74" s="24"/>
      <c r="P74" s="19"/>
      <c r="Q74" s="19"/>
      <c r="R74" s="416"/>
      <c r="S74" s="416"/>
      <c r="T74" s="416"/>
    </row>
    <row r="75" spans="1:20" ht="12" customHeight="1" x14ac:dyDescent="0.25">
      <c r="A75" s="415"/>
      <c r="B75" s="416"/>
      <c r="C75" s="416"/>
      <c r="D75" s="416"/>
      <c r="E75" s="416"/>
      <c r="F75" s="417"/>
      <c r="G75" s="20"/>
      <c r="H75" s="20"/>
      <c r="I75" s="20"/>
      <c r="J75" s="20"/>
      <c r="K75" s="20"/>
      <c r="L75" s="21"/>
      <c r="M75" s="22"/>
      <c r="N75" s="23"/>
      <c r="O75" s="24"/>
      <c r="P75" s="19"/>
      <c r="Q75" s="19"/>
      <c r="R75" s="416"/>
      <c r="S75" s="416"/>
      <c r="T75" s="416"/>
    </row>
    <row r="76" spans="1:20" ht="12" customHeight="1" x14ac:dyDescent="0.25">
      <c r="A76" s="415"/>
      <c r="B76" s="416"/>
      <c r="C76" s="416"/>
      <c r="D76" s="416"/>
      <c r="E76" s="416"/>
      <c r="F76" s="417"/>
      <c r="G76" s="20"/>
      <c r="H76" s="20"/>
      <c r="I76" s="20"/>
      <c r="J76" s="20"/>
      <c r="K76" s="20"/>
      <c r="L76" s="21"/>
      <c r="M76" s="22"/>
      <c r="N76" s="23"/>
      <c r="O76" s="24"/>
      <c r="P76" s="19"/>
      <c r="Q76" s="19"/>
      <c r="R76" s="416"/>
      <c r="S76" s="416"/>
      <c r="T76" s="416"/>
    </row>
    <row r="77" spans="1:20" ht="12" customHeight="1" x14ac:dyDescent="0.25">
      <c r="A77" s="415"/>
      <c r="B77" s="416"/>
      <c r="C77" s="416"/>
      <c r="D77" s="416"/>
      <c r="E77" s="416"/>
      <c r="F77" s="417"/>
      <c r="G77" s="20"/>
      <c r="H77" s="20"/>
      <c r="I77" s="20"/>
      <c r="J77" s="20"/>
      <c r="K77" s="20"/>
      <c r="L77" s="21"/>
      <c r="M77" s="22"/>
      <c r="N77" s="23"/>
      <c r="O77" s="24"/>
      <c r="P77" s="19"/>
      <c r="Q77" s="19"/>
      <c r="R77" s="416"/>
      <c r="S77" s="416"/>
      <c r="T77" s="416"/>
    </row>
    <row r="78" spans="1:20" ht="12" customHeight="1" x14ac:dyDescent="0.25">
      <c r="A78" s="415"/>
      <c r="B78" s="416"/>
      <c r="C78" s="416"/>
      <c r="D78" s="416"/>
      <c r="E78" s="416"/>
      <c r="F78" s="417"/>
      <c r="G78" s="20"/>
      <c r="H78" s="20"/>
      <c r="I78" s="20"/>
      <c r="J78" s="20"/>
      <c r="K78" s="20"/>
      <c r="L78" s="21"/>
      <c r="M78" s="22"/>
      <c r="N78" s="23"/>
      <c r="O78" s="24"/>
      <c r="P78" s="19"/>
      <c r="Q78" s="19"/>
      <c r="R78" s="416"/>
      <c r="S78" s="416"/>
      <c r="T78" s="416"/>
    </row>
    <row r="79" spans="1:20" ht="12" customHeight="1" x14ac:dyDescent="0.25">
      <c r="A79" s="415"/>
      <c r="B79" s="416"/>
      <c r="C79" s="416"/>
      <c r="D79" s="416"/>
      <c r="E79" s="416"/>
      <c r="F79" s="417"/>
      <c r="G79" s="20"/>
      <c r="H79" s="20"/>
      <c r="I79" s="20"/>
      <c r="J79" s="20"/>
      <c r="K79" s="20"/>
      <c r="L79" s="21"/>
      <c r="M79" s="22"/>
      <c r="N79" s="23"/>
      <c r="O79" s="24"/>
      <c r="P79" s="19"/>
      <c r="Q79" s="19"/>
      <c r="R79" s="416"/>
      <c r="S79" s="416"/>
      <c r="T79" s="416"/>
    </row>
    <row r="80" spans="1:20" ht="12" customHeight="1" x14ac:dyDescent="0.25">
      <c r="A80" s="415"/>
      <c r="B80" s="416"/>
      <c r="C80" s="416"/>
      <c r="D80" s="416"/>
      <c r="E80" s="416"/>
      <c r="F80" s="417"/>
      <c r="G80" s="20"/>
      <c r="H80" s="20"/>
      <c r="I80" s="20"/>
      <c r="J80" s="20"/>
      <c r="K80" s="20"/>
      <c r="L80" s="21"/>
      <c r="M80" s="22"/>
      <c r="N80" s="23"/>
      <c r="O80" s="24"/>
      <c r="P80" s="19" t="s">
        <v>308</v>
      </c>
      <c r="Q80" s="19"/>
      <c r="R80" s="416"/>
      <c r="S80" s="416"/>
      <c r="T80" s="416"/>
    </row>
    <row r="81" spans="1:20" ht="12" customHeight="1" x14ac:dyDescent="0.25">
      <c r="A81" s="415"/>
      <c r="B81" s="416"/>
      <c r="C81" s="416"/>
      <c r="D81" s="416"/>
      <c r="E81" s="416"/>
      <c r="F81" s="417"/>
      <c r="G81" s="20"/>
      <c r="H81" s="20"/>
      <c r="I81" s="20"/>
      <c r="J81" s="20"/>
      <c r="K81" s="20"/>
      <c r="L81" s="21"/>
      <c r="M81" s="22"/>
      <c r="N81" s="23"/>
      <c r="O81" s="24"/>
      <c r="P81" s="19" t="s">
        <v>308</v>
      </c>
      <c r="Q81" s="19"/>
      <c r="R81" s="416"/>
      <c r="S81" s="416"/>
      <c r="T81" s="416"/>
    </row>
    <row r="82" spans="1:20" ht="12" customHeight="1" x14ac:dyDescent="0.25">
      <c r="A82" s="415"/>
      <c r="B82" s="416"/>
      <c r="C82" s="416"/>
      <c r="D82" s="416"/>
      <c r="E82" s="416"/>
      <c r="F82" s="417"/>
      <c r="G82" s="20"/>
      <c r="H82" s="20"/>
      <c r="I82" s="20"/>
      <c r="J82" s="20"/>
      <c r="K82" s="20"/>
      <c r="L82" s="21"/>
      <c r="M82" s="22"/>
      <c r="N82" s="23"/>
      <c r="O82" s="24"/>
      <c r="P82" s="19"/>
      <c r="Q82" s="19"/>
      <c r="R82" s="416"/>
      <c r="S82" s="416"/>
      <c r="T82" s="416"/>
    </row>
    <row r="83" spans="1:20" ht="12" customHeight="1" x14ac:dyDescent="0.25">
      <c r="A83" s="415"/>
      <c r="B83" s="416"/>
      <c r="C83" s="416"/>
      <c r="D83" s="416"/>
      <c r="E83" s="416"/>
      <c r="F83" s="417"/>
      <c r="G83" s="20"/>
      <c r="H83" s="20"/>
      <c r="I83" s="20"/>
      <c r="J83" s="20"/>
      <c r="K83" s="20"/>
      <c r="L83" s="21"/>
      <c r="M83" s="22"/>
      <c r="N83" s="23"/>
      <c r="O83" s="24"/>
      <c r="P83" s="19"/>
      <c r="Q83" s="19"/>
      <c r="R83" s="416"/>
      <c r="S83" s="416"/>
      <c r="T83" s="416"/>
    </row>
    <row r="84" spans="1:20" ht="12" customHeight="1" x14ac:dyDescent="0.25">
      <c r="A84" s="415"/>
      <c r="B84" s="416"/>
      <c r="C84" s="416"/>
      <c r="D84" s="416"/>
      <c r="E84" s="416"/>
      <c r="F84" s="417"/>
      <c r="G84" s="20"/>
      <c r="H84" s="20"/>
      <c r="I84" s="20"/>
      <c r="J84" s="20"/>
      <c r="K84" s="20"/>
      <c r="L84" s="21"/>
      <c r="M84" s="22"/>
      <c r="N84" s="23"/>
      <c r="O84" s="24"/>
      <c r="P84" s="19"/>
      <c r="Q84" s="19"/>
      <c r="R84" s="416"/>
      <c r="S84" s="416"/>
      <c r="T84" s="416"/>
    </row>
    <row r="85" spans="1:20" ht="12" customHeight="1" x14ac:dyDescent="0.25">
      <c r="A85" s="415"/>
      <c r="B85" s="416"/>
      <c r="C85" s="416"/>
      <c r="D85" s="416"/>
      <c r="E85" s="416"/>
      <c r="F85" s="417"/>
      <c r="G85" s="20"/>
      <c r="H85" s="20"/>
      <c r="I85" s="20"/>
      <c r="J85" s="20"/>
      <c r="K85" s="20"/>
      <c r="L85" s="21"/>
      <c r="M85" s="22"/>
      <c r="N85" s="23"/>
      <c r="O85" s="24"/>
      <c r="P85" s="19"/>
      <c r="Q85" s="19"/>
      <c r="R85" s="416"/>
      <c r="S85" s="416"/>
      <c r="T85" s="416"/>
    </row>
    <row r="86" spans="1:20" ht="12" customHeight="1" x14ac:dyDescent="0.25">
      <c r="A86" s="415"/>
      <c r="B86" s="416"/>
      <c r="C86" s="416"/>
      <c r="D86" s="416"/>
      <c r="E86" s="416"/>
      <c r="F86" s="417"/>
      <c r="G86" s="20"/>
      <c r="H86" s="20"/>
      <c r="I86" s="20"/>
      <c r="J86" s="20"/>
      <c r="K86" s="20"/>
      <c r="L86" s="21"/>
      <c r="M86" s="22"/>
      <c r="N86" s="23"/>
      <c r="O86" s="24"/>
      <c r="P86" s="19"/>
      <c r="Q86" s="19"/>
      <c r="R86" s="416"/>
      <c r="S86" s="416"/>
      <c r="T86" s="416"/>
    </row>
    <row r="87" spans="1:20" ht="12" customHeight="1" x14ac:dyDescent="0.25">
      <c r="A87" s="415"/>
      <c r="B87" s="416"/>
      <c r="C87" s="416"/>
      <c r="D87" s="416"/>
      <c r="E87" s="416"/>
      <c r="F87" s="417"/>
      <c r="G87" s="20"/>
      <c r="H87" s="20"/>
      <c r="I87" s="20"/>
      <c r="J87" s="20"/>
      <c r="K87" s="20"/>
      <c r="L87" s="21"/>
      <c r="M87" s="22"/>
      <c r="N87" s="23"/>
      <c r="O87" s="24"/>
      <c r="P87" s="19"/>
      <c r="Q87" s="19"/>
      <c r="R87" s="416"/>
      <c r="S87" s="416"/>
      <c r="T87" s="416"/>
    </row>
    <row r="88" spans="1:20" ht="12" customHeight="1" x14ac:dyDescent="0.25">
      <c r="A88" s="415"/>
      <c r="B88" s="416"/>
      <c r="C88" s="416"/>
      <c r="D88" s="416"/>
      <c r="E88" s="416"/>
      <c r="F88" s="417"/>
      <c r="G88" s="20"/>
      <c r="H88" s="20"/>
      <c r="I88" s="20"/>
      <c r="J88" s="20"/>
      <c r="K88" s="20"/>
      <c r="L88" s="21"/>
      <c r="M88" s="22"/>
      <c r="N88" s="23"/>
      <c r="O88" s="24"/>
      <c r="P88" s="19"/>
      <c r="Q88" s="19"/>
      <c r="R88" s="416"/>
      <c r="S88" s="416"/>
      <c r="T88" s="416"/>
    </row>
    <row r="89" spans="1:20" ht="12" customHeight="1" x14ac:dyDescent="0.25">
      <c r="A89" s="415"/>
      <c r="B89" s="416"/>
      <c r="C89" s="416"/>
      <c r="D89" s="416"/>
      <c r="E89" s="416"/>
      <c r="F89" s="417"/>
      <c r="G89" s="20"/>
      <c r="H89" s="20"/>
      <c r="I89" s="20"/>
      <c r="J89" s="20"/>
      <c r="K89" s="20"/>
      <c r="L89" s="21"/>
      <c r="M89" s="22"/>
      <c r="N89" s="23"/>
      <c r="O89" s="24"/>
      <c r="P89" s="19"/>
      <c r="Q89" s="19"/>
      <c r="R89" s="416"/>
      <c r="S89" s="416"/>
      <c r="T89" s="416"/>
    </row>
    <row r="90" spans="1:20" ht="12" customHeight="1" x14ac:dyDescent="0.25">
      <c r="A90" s="415"/>
      <c r="B90" s="416"/>
      <c r="C90" s="416"/>
      <c r="D90" s="416"/>
      <c r="E90" s="416"/>
      <c r="F90" s="417"/>
      <c r="G90" s="20"/>
      <c r="H90" s="20"/>
      <c r="I90" s="20"/>
      <c r="J90" s="20"/>
      <c r="K90" s="20"/>
      <c r="L90" s="21"/>
      <c r="M90" s="22"/>
      <c r="N90" s="23"/>
      <c r="O90" s="24"/>
      <c r="P90" s="19"/>
      <c r="Q90" s="19"/>
      <c r="R90" s="416"/>
      <c r="S90" s="416"/>
      <c r="T90" s="416"/>
    </row>
    <row r="91" spans="1:20" ht="12" customHeight="1" x14ac:dyDescent="0.25">
      <c r="A91" s="415"/>
      <c r="B91" s="416"/>
      <c r="C91" s="416"/>
      <c r="D91" s="416"/>
      <c r="E91" s="416"/>
      <c r="F91" s="417"/>
      <c r="G91" s="20"/>
      <c r="H91" s="20"/>
      <c r="I91" s="20"/>
      <c r="J91" s="20"/>
      <c r="K91" s="20"/>
      <c r="L91" s="21"/>
      <c r="M91" s="22"/>
      <c r="N91" s="23"/>
      <c r="O91" s="24"/>
      <c r="P91" s="19"/>
      <c r="Q91" s="19"/>
      <c r="R91" s="416"/>
      <c r="S91" s="416"/>
      <c r="T91" s="416"/>
    </row>
    <row r="92" spans="1:20" ht="12" customHeight="1" x14ac:dyDescent="0.25">
      <c r="A92" s="415"/>
      <c r="B92" s="416"/>
      <c r="C92" s="416"/>
      <c r="D92" s="416"/>
      <c r="E92" s="416"/>
      <c r="F92" s="417"/>
      <c r="G92" s="20"/>
      <c r="H92" s="20"/>
      <c r="I92" s="20"/>
      <c r="J92" s="20"/>
      <c r="K92" s="20"/>
      <c r="L92" s="21"/>
      <c r="M92" s="22"/>
      <c r="N92" s="23"/>
      <c r="O92" s="24"/>
      <c r="P92" s="19"/>
      <c r="Q92" s="19"/>
      <c r="R92" s="416"/>
      <c r="S92" s="416"/>
      <c r="T92" s="416"/>
    </row>
    <row r="93" spans="1:20" ht="12" customHeight="1" x14ac:dyDescent="0.25">
      <c r="A93" s="415"/>
      <c r="B93" s="416"/>
      <c r="C93" s="416"/>
      <c r="D93" s="416"/>
      <c r="E93" s="416"/>
      <c r="F93" s="417"/>
      <c r="G93" s="20"/>
      <c r="H93" s="20"/>
      <c r="I93" s="20"/>
      <c r="J93" s="20"/>
      <c r="K93" s="20"/>
      <c r="L93" s="21"/>
      <c r="M93" s="22"/>
      <c r="N93" s="23"/>
      <c r="O93" s="24"/>
      <c r="P93" s="19"/>
      <c r="Q93" s="19"/>
      <c r="R93" s="416"/>
      <c r="S93" s="416"/>
      <c r="T93" s="416"/>
    </row>
    <row r="94" spans="1:20" ht="12" customHeight="1" x14ac:dyDescent="0.25">
      <c r="A94" s="415"/>
      <c r="B94" s="416"/>
      <c r="C94" s="416"/>
      <c r="D94" s="416"/>
      <c r="E94" s="416"/>
      <c r="F94" s="417"/>
      <c r="G94" s="20"/>
      <c r="H94" s="20"/>
      <c r="I94" s="20"/>
      <c r="J94" s="20"/>
      <c r="K94" s="20"/>
      <c r="L94" s="21"/>
      <c r="M94" s="22"/>
      <c r="N94" s="23"/>
      <c r="O94" s="24"/>
      <c r="P94" s="19" t="s">
        <v>309</v>
      </c>
      <c r="Q94" s="19"/>
      <c r="R94" s="416"/>
      <c r="S94" s="416"/>
      <c r="T94" s="416"/>
    </row>
    <row r="95" spans="1:20" ht="12" customHeight="1" x14ac:dyDescent="0.25">
      <c r="A95" s="415"/>
      <c r="B95" s="416"/>
      <c r="C95" s="416"/>
      <c r="D95" s="416"/>
      <c r="E95" s="416"/>
      <c r="F95" s="417"/>
      <c r="G95" s="20"/>
      <c r="H95" s="20"/>
      <c r="I95" s="20"/>
      <c r="J95" s="20"/>
      <c r="K95" s="20"/>
      <c r="L95" s="21"/>
      <c r="M95" s="22"/>
      <c r="N95" s="23"/>
      <c r="O95" s="24"/>
      <c r="P95" s="19"/>
      <c r="Q95" s="19"/>
      <c r="R95" s="416"/>
      <c r="S95" s="416"/>
      <c r="T95" s="416"/>
    </row>
    <row r="96" spans="1:20" ht="12" customHeight="1" x14ac:dyDescent="0.25">
      <c r="A96" s="415"/>
      <c r="B96" s="416"/>
      <c r="C96" s="416"/>
      <c r="D96" s="416"/>
      <c r="E96" s="416"/>
      <c r="F96" s="417"/>
      <c r="G96" s="20"/>
      <c r="H96" s="20"/>
      <c r="I96" s="20"/>
      <c r="J96" s="20"/>
      <c r="K96" s="20"/>
      <c r="L96" s="21"/>
      <c r="M96" s="22"/>
      <c r="N96" s="23"/>
      <c r="O96" s="24"/>
      <c r="P96" s="19"/>
      <c r="Q96" s="19"/>
      <c r="R96" s="416"/>
      <c r="S96" s="416"/>
      <c r="T96" s="416"/>
    </row>
    <row r="97" spans="1:20" ht="12" customHeight="1" x14ac:dyDescent="0.25">
      <c r="A97" s="415"/>
      <c r="B97" s="416"/>
      <c r="C97" s="416"/>
      <c r="D97" s="416"/>
      <c r="E97" s="416"/>
      <c r="F97" s="417"/>
      <c r="G97" s="20"/>
      <c r="H97" s="20"/>
      <c r="I97" s="20"/>
      <c r="J97" s="20"/>
      <c r="K97" s="20"/>
      <c r="L97" s="21"/>
      <c r="M97" s="22"/>
      <c r="N97" s="23"/>
      <c r="O97" s="24"/>
      <c r="P97" s="19"/>
      <c r="Q97" s="19"/>
      <c r="R97" s="416"/>
      <c r="S97" s="416"/>
      <c r="T97" s="416"/>
    </row>
    <row r="98" spans="1:20" ht="12" customHeight="1" x14ac:dyDescent="0.25">
      <c r="A98" s="415"/>
      <c r="B98" s="416"/>
      <c r="C98" s="416"/>
      <c r="D98" s="416"/>
      <c r="E98" s="416"/>
      <c r="F98" s="417"/>
      <c r="G98" s="20"/>
      <c r="H98" s="20"/>
      <c r="I98" s="20"/>
      <c r="J98" s="20"/>
      <c r="K98" s="20"/>
      <c r="L98" s="21"/>
      <c r="M98" s="22"/>
      <c r="N98" s="23"/>
      <c r="O98" s="24"/>
      <c r="P98" s="19"/>
      <c r="Q98" s="19"/>
      <c r="R98" s="416"/>
      <c r="S98" s="416"/>
      <c r="T98" s="416"/>
    </row>
    <row r="99" spans="1:20" ht="12" customHeight="1" x14ac:dyDescent="0.25">
      <c r="A99" s="415"/>
      <c r="B99" s="416"/>
      <c r="C99" s="416"/>
      <c r="D99" s="416"/>
      <c r="E99" s="416"/>
      <c r="F99" s="417"/>
      <c r="G99" s="20"/>
      <c r="H99" s="20"/>
      <c r="I99" s="20"/>
      <c r="J99" s="20"/>
      <c r="K99" s="20"/>
      <c r="L99" s="21"/>
      <c r="M99" s="22"/>
      <c r="N99" s="23"/>
      <c r="O99" s="24"/>
      <c r="P99" s="19"/>
      <c r="Q99" s="19"/>
      <c r="R99" s="416"/>
      <c r="S99" s="416"/>
      <c r="T99" s="416"/>
    </row>
    <row r="100" spans="1:20" ht="12" customHeight="1" x14ac:dyDescent="0.25">
      <c r="A100" s="415"/>
      <c r="B100" s="416"/>
      <c r="C100" s="416"/>
      <c r="D100" s="416"/>
      <c r="E100" s="416"/>
      <c r="F100" s="417"/>
      <c r="G100" s="20"/>
      <c r="H100" s="20"/>
      <c r="I100" s="20"/>
      <c r="J100" s="20"/>
      <c r="K100" s="20"/>
      <c r="L100" s="21"/>
      <c r="M100" s="22"/>
      <c r="N100" s="23"/>
      <c r="O100" s="24"/>
      <c r="P100" s="19"/>
      <c r="Q100" s="19"/>
      <c r="R100" s="416"/>
      <c r="S100" s="416"/>
      <c r="T100" s="416"/>
    </row>
    <row r="101" spans="1:20" ht="12" customHeight="1" x14ac:dyDescent="0.25">
      <c r="A101" s="415"/>
      <c r="B101" s="416"/>
      <c r="C101" s="416"/>
      <c r="D101" s="416"/>
      <c r="E101" s="416"/>
      <c r="F101" s="417"/>
      <c r="G101" s="20"/>
      <c r="H101" s="20"/>
      <c r="I101" s="20"/>
      <c r="J101" s="20"/>
      <c r="K101" s="20"/>
      <c r="L101" s="21"/>
      <c r="M101" s="22"/>
      <c r="N101" s="23"/>
      <c r="O101" s="24"/>
      <c r="P101" s="19"/>
      <c r="Q101" s="19"/>
      <c r="R101" s="416"/>
      <c r="S101" s="416"/>
      <c r="T101" s="416"/>
    </row>
    <row r="102" spans="1:20" ht="12" customHeight="1" x14ac:dyDescent="0.25">
      <c r="A102" s="415"/>
      <c r="B102" s="416"/>
      <c r="C102" s="416"/>
      <c r="D102" s="416"/>
      <c r="E102" s="416"/>
      <c r="F102" s="417"/>
      <c r="G102" s="20"/>
      <c r="H102" s="20"/>
      <c r="I102" s="20"/>
      <c r="J102" s="20"/>
      <c r="K102" s="20"/>
      <c r="L102" s="21"/>
      <c r="M102" s="22"/>
      <c r="N102" s="23"/>
      <c r="O102" s="24"/>
      <c r="P102" s="19"/>
      <c r="Q102" s="19"/>
      <c r="R102" s="416"/>
      <c r="S102" s="416"/>
      <c r="T102" s="416"/>
    </row>
    <row r="103" spans="1:20" ht="12" customHeight="1" x14ac:dyDescent="0.25">
      <c r="A103" s="415"/>
      <c r="B103" s="416"/>
      <c r="C103" s="416"/>
      <c r="D103" s="416"/>
      <c r="E103" s="416"/>
      <c r="F103" s="417"/>
      <c r="G103" s="20"/>
      <c r="H103" s="20"/>
      <c r="I103" s="20"/>
      <c r="J103" s="20"/>
      <c r="K103" s="20"/>
      <c r="L103" s="21"/>
      <c r="M103" s="22"/>
      <c r="N103" s="23"/>
      <c r="O103" s="24"/>
      <c r="P103" s="19"/>
      <c r="Q103" s="19"/>
      <c r="R103" s="416"/>
      <c r="S103" s="416"/>
      <c r="T103" s="416"/>
    </row>
    <row r="104" spans="1:20" ht="12" customHeight="1" x14ac:dyDescent="0.25">
      <c r="A104" s="415"/>
      <c r="B104" s="416"/>
      <c r="C104" s="416"/>
      <c r="D104" s="416"/>
      <c r="E104" s="416"/>
      <c r="F104" s="417"/>
      <c r="G104" s="20"/>
      <c r="H104" s="20"/>
      <c r="I104" s="20"/>
      <c r="J104" s="20"/>
      <c r="K104" s="20"/>
      <c r="L104" s="21"/>
      <c r="M104" s="22"/>
      <c r="N104" s="23"/>
      <c r="O104" s="24"/>
      <c r="P104" s="19"/>
      <c r="Q104" s="19"/>
      <c r="R104" s="416"/>
      <c r="S104" s="416"/>
      <c r="T104" s="416"/>
    </row>
    <row r="105" spans="1:20" ht="12" customHeight="1" x14ac:dyDescent="0.25">
      <c r="A105" s="415"/>
      <c r="B105" s="416"/>
      <c r="C105" s="416"/>
      <c r="D105" s="416"/>
      <c r="E105" s="416"/>
      <c r="F105" s="417"/>
      <c r="G105" s="20"/>
      <c r="H105" s="20"/>
      <c r="I105" s="20"/>
      <c r="J105" s="20"/>
      <c r="K105" s="20"/>
      <c r="L105" s="21"/>
      <c r="M105" s="22"/>
      <c r="N105" s="23"/>
      <c r="O105" s="24"/>
      <c r="P105" s="19"/>
      <c r="Q105" s="19"/>
      <c r="R105" s="416"/>
      <c r="S105" s="416"/>
      <c r="T105" s="416"/>
    </row>
    <row r="106" spans="1:20" ht="12" customHeight="1" x14ac:dyDescent="0.25">
      <c r="A106" s="415"/>
      <c r="B106" s="416"/>
      <c r="C106" s="416"/>
      <c r="D106" s="416"/>
      <c r="E106" s="416"/>
      <c r="F106" s="417"/>
      <c r="G106" s="20"/>
      <c r="H106" s="20"/>
      <c r="I106" s="20"/>
      <c r="J106" s="20"/>
      <c r="K106" s="20"/>
      <c r="L106" s="21"/>
      <c r="M106" s="22"/>
      <c r="N106" s="23"/>
      <c r="O106" s="24"/>
      <c r="P106" s="19"/>
      <c r="Q106" s="19"/>
      <c r="R106" s="416"/>
      <c r="S106" s="416"/>
      <c r="T106" s="416"/>
    </row>
    <row r="107" spans="1:20" ht="12" customHeight="1" x14ac:dyDescent="0.25">
      <c r="A107" s="415"/>
      <c r="B107" s="416"/>
      <c r="C107" s="416"/>
      <c r="D107" s="416"/>
      <c r="E107" s="416"/>
      <c r="F107" s="417"/>
      <c r="G107" s="20"/>
      <c r="H107" s="20"/>
      <c r="I107" s="20"/>
      <c r="J107" s="20"/>
      <c r="K107" s="20"/>
      <c r="L107" s="21"/>
      <c r="M107" s="22"/>
      <c r="N107" s="23"/>
      <c r="O107" s="24"/>
      <c r="P107" s="19"/>
      <c r="Q107" s="19"/>
      <c r="R107" s="416"/>
      <c r="S107" s="416"/>
      <c r="T107" s="416"/>
    </row>
    <row r="108" spans="1:20" ht="12" customHeight="1" x14ac:dyDescent="0.25">
      <c r="A108" s="415"/>
      <c r="B108" s="416"/>
      <c r="C108" s="416"/>
      <c r="D108" s="416"/>
      <c r="E108" s="416"/>
      <c r="F108" s="417"/>
      <c r="G108" s="20"/>
      <c r="H108" s="20"/>
      <c r="I108" s="20"/>
      <c r="J108" s="20"/>
      <c r="K108" s="20"/>
      <c r="L108" s="21"/>
      <c r="M108" s="22"/>
      <c r="N108" s="23"/>
      <c r="O108" s="24"/>
      <c r="P108" s="19"/>
      <c r="Q108" s="19"/>
      <c r="R108" s="416"/>
      <c r="S108" s="416"/>
      <c r="T108" s="416"/>
    </row>
    <row r="109" spans="1:20" ht="12" customHeight="1" x14ac:dyDescent="0.25">
      <c r="A109" s="415"/>
      <c r="B109" s="416"/>
      <c r="C109" s="416"/>
      <c r="D109" s="416"/>
      <c r="E109" s="416"/>
      <c r="F109" s="417"/>
      <c r="G109" s="20"/>
      <c r="H109" s="20"/>
      <c r="I109" s="20"/>
      <c r="J109" s="20"/>
      <c r="K109" s="20"/>
      <c r="L109" s="21"/>
      <c r="M109" s="22"/>
      <c r="N109" s="23"/>
      <c r="O109" s="24"/>
      <c r="P109" s="19"/>
      <c r="Q109" s="19"/>
      <c r="R109" s="416"/>
      <c r="S109" s="416"/>
      <c r="T109" s="416"/>
    </row>
    <row r="110" spans="1:20" ht="12" customHeight="1" x14ac:dyDescent="0.25">
      <c r="A110" s="415"/>
      <c r="B110" s="416"/>
      <c r="C110" s="416"/>
      <c r="D110" s="416"/>
      <c r="E110" s="416"/>
      <c r="F110" s="417"/>
      <c r="G110" s="20"/>
      <c r="H110" s="20"/>
      <c r="I110" s="20"/>
      <c r="J110" s="20"/>
      <c r="K110" s="20"/>
      <c r="L110" s="21"/>
      <c r="M110" s="22"/>
      <c r="N110" s="23"/>
      <c r="O110" s="24"/>
      <c r="P110" s="19"/>
      <c r="Q110" s="19"/>
      <c r="R110" s="416"/>
      <c r="S110" s="416"/>
      <c r="T110" s="416"/>
    </row>
    <row r="111" spans="1:20" ht="12" customHeight="1" x14ac:dyDescent="0.25">
      <c r="A111" s="415"/>
      <c r="B111" s="416"/>
      <c r="C111" s="416"/>
      <c r="D111" s="416"/>
      <c r="E111" s="416"/>
      <c r="F111" s="417"/>
      <c r="G111" s="20"/>
      <c r="H111" s="20"/>
      <c r="I111" s="20"/>
      <c r="J111" s="20"/>
      <c r="K111" s="20"/>
      <c r="L111" s="21"/>
      <c r="M111" s="22"/>
      <c r="N111" s="23"/>
      <c r="O111" s="24"/>
      <c r="P111" s="19" t="s">
        <v>310</v>
      </c>
      <c r="Q111" s="19"/>
      <c r="R111" s="416"/>
      <c r="S111" s="416"/>
      <c r="T111" s="416"/>
    </row>
    <row r="112" spans="1:20" ht="12" customHeight="1" x14ac:dyDescent="0.25">
      <c r="A112" s="415"/>
      <c r="B112" s="416"/>
      <c r="C112" s="416"/>
      <c r="D112" s="416"/>
      <c r="E112" s="416"/>
      <c r="F112" s="417"/>
      <c r="G112" s="20"/>
      <c r="H112" s="20"/>
      <c r="I112" s="20"/>
      <c r="J112" s="20"/>
      <c r="K112" s="20"/>
      <c r="L112" s="21"/>
      <c r="M112" s="22"/>
      <c r="N112" s="23"/>
      <c r="O112" s="24"/>
      <c r="P112" s="19"/>
      <c r="Q112" s="19"/>
      <c r="R112" s="416"/>
      <c r="S112" s="416"/>
      <c r="T112" s="416"/>
    </row>
    <row r="113" spans="1:20" ht="12" customHeight="1" x14ac:dyDescent="0.25">
      <c r="A113" s="415"/>
      <c r="B113" s="416"/>
      <c r="C113" s="416"/>
      <c r="D113" s="416"/>
      <c r="E113" s="416"/>
      <c r="F113" s="417"/>
      <c r="G113" s="20"/>
      <c r="H113" s="20"/>
      <c r="I113" s="20"/>
      <c r="J113" s="20"/>
      <c r="K113" s="20"/>
      <c r="L113" s="21"/>
      <c r="M113" s="22"/>
      <c r="N113" s="23"/>
      <c r="O113" s="24"/>
      <c r="P113" s="19"/>
      <c r="Q113" s="19"/>
      <c r="R113" s="416"/>
      <c r="S113" s="416"/>
      <c r="T113" s="416"/>
    </row>
    <row r="114" spans="1:20" x14ac:dyDescent="0.25">
      <c r="A114" s="415"/>
      <c r="B114" s="416"/>
      <c r="C114" s="416"/>
      <c r="D114" s="416"/>
      <c r="E114" s="416"/>
      <c r="F114" s="417"/>
      <c r="G114" s="20"/>
      <c r="H114" s="20"/>
      <c r="I114" s="20"/>
      <c r="J114" s="20"/>
      <c r="K114" s="20"/>
      <c r="L114" s="21"/>
      <c r="M114" s="22"/>
      <c r="N114" s="23"/>
      <c r="O114" s="24"/>
      <c r="P114" s="19"/>
      <c r="Q114" s="19"/>
      <c r="R114" s="416"/>
      <c r="S114" s="416"/>
      <c r="T114" s="416"/>
    </row>
    <row r="115" spans="1:20" x14ac:dyDescent="0.25">
      <c r="A115" s="415"/>
      <c r="B115" s="416"/>
      <c r="C115" s="416"/>
      <c r="D115" s="416"/>
      <c r="E115" s="416"/>
      <c r="F115" s="417"/>
      <c r="G115" s="20"/>
      <c r="H115" s="20"/>
      <c r="I115" s="20"/>
      <c r="J115" s="20"/>
      <c r="K115" s="20"/>
      <c r="L115" s="21"/>
      <c r="M115" s="22"/>
      <c r="N115" s="23"/>
      <c r="O115" s="24"/>
      <c r="P115" s="19"/>
      <c r="Q115" s="19"/>
      <c r="R115" s="416"/>
      <c r="S115" s="416"/>
      <c r="T115" s="416"/>
    </row>
    <row r="116" spans="1:20" x14ac:dyDescent="0.25">
      <c r="A116" s="415"/>
      <c r="B116" s="416"/>
      <c r="C116" s="416"/>
      <c r="D116" s="416"/>
      <c r="E116" s="416"/>
      <c r="F116" s="417"/>
      <c r="G116" s="20"/>
      <c r="H116" s="20"/>
      <c r="I116" s="20"/>
      <c r="J116" s="20"/>
      <c r="K116" s="20"/>
      <c r="L116" s="21"/>
      <c r="M116" s="22"/>
      <c r="N116" s="23"/>
      <c r="O116" s="24"/>
      <c r="P116" s="19"/>
      <c r="Q116" s="19"/>
      <c r="R116" s="416"/>
      <c r="S116" s="416"/>
      <c r="T116" s="416"/>
    </row>
    <row r="117" spans="1:20" x14ac:dyDescent="0.25">
      <c r="A117" s="415"/>
      <c r="B117" s="416"/>
      <c r="C117" s="416"/>
      <c r="D117" s="416"/>
      <c r="E117" s="416"/>
      <c r="F117" s="417"/>
      <c r="G117" s="20"/>
      <c r="H117" s="20"/>
      <c r="I117" s="20"/>
      <c r="J117" s="20"/>
      <c r="K117" s="20"/>
      <c r="L117" s="21"/>
      <c r="M117" s="22"/>
      <c r="N117" s="23"/>
      <c r="O117" s="24"/>
      <c r="P117" s="19"/>
      <c r="Q117" s="19"/>
      <c r="R117" s="416"/>
      <c r="S117" s="416"/>
      <c r="T117" s="416"/>
    </row>
    <row r="118" spans="1:20" x14ac:dyDescent="0.25">
      <c r="A118" s="415"/>
      <c r="B118" s="416"/>
      <c r="C118" s="416"/>
      <c r="D118" s="416"/>
      <c r="E118" s="416"/>
      <c r="F118" s="417"/>
      <c r="G118" s="20"/>
      <c r="H118" s="20"/>
      <c r="I118" s="20"/>
      <c r="J118" s="20"/>
      <c r="K118" s="20"/>
      <c r="L118" s="21"/>
      <c r="M118" s="22"/>
      <c r="N118" s="23"/>
      <c r="O118" s="24"/>
      <c r="P118" s="19"/>
      <c r="Q118" s="19"/>
      <c r="R118" s="416"/>
      <c r="S118" s="416"/>
      <c r="T118" s="416"/>
    </row>
    <row r="119" spans="1:20" x14ac:dyDescent="0.25">
      <c r="A119" s="415"/>
      <c r="B119" s="416"/>
      <c r="C119" s="416"/>
      <c r="D119" s="416"/>
      <c r="E119" s="416"/>
      <c r="F119" s="417"/>
      <c r="G119" s="20"/>
      <c r="H119" s="20"/>
      <c r="I119" s="20"/>
      <c r="J119" s="20"/>
      <c r="K119" s="20"/>
      <c r="L119" s="21"/>
      <c r="M119" s="22"/>
      <c r="N119" s="23"/>
      <c r="O119" s="24"/>
      <c r="P119" s="19"/>
      <c r="Q119" s="19"/>
      <c r="R119" s="416"/>
      <c r="S119" s="416"/>
      <c r="T119" s="416"/>
    </row>
    <row r="120" spans="1:20" x14ac:dyDescent="0.25">
      <c r="A120" s="415"/>
      <c r="B120" s="416"/>
      <c r="C120" s="416"/>
      <c r="D120" s="416"/>
      <c r="E120" s="416"/>
      <c r="F120" s="417"/>
      <c r="G120" s="20"/>
      <c r="H120" s="20"/>
      <c r="I120" s="20"/>
      <c r="J120" s="20"/>
      <c r="K120" s="20"/>
      <c r="L120" s="21"/>
      <c r="M120" s="22"/>
      <c r="N120" s="23"/>
      <c r="O120" s="24"/>
      <c r="P120" s="19"/>
      <c r="Q120" s="19"/>
      <c r="R120" s="416"/>
      <c r="S120" s="416"/>
      <c r="T120" s="416"/>
    </row>
    <row r="121" spans="1:20" x14ac:dyDescent="0.25">
      <c r="A121" s="415"/>
      <c r="B121" s="416"/>
      <c r="C121" s="416"/>
      <c r="D121" s="416"/>
      <c r="E121" s="416"/>
      <c r="F121" s="417"/>
      <c r="G121" s="20"/>
      <c r="H121" s="20"/>
      <c r="I121" s="20"/>
      <c r="J121" s="20"/>
      <c r="K121" s="20"/>
      <c r="L121" s="21"/>
      <c r="M121" s="22"/>
      <c r="N121" s="23"/>
      <c r="O121" s="24"/>
      <c r="P121" s="19"/>
      <c r="Q121" s="19"/>
      <c r="R121" s="416"/>
      <c r="S121" s="416"/>
      <c r="T121" s="416"/>
    </row>
    <row r="122" spans="1:20" x14ac:dyDescent="0.25">
      <c r="A122" s="415"/>
      <c r="B122" s="416"/>
      <c r="C122" s="416"/>
      <c r="D122" s="416"/>
      <c r="E122" s="416"/>
      <c r="F122" s="417"/>
      <c r="G122" s="20"/>
      <c r="H122" s="20"/>
      <c r="I122" s="20"/>
      <c r="J122" s="20"/>
      <c r="K122" s="20"/>
      <c r="L122" s="21"/>
      <c r="M122" s="22"/>
      <c r="N122" s="23"/>
      <c r="O122" s="24"/>
      <c r="P122" s="19"/>
      <c r="Q122" s="19"/>
      <c r="R122" s="416"/>
      <c r="S122" s="416"/>
      <c r="T122" s="416"/>
    </row>
    <row r="123" spans="1:20" x14ac:dyDescent="0.25">
      <c r="A123" s="415"/>
      <c r="B123" s="416"/>
      <c r="C123" s="416"/>
      <c r="D123" s="416"/>
      <c r="E123" s="416"/>
      <c r="F123" s="417"/>
      <c r="G123" s="20"/>
      <c r="H123" s="20"/>
      <c r="I123" s="20"/>
      <c r="J123" s="20"/>
      <c r="K123" s="20"/>
      <c r="L123" s="21"/>
      <c r="M123" s="22"/>
      <c r="N123" s="23"/>
      <c r="O123" s="24"/>
      <c r="P123" s="19"/>
      <c r="Q123" s="19"/>
      <c r="R123" s="416"/>
      <c r="S123" s="416"/>
      <c r="T123" s="416"/>
    </row>
    <row r="124" spans="1:20" x14ac:dyDescent="0.25">
      <c r="A124" s="415"/>
      <c r="B124" s="416"/>
      <c r="C124" s="416"/>
      <c r="D124" s="416"/>
      <c r="E124" s="416"/>
      <c r="F124" s="417"/>
      <c r="G124" s="20"/>
      <c r="H124" s="20"/>
      <c r="I124" s="20"/>
      <c r="J124" s="20"/>
      <c r="K124" s="20"/>
      <c r="L124" s="21"/>
      <c r="M124" s="22"/>
      <c r="N124" s="23"/>
      <c r="O124" s="24"/>
      <c r="P124" s="19"/>
      <c r="Q124" s="19"/>
      <c r="R124" s="416"/>
      <c r="S124" s="416"/>
      <c r="T124" s="416"/>
    </row>
    <row r="125" spans="1:20" x14ac:dyDescent="0.25">
      <c r="A125" s="415"/>
      <c r="B125" s="416"/>
      <c r="C125" s="416"/>
      <c r="D125" s="416"/>
      <c r="E125" s="416"/>
      <c r="F125" s="417"/>
      <c r="G125" s="20"/>
      <c r="H125" s="20"/>
      <c r="I125" s="20"/>
      <c r="J125" s="20"/>
      <c r="K125" s="20"/>
      <c r="L125" s="21"/>
      <c r="M125" s="22"/>
      <c r="N125" s="23"/>
      <c r="O125" s="24"/>
      <c r="P125" s="19"/>
      <c r="Q125" s="19"/>
      <c r="R125" s="416"/>
      <c r="S125" s="416"/>
      <c r="T125" s="416"/>
    </row>
    <row r="126" spans="1:20" x14ac:dyDescent="0.25">
      <c r="A126" s="415"/>
      <c r="B126" s="416"/>
      <c r="C126" s="416"/>
      <c r="D126" s="416"/>
      <c r="E126" s="416"/>
      <c r="F126" s="417"/>
      <c r="G126" s="20"/>
      <c r="H126" s="20"/>
      <c r="I126" s="20"/>
      <c r="J126" s="20"/>
      <c r="K126" s="20"/>
      <c r="L126" s="21"/>
      <c r="M126" s="22"/>
      <c r="N126" s="23"/>
      <c r="O126" s="24"/>
      <c r="P126" s="19"/>
      <c r="Q126" s="19"/>
      <c r="R126" s="416"/>
      <c r="S126" s="416"/>
      <c r="T126" s="416"/>
    </row>
    <row r="127" spans="1:20" x14ac:dyDescent="0.25">
      <c r="A127" s="415"/>
      <c r="B127" s="416"/>
      <c r="C127" s="416"/>
      <c r="D127" s="416"/>
      <c r="E127" s="416"/>
      <c r="F127" s="417"/>
      <c r="G127" s="20"/>
      <c r="H127" s="20"/>
      <c r="I127" s="20"/>
      <c r="J127" s="20"/>
      <c r="K127" s="20"/>
      <c r="L127" s="21"/>
      <c r="M127" s="22"/>
      <c r="N127" s="23"/>
      <c r="O127" s="24"/>
      <c r="P127" s="19"/>
      <c r="Q127" s="19"/>
      <c r="R127" s="416"/>
      <c r="S127" s="416"/>
      <c r="T127" s="416"/>
    </row>
    <row r="128" spans="1:20" x14ac:dyDescent="0.25">
      <c r="A128" s="415"/>
      <c r="B128" s="416"/>
      <c r="C128" s="416"/>
      <c r="D128" s="416"/>
      <c r="E128" s="416"/>
      <c r="F128" s="417"/>
      <c r="G128" s="20"/>
      <c r="H128" s="20"/>
      <c r="I128" s="20"/>
      <c r="J128" s="20"/>
      <c r="K128" s="20"/>
      <c r="L128" s="21"/>
      <c r="M128" s="22"/>
      <c r="N128" s="23"/>
      <c r="O128" s="24"/>
      <c r="P128" s="19"/>
      <c r="Q128" s="19"/>
      <c r="R128" s="416"/>
      <c r="S128" s="416"/>
      <c r="T128" s="416"/>
    </row>
    <row r="129" spans="1:20" x14ac:dyDescent="0.25">
      <c r="A129" s="415"/>
      <c r="B129" s="416"/>
      <c r="C129" s="416"/>
      <c r="D129" s="416"/>
      <c r="E129" s="416"/>
      <c r="F129" s="417"/>
      <c r="G129" s="20"/>
      <c r="H129" s="20"/>
      <c r="I129" s="20"/>
      <c r="J129" s="20"/>
      <c r="K129" s="20"/>
      <c r="L129" s="21"/>
      <c r="M129" s="22"/>
      <c r="N129" s="23"/>
      <c r="O129" s="24"/>
      <c r="P129" s="19"/>
      <c r="Q129" s="19"/>
      <c r="R129" s="416"/>
      <c r="S129" s="416"/>
      <c r="T129" s="416"/>
    </row>
    <row r="130" spans="1:20" x14ac:dyDescent="0.25">
      <c r="A130" s="415"/>
      <c r="B130" s="416"/>
      <c r="C130" s="416"/>
      <c r="D130" s="416"/>
      <c r="E130" s="416"/>
      <c r="F130" s="417"/>
      <c r="G130" s="20"/>
      <c r="H130" s="20"/>
      <c r="I130" s="20"/>
      <c r="J130" s="20"/>
      <c r="K130" s="20"/>
      <c r="L130" s="21"/>
      <c r="M130" s="22"/>
      <c r="N130" s="23"/>
      <c r="O130" s="24"/>
      <c r="P130" s="19" t="s">
        <v>311</v>
      </c>
      <c r="Q130" s="19"/>
      <c r="R130" s="416"/>
      <c r="S130" s="416"/>
      <c r="T130" s="416"/>
    </row>
    <row r="131" spans="1:20" x14ac:dyDescent="0.25">
      <c r="A131" s="415"/>
      <c r="B131" s="416"/>
      <c r="C131" s="416"/>
      <c r="D131" s="416"/>
      <c r="E131" s="416"/>
      <c r="F131" s="417"/>
      <c r="G131" s="20"/>
      <c r="H131" s="20"/>
      <c r="I131" s="20"/>
      <c r="J131" s="20"/>
      <c r="K131" s="20"/>
      <c r="L131" s="21"/>
      <c r="M131" s="22"/>
      <c r="N131" s="23"/>
      <c r="O131" s="24"/>
      <c r="P131" s="19"/>
      <c r="Q131" s="19"/>
      <c r="R131" s="416"/>
      <c r="S131" s="416"/>
      <c r="T131" s="416"/>
    </row>
    <row r="132" spans="1:20" x14ac:dyDescent="0.25">
      <c r="A132" s="415"/>
      <c r="B132" s="416"/>
      <c r="C132" s="416"/>
      <c r="D132" s="416"/>
      <c r="E132" s="416"/>
      <c r="F132" s="417"/>
      <c r="G132" s="20"/>
      <c r="H132" s="20"/>
      <c r="I132" s="20"/>
      <c r="J132" s="20"/>
      <c r="K132" s="20"/>
      <c r="L132" s="21"/>
      <c r="M132" s="22"/>
      <c r="N132" s="23"/>
      <c r="O132" s="24"/>
      <c r="P132" s="19"/>
      <c r="Q132" s="19"/>
      <c r="R132" s="416"/>
      <c r="S132" s="416"/>
      <c r="T132" s="416"/>
    </row>
    <row r="133" spans="1:20" x14ac:dyDescent="0.25">
      <c r="A133" s="415"/>
      <c r="B133" s="416"/>
      <c r="C133" s="416"/>
      <c r="D133" s="416"/>
      <c r="E133" s="416"/>
      <c r="F133" s="417"/>
      <c r="G133" s="20"/>
      <c r="H133" s="20"/>
      <c r="I133" s="20"/>
      <c r="J133" s="20"/>
      <c r="K133" s="20"/>
      <c r="L133" s="21"/>
      <c r="M133" s="22"/>
      <c r="N133" s="23"/>
      <c r="O133" s="24"/>
      <c r="P133" s="19"/>
      <c r="Q133" s="19"/>
      <c r="R133" s="416"/>
      <c r="S133" s="416"/>
      <c r="T133" s="416"/>
    </row>
    <row r="134" spans="1:20" x14ac:dyDescent="0.25">
      <c r="A134" s="415"/>
      <c r="B134" s="416"/>
      <c r="C134" s="416"/>
      <c r="D134" s="416"/>
      <c r="E134" s="416"/>
      <c r="F134" s="417"/>
      <c r="G134" s="20"/>
      <c r="H134" s="20"/>
      <c r="I134" s="20"/>
      <c r="J134" s="20"/>
      <c r="K134" s="20"/>
      <c r="L134" s="21"/>
      <c r="M134" s="22"/>
      <c r="N134" s="23"/>
      <c r="O134" s="24"/>
      <c r="P134" s="19"/>
      <c r="Q134" s="19"/>
      <c r="R134" s="416"/>
      <c r="S134" s="416"/>
      <c r="T134" s="416"/>
    </row>
    <row r="135" spans="1:20" x14ac:dyDescent="0.25">
      <c r="A135" s="415"/>
      <c r="B135" s="416"/>
      <c r="C135" s="416"/>
      <c r="D135" s="416"/>
      <c r="E135" s="416"/>
      <c r="F135" s="417"/>
      <c r="G135" s="20"/>
      <c r="H135" s="20"/>
      <c r="I135" s="20"/>
      <c r="J135" s="20"/>
      <c r="K135" s="20"/>
      <c r="L135" s="21"/>
      <c r="M135" s="22"/>
      <c r="N135" s="23"/>
      <c r="O135" s="24"/>
      <c r="P135" s="19"/>
      <c r="Q135" s="19"/>
      <c r="R135" s="416"/>
      <c r="S135" s="416"/>
      <c r="T135" s="416"/>
    </row>
    <row r="136" spans="1:20" x14ac:dyDescent="0.25">
      <c r="A136" s="415"/>
      <c r="B136" s="416"/>
      <c r="C136" s="416"/>
      <c r="D136" s="416"/>
      <c r="E136" s="416"/>
      <c r="F136" s="417"/>
      <c r="G136" s="20"/>
      <c r="H136" s="20"/>
      <c r="I136" s="20"/>
      <c r="J136" s="20"/>
      <c r="K136" s="20"/>
      <c r="L136" s="21"/>
      <c r="M136" s="22"/>
      <c r="N136" s="23"/>
      <c r="O136" s="24"/>
      <c r="P136" s="19"/>
      <c r="Q136" s="19"/>
      <c r="R136" s="416"/>
      <c r="S136" s="416"/>
      <c r="T136" s="416"/>
    </row>
    <row r="137" spans="1:20" x14ac:dyDescent="0.25">
      <c r="A137" s="415"/>
      <c r="B137" s="416"/>
      <c r="C137" s="416"/>
      <c r="D137" s="416"/>
      <c r="E137" s="416"/>
      <c r="F137" s="417"/>
      <c r="G137" s="20"/>
      <c r="H137" s="20"/>
      <c r="I137" s="20"/>
      <c r="J137" s="20"/>
      <c r="K137" s="20"/>
      <c r="L137" s="21"/>
      <c r="M137" s="22"/>
      <c r="N137" s="23"/>
      <c r="O137" s="24"/>
      <c r="P137" s="19"/>
      <c r="Q137" s="19"/>
      <c r="R137" s="416"/>
      <c r="S137" s="416"/>
      <c r="T137" s="416"/>
    </row>
    <row r="138" spans="1:20" x14ac:dyDescent="0.25">
      <c r="A138" s="415"/>
      <c r="B138" s="416"/>
      <c r="C138" s="416"/>
      <c r="D138" s="416"/>
      <c r="E138" s="416"/>
      <c r="F138" s="417"/>
      <c r="G138" s="20"/>
      <c r="H138" s="20"/>
      <c r="I138" s="20"/>
      <c r="J138" s="20"/>
      <c r="K138" s="20"/>
      <c r="L138" s="21"/>
      <c r="M138" s="22"/>
      <c r="N138" s="23"/>
      <c r="O138" s="24"/>
      <c r="P138" s="19"/>
      <c r="Q138" s="19"/>
      <c r="R138" s="416"/>
      <c r="S138" s="416"/>
      <c r="T138" s="416"/>
    </row>
    <row r="139" spans="1:20" x14ac:dyDescent="0.25">
      <c r="A139" s="415"/>
      <c r="B139" s="416"/>
      <c r="C139" s="416"/>
      <c r="D139" s="416"/>
      <c r="E139" s="416"/>
      <c r="F139" s="417"/>
      <c r="G139" s="20"/>
      <c r="H139" s="20"/>
      <c r="I139" s="20"/>
      <c r="J139" s="20"/>
      <c r="K139" s="20"/>
      <c r="L139" s="21"/>
      <c r="M139" s="22"/>
      <c r="N139" s="23"/>
      <c r="O139" s="24"/>
      <c r="P139" s="19"/>
      <c r="Q139" s="19"/>
      <c r="R139" s="416"/>
      <c r="S139" s="416"/>
      <c r="T139" s="416"/>
    </row>
    <row r="140" spans="1:20" x14ac:dyDescent="0.25">
      <c r="A140" s="415"/>
      <c r="B140" s="416"/>
      <c r="C140" s="416"/>
      <c r="D140" s="416"/>
      <c r="E140" s="416"/>
      <c r="F140" s="417"/>
      <c r="G140" s="20"/>
      <c r="H140" s="20"/>
      <c r="I140" s="20"/>
      <c r="J140" s="20"/>
      <c r="K140" s="20"/>
      <c r="L140" s="21"/>
      <c r="M140" s="22"/>
      <c r="N140" s="23"/>
      <c r="O140" s="24"/>
      <c r="P140" s="19"/>
      <c r="Q140" s="19"/>
      <c r="R140" s="416"/>
      <c r="S140" s="416"/>
      <c r="T140" s="416"/>
    </row>
    <row r="141" spans="1:20" x14ac:dyDescent="0.25">
      <c r="A141" s="415"/>
      <c r="B141" s="416"/>
      <c r="C141" s="416"/>
      <c r="D141" s="416"/>
      <c r="E141" s="416"/>
      <c r="F141" s="417"/>
      <c r="G141" s="20"/>
      <c r="H141" s="20"/>
      <c r="I141" s="20"/>
      <c r="J141" s="20"/>
      <c r="K141" s="20"/>
      <c r="L141" s="21"/>
      <c r="M141" s="22"/>
      <c r="N141" s="23"/>
      <c r="O141" s="24"/>
      <c r="P141" s="19"/>
      <c r="Q141" s="19"/>
      <c r="R141" s="416"/>
      <c r="S141" s="416"/>
      <c r="T141" s="416"/>
    </row>
    <row r="142" spans="1:20" x14ac:dyDescent="0.25">
      <c r="A142" s="415"/>
      <c r="B142" s="416"/>
      <c r="C142" s="416"/>
      <c r="D142" s="416"/>
      <c r="E142" s="416"/>
      <c r="F142" s="417"/>
      <c r="G142" s="20"/>
      <c r="H142" s="20"/>
      <c r="I142" s="20"/>
      <c r="J142" s="20"/>
      <c r="K142" s="20"/>
      <c r="L142" s="21"/>
      <c r="M142" s="22"/>
      <c r="N142" s="23"/>
      <c r="O142" s="24"/>
      <c r="P142" s="19"/>
      <c r="Q142" s="19"/>
      <c r="R142" s="416"/>
      <c r="S142" s="416"/>
      <c r="T142" s="416"/>
    </row>
    <row r="143" spans="1:20" x14ac:dyDescent="0.25">
      <c r="A143" s="415"/>
      <c r="B143" s="416"/>
      <c r="C143" s="416"/>
      <c r="D143" s="416"/>
      <c r="E143" s="416"/>
      <c r="F143" s="417"/>
      <c r="G143" s="20"/>
      <c r="H143" s="20"/>
      <c r="I143" s="20"/>
      <c r="J143" s="20"/>
      <c r="K143" s="20"/>
      <c r="L143" s="21"/>
      <c r="M143" s="22"/>
      <c r="N143" s="23"/>
      <c r="O143" s="24"/>
      <c r="P143" s="19" t="s">
        <v>312</v>
      </c>
      <c r="Q143" s="19"/>
      <c r="R143" s="416"/>
      <c r="S143" s="416"/>
      <c r="T143" s="416"/>
    </row>
    <row r="144" spans="1:20" x14ac:dyDescent="0.25">
      <c r="A144" s="415"/>
      <c r="B144" s="416"/>
      <c r="C144" s="416"/>
      <c r="D144" s="416"/>
      <c r="E144" s="416"/>
      <c r="F144" s="417"/>
      <c r="G144" s="20"/>
      <c r="H144" s="20"/>
      <c r="I144" s="20"/>
      <c r="J144" s="20"/>
      <c r="K144" s="20"/>
      <c r="L144" s="21"/>
      <c r="M144" s="22"/>
      <c r="N144" s="23"/>
      <c r="O144" s="24"/>
      <c r="P144" s="19"/>
      <c r="Q144" s="19"/>
      <c r="R144" s="416"/>
      <c r="S144" s="416"/>
      <c r="T144" s="416"/>
    </row>
    <row r="145" spans="1:20" x14ac:dyDescent="0.25">
      <c r="A145" s="415"/>
      <c r="B145" s="416"/>
      <c r="C145" s="416"/>
      <c r="D145" s="416"/>
      <c r="E145" s="416"/>
      <c r="F145" s="417"/>
      <c r="G145" s="20"/>
      <c r="H145" s="20"/>
      <c r="I145" s="20"/>
      <c r="J145" s="20"/>
      <c r="K145" s="20"/>
      <c r="L145" s="21"/>
      <c r="M145" s="22"/>
      <c r="N145" s="23"/>
      <c r="O145" s="24"/>
      <c r="P145" s="19"/>
      <c r="Q145" s="19"/>
      <c r="R145" s="416"/>
      <c r="S145" s="416"/>
      <c r="T145" s="416"/>
    </row>
    <row r="146" spans="1:20" x14ac:dyDescent="0.25">
      <c r="A146" s="415"/>
      <c r="B146" s="416"/>
      <c r="C146" s="416"/>
      <c r="D146" s="416"/>
      <c r="E146" s="416"/>
      <c r="F146" s="417"/>
      <c r="G146" s="20"/>
      <c r="H146" s="20"/>
      <c r="I146" s="20"/>
      <c r="J146" s="20"/>
      <c r="K146" s="20"/>
      <c r="L146" s="21"/>
      <c r="M146" s="22"/>
      <c r="N146" s="23"/>
      <c r="O146" s="24"/>
      <c r="P146" s="19"/>
      <c r="Q146" s="19"/>
      <c r="R146" s="416"/>
      <c r="S146" s="416"/>
      <c r="T146" s="416"/>
    </row>
    <row r="147" spans="1:20" x14ac:dyDescent="0.25">
      <c r="A147" s="415"/>
      <c r="B147" s="416"/>
      <c r="C147" s="416"/>
      <c r="D147" s="416"/>
      <c r="E147" s="416"/>
      <c r="F147" s="417"/>
      <c r="G147" s="20"/>
      <c r="H147" s="20"/>
      <c r="I147" s="20"/>
      <c r="J147" s="20"/>
      <c r="K147" s="20"/>
      <c r="L147" s="21"/>
      <c r="M147" s="22"/>
      <c r="N147" s="23"/>
      <c r="O147" s="24"/>
      <c r="P147" s="19"/>
      <c r="Q147" s="19"/>
      <c r="R147" s="416"/>
      <c r="S147" s="416"/>
      <c r="T147" s="416"/>
    </row>
    <row r="148" spans="1:20" x14ac:dyDescent="0.25">
      <c r="A148" s="415"/>
      <c r="B148" s="416"/>
      <c r="C148" s="416"/>
      <c r="D148" s="416"/>
      <c r="E148" s="416"/>
      <c r="F148" s="417"/>
      <c r="G148" s="20"/>
      <c r="H148" s="20"/>
      <c r="I148" s="20"/>
      <c r="J148" s="20"/>
      <c r="K148" s="20"/>
      <c r="L148" s="21"/>
      <c r="M148" s="22"/>
      <c r="N148" s="23"/>
      <c r="O148" s="24"/>
      <c r="P148" s="19" t="s">
        <v>313</v>
      </c>
      <c r="Q148" s="19"/>
      <c r="R148" s="416"/>
      <c r="S148" s="416"/>
      <c r="T148" s="416"/>
    </row>
    <row r="149" spans="1:20" x14ac:dyDescent="0.25">
      <c r="A149" s="415"/>
      <c r="B149" s="416"/>
      <c r="C149" s="416"/>
      <c r="D149" s="416"/>
      <c r="E149" s="416"/>
      <c r="F149" s="417"/>
      <c r="G149" s="20"/>
      <c r="H149" s="20"/>
      <c r="I149" s="20"/>
      <c r="J149" s="20"/>
      <c r="K149" s="20"/>
      <c r="L149" s="21"/>
      <c r="M149" s="22"/>
      <c r="N149" s="23"/>
      <c r="O149" s="24"/>
      <c r="P149" s="19"/>
      <c r="Q149" s="19"/>
      <c r="R149" s="416"/>
      <c r="S149" s="416"/>
      <c r="T149" s="416"/>
    </row>
    <row r="150" spans="1:20" x14ac:dyDescent="0.25">
      <c r="A150" s="415"/>
      <c r="B150" s="416"/>
      <c r="C150" s="416"/>
      <c r="D150" s="416"/>
      <c r="E150" s="416"/>
      <c r="F150" s="417"/>
      <c r="G150" s="20"/>
      <c r="H150" s="20"/>
      <c r="I150" s="20"/>
      <c r="J150" s="20"/>
      <c r="K150" s="20"/>
      <c r="L150" s="21"/>
      <c r="M150" s="22"/>
      <c r="N150" s="23"/>
      <c r="O150" s="24"/>
      <c r="P150" s="19"/>
      <c r="Q150" s="19"/>
      <c r="R150" s="416"/>
      <c r="S150" s="416"/>
      <c r="T150" s="416"/>
    </row>
    <row r="151" spans="1:20" x14ac:dyDescent="0.25">
      <c r="A151" s="415"/>
      <c r="B151" s="416"/>
      <c r="C151" s="416"/>
      <c r="D151" s="416"/>
      <c r="E151" s="416"/>
      <c r="F151" s="417"/>
      <c r="G151" s="20"/>
      <c r="H151" s="20"/>
      <c r="I151" s="20"/>
      <c r="J151" s="20"/>
      <c r="K151" s="20"/>
      <c r="L151" s="21"/>
      <c r="M151" s="22"/>
      <c r="N151" s="23"/>
      <c r="O151" s="24"/>
      <c r="P151" s="19"/>
      <c r="Q151" s="19"/>
      <c r="R151" s="416"/>
      <c r="S151" s="416"/>
      <c r="T151" s="416"/>
    </row>
    <row r="152" spans="1:20" x14ac:dyDescent="0.25">
      <c r="A152" s="415"/>
      <c r="B152" s="416"/>
      <c r="C152" s="416"/>
      <c r="D152" s="416"/>
      <c r="E152" s="416"/>
      <c r="F152" s="417"/>
      <c r="G152" s="20"/>
      <c r="H152" s="20"/>
      <c r="I152" s="20"/>
      <c r="J152" s="20"/>
      <c r="K152" s="20"/>
      <c r="L152" s="21"/>
      <c r="M152" s="22"/>
      <c r="N152" s="23"/>
      <c r="O152" s="24"/>
      <c r="P152" s="19"/>
      <c r="Q152" s="19"/>
      <c r="R152" s="416"/>
      <c r="S152" s="416"/>
      <c r="T152" s="416"/>
    </row>
    <row r="153" spans="1:20" x14ac:dyDescent="0.25">
      <c r="A153" s="415"/>
      <c r="B153" s="416"/>
      <c r="C153" s="416"/>
      <c r="D153" s="416"/>
      <c r="E153" s="416"/>
      <c r="F153" s="417"/>
      <c r="G153" s="20"/>
      <c r="H153" s="20"/>
      <c r="I153" s="20"/>
      <c r="J153" s="20"/>
      <c r="K153" s="20"/>
      <c r="L153" s="21"/>
      <c r="M153" s="22"/>
      <c r="N153" s="23"/>
      <c r="O153" s="24"/>
      <c r="P153" s="19"/>
      <c r="Q153" s="19"/>
      <c r="R153" s="416"/>
      <c r="S153" s="416"/>
      <c r="T153" s="416"/>
    </row>
    <row r="154" spans="1:20" x14ac:dyDescent="0.25">
      <c r="A154" s="415"/>
      <c r="B154" s="416"/>
      <c r="C154" s="416"/>
      <c r="D154" s="416"/>
      <c r="E154" s="416"/>
      <c r="F154" s="417"/>
      <c r="G154" s="20"/>
      <c r="H154" s="20"/>
      <c r="I154" s="20"/>
      <c r="J154" s="20"/>
      <c r="K154" s="20"/>
      <c r="L154" s="21"/>
      <c r="M154" s="22"/>
      <c r="N154" s="23"/>
      <c r="O154" s="24"/>
      <c r="P154" s="19"/>
      <c r="Q154" s="19"/>
      <c r="R154" s="416"/>
      <c r="S154" s="416"/>
      <c r="T154" s="416"/>
    </row>
    <row r="155" spans="1:20" x14ac:dyDescent="0.25">
      <c r="A155" s="415"/>
      <c r="B155" s="416"/>
      <c r="C155" s="416"/>
      <c r="D155" s="416"/>
      <c r="E155" s="416"/>
      <c r="F155" s="417"/>
      <c r="G155" s="20"/>
      <c r="H155" s="20"/>
      <c r="I155" s="20"/>
      <c r="J155" s="20"/>
      <c r="K155" s="20"/>
      <c r="L155" s="21"/>
      <c r="M155" s="22"/>
      <c r="N155" s="23"/>
      <c r="O155" s="24"/>
      <c r="P155" s="19"/>
      <c r="Q155" s="19"/>
      <c r="R155" s="416"/>
      <c r="S155" s="416"/>
      <c r="T155" s="416"/>
    </row>
    <row r="156" spans="1:20" x14ac:dyDescent="0.25">
      <c r="A156" s="415"/>
      <c r="B156" s="416"/>
      <c r="C156" s="416"/>
      <c r="D156" s="416"/>
      <c r="E156" s="416"/>
      <c r="F156" s="417"/>
      <c r="G156" s="20"/>
      <c r="H156" s="20"/>
      <c r="I156" s="20"/>
      <c r="J156" s="20"/>
      <c r="K156" s="20"/>
      <c r="L156" s="21"/>
      <c r="M156" s="22"/>
      <c r="N156" s="23"/>
      <c r="O156" s="24"/>
      <c r="P156" s="19"/>
      <c r="Q156" s="19"/>
      <c r="R156" s="416"/>
      <c r="S156" s="416"/>
      <c r="T156" s="416"/>
    </row>
    <row r="157" spans="1:20" x14ac:dyDescent="0.25">
      <c r="A157" s="415"/>
      <c r="B157" s="416"/>
      <c r="C157" s="416"/>
      <c r="D157" s="416"/>
      <c r="E157" s="416"/>
      <c r="F157" s="417"/>
      <c r="G157" s="20"/>
      <c r="H157" s="20"/>
      <c r="I157" s="20"/>
      <c r="J157" s="20"/>
      <c r="K157" s="20"/>
      <c r="L157" s="21"/>
      <c r="M157" s="22"/>
      <c r="N157" s="23"/>
      <c r="O157" s="24"/>
      <c r="P157" s="19"/>
      <c r="Q157" s="19"/>
      <c r="R157" s="416"/>
      <c r="S157" s="416"/>
      <c r="T157" s="416"/>
    </row>
    <row r="158" spans="1:20" x14ac:dyDescent="0.25">
      <c r="A158" s="415"/>
      <c r="B158" s="416"/>
      <c r="C158" s="416"/>
      <c r="D158" s="416"/>
      <c r="E158" s="416"/>
      <c r="F158" s="417"/>
      <c r="G158" s="20"/>
      <c r="H158" s="20"/>
      <c r="I158" s="20"/>
      <c r="J158" s="20"/>
      <c r="K158" s="20"/>
      <c r="L158" s="21"/>
      <c r="M158" s="22"/>
      <c r="N158" s="23"/>
      <c r="O158" s="24"/>
      <c r="P158" s="19"/>
      <c r="Q158" s="19"/>
      <c r="R158" s="416"/>
      <c r="S158" s="416"/>
      <c r="T158" s="416"/>
    </row>
    <row r="159" spans="1:20" x14ac:dyDescent="0.25">
      <c r="A159" s="415"/>
      <c r="B159" s="416"/>
      <c r="C159" s="416"/>
      <c r="D159" s="416"/>
      <c r="E159" s="416"/>
      <c r="F159" s="417"/>
      <c r="G159" s="20"/>
      <c r="H159" s="20"/>
      <c r="I159" s="20"/>
      <c r="J159" s="20"/>
      <c r="K159" s="20"/>
      <c r="L159" s="21"/>
      <c r="M159" s="22"/>
      <c r="N159" s="23"/>
      <c r="O159" s="24"/>
      <c r="P159" s="19"/>
      <c r="Q159" s="19"/>
      <c r="R159" s="416"/>
      <c r="S159" s="416"/>
      <c r="T159" s="416"/>
    </row>
    <row r="160" spans="1:20" x14ac:dyDescent="0.25">
      <c r="A160" s="415"/>
      <c r="B160" s="416"/>
      <c r="C160" s="416"/>
      <c r="D160" s="416"/>
      <c r="E160" s="416"/>
      <c r="F160" s="417"/>
      <c r="G160" s="20"/>
      <c r="H160" s="20"/>
      <c r="I160" s="20"/>
      <c r="J160" s="20"/>
      <c r="K160" s="20"/>
      <c r="L160" s="21"/>
      <c r="M160" s="22"/>
      <c r="N160" s="23"/>
      <c r="O160" s="24"/>
      <c r="P160" s="19"/>
      <c r="Q160" s="19"/>
      <c r="R160" s="416"/>
      <c r="S160" s="416"/>
      <c r="T160" s="416"/>
    </row>
    <row r="161" spans="1:20" x14ac:dyDescent="0.25">
      <c r="A161" s="415"/>
      <c r="B161" s="416"/>
      <c r="C161" s="416"/>
      <c r="D161" s="416"/>
      <c r="E161" s="416"/>
      <c r="F161" s="417"/>
      <c r="G161" s="20"/>
      <c r="H161" s="20"/>
      <c r="I161" s="20"/>
      <c r="J161" s="20"/>
      <c r="K161" s="20"/>
      <c r="L161" s="21"/>
      <c r="M161" s="22"/>
      <c r="N161" s="23"/>
      <c r="O161" s="24"/>
      <c r="P161" s="19"/>
      <c r="Q161" s="19"/>
      <c r="R161" s="416"/>
      <c r="S161" s="416"/>
      <c r="T161" s="416"/>
    </row>
    <row r="162" spans="1:20" x14ac:dyDescent="0.25">
      <c r="A162" s="415"/>
      <c r="B162" s="416"/>
      <c r="C162" s="416"/>
      <c r="D162" s="416"/>
      <c r="E162" s="416"/>
      <c r="F162" s="417"/>
      <c r="G162" s="20"/>
      <c r="H162" s="20"/>
      <c r="I162" s="20"/>
      <c r="J162" s="20"/>
      <c r="K162" s="20"/>
      <c r="L162" s="21"/>
      <c r="M162" s="22"/>
      <c r="N162" s="23"/>
      <c r="O162" s="24"/>
      <c r="P162" s="19"/>
      <c r="Q162" s="19"/>
      <c r="R162" s="416"/>
      <c r="S162" s="416"/>
      <c r="T162" s="416"/>
    </row>
    <row r="163" spans="1:20" x14ac:dyDescent="0.25">
      <c r="A163" s="415"/>
      <c r="B163" s="416"/>
      <c r="C163" s="416"/>
      <c r="D163" s="416"/>
      <c r="E163" s="416"/>
      <c r="F163" s="417"/>
      <c r="G163" s="20"/>
      <c r="H163" s="20"/>
      <c r="I163" s="20"/>
      <c r="J163" s="20"/>
      <c r="K163" s="20"/>
      <c r="L163" s="21"/>
      <c r="M163" s="22"/>
      <c r="N163" s="23"/>
      <c r="O163" s="24"/>
      <c r="P163" s="19"/>
      <c r="Q163" s="19"/>
      <c r="R163" s="416"/>
      <c r="S163" s="416"/>
      <c r="T163" s="416"/>
    </row>
    <row r="164" spans="1:20" x14ac:dyDescent="0.25">
      <c r="A164" s="415"/>
      <c r="B164" s="416"/>
      <c r="C164" s="416"/>
      <c r="D164" s="416"/>
      <c r="E164" s="416"/>
      <c r="F164" s="417"/>
      <c r="G164" s="20"/>
      <c r="H164" s="20"/>
      <c r="I164" s="20"/>
      <c r="J164" s="20"/>
      <c r="K164" s="20"/>
      <c r="L164" s="21"/>
      <c r="M164" s="22"/>
      <c r="N164" s="23"/>
      <c r="O164" s="24"/>
      <c r="P164" s="19"/>
      <c r="Q164" s="19"/>
      <c r="R164" s="416"/>
      <c r="S164" s="416"/>
      <c r="T164" s="416"/>
    </row>
    <row r="165" spans="1:20" x14ac:dyDescent="0.25">
      <c r="A165" s="415"/>
      <c r="B165" s="416"/>
      <c r="C165" s="416"/>
      <c r="D165" s="416"/>
      <c r="E165" s="416"/>
      <c r="F165" s="417"/>
      <c r="G165" s="20"/>
      <c r="H165" s="20"/>
      <c r="I165" s="20"/>
      <c r="J165" s="20"/>
      <c r="K165" s="20"/>
      <c r="L165" s="21"/>
      <c r="M165" s="22"/>
      <c r="N165" s="23"/>
      <c r="O165" s="24"/>
      <c r="P165" s="19"/>
      <c r="Q165" s="19"/>
      <c r="R165" s="416"/>
      <c r="S165" s="416"/>
      <c r="T165" s="416"/>
    </row>
    <row r="166" spans="1:20" x14ac:dyDescent="0.25">
      <c r="A166" s="415"/>
      <c r="B166" s="416"/>
      <c r="C166" s="416"/>
      <c r="D166" s="416"/>
      <c r="E166" s="416"/>
      <c r="F166" s="417"/>
      <c r="G166" s="20"/>
      <c r="H166" s="20"/>
      <c r="I166" s="20"/>
      <c r="J166" s="20"/>
      <c r="K166" s="20"/>
      <c r="L166" s="21"/>
      <c r="M166" s="22"/>
      <c r="N166" s="23"/>
      <c r="O166" s="24"/>
      <c r="P166" s="19"/>
      <c r="Q166" s="19"/>
      <c r="R166" s="416"/>
      <c r="S166" s="416"/>
      <c r="T166" s="416"/>
    </row>
    <row r="167" spans="1:20" x14ac:dyDescent="0.25">
      <c r="A167" s="415"/>
      <c r="B167" s="416"/>
      <c r="C167" s="416"/>
      <c r="D167" s="416"/>
      <c r="E167" s="416"/>
      <c r="F167" s="417"/>
      <c r="G167" s="20"/>
      <c r="H167" s="20"/>
      <c r="I167" s="20"/>
      <c r="J167" s="20"/>
      <c r="K167" s="20"/>
      <c r="L167" s="21"/>
      <c r="M167" s="22"/>
      <c r="N167" s="23"/>
      <c r="O167" s="24"/>
      <c r="P167" s="19"/>
      <c r="Q167" s="19"/>
      <c r="R167" s="416"/>
      <c r="S167" s="416"/>
      <c r="T167" s="416"/>
    </row>
    <row r="168" spans="1:20" x14ac:dyDescent="0.25">
      <c r="A168" s="415"/>
      <c r="B168" s="416"/>
      <c r="C168" s="416"/>
      <c r="D168" s="416"/>
      <c r="E168" s="416"/>
      <c r="F168" s="417"/>
      <c r="G168" s="20"/>
      <c r="H168" s="20"/>
      <c r="I168" s="20"/>
      <c r="J168" s="20"/>
      <c r="K168" s="20"/>
      <c r="L168" s="21"/>
      <c r="M168" s="22"/>
      <c r="N168" s="23"/>
      <c r="O168" s="24"/>
      <c r="P168" s="19"/>
      <c r="Q168" s="19"/>
      <c r="R168" s="416"/>
      <c r="S168" s="416"/>
      <c r="T168" s="416"/>
    </row>
    <row r="169" spans="1:20" x14ac:dyDescent="0.25">
      <c r="A169" s="415"/>
      <c r="B169" s="416"/>
      <c r="C169" s="416"/>
      <c r="D169" s="416"/>
      <c r="E169" s="416"/>
      <c r="F169" s="417"/>
      <c r="G169" s="20"/>
      <c r="H169" s="20"/>
      <c r="I169" s="20"/>
      <c r="J169" s="20"/>
      <c r="K169" s="20"/>
      <c r="L169" s="21"/>
      <c r="M169" s="22"/>
      <c r="N169" s="23"/>
      <c r="O169" s="24"/>
      <c r="P169" s="19"/>
      <c r="Q169" s="19"/>
      <c r="R169" s="416"/>
      <c r="S169" s="416"/>
      <c r="T169" s="416"/>
    </row>
    <row r="170" spans="1:20" x14ac:dyDescent="0.25">
      <c r="A170" s="415"/>
      <c r="B170" s="416"/>
      <c r="C170" s="416"/>
      <c r="D170" s="416"/>
      <c r="E170" s="416"/>
      <c r="F170" s="417"/>
      <c r="G170" s="20"/>
      <c r="H170" s="20"/>
      <c r="I170" s="20"/>
      <c r="J170" s="20"/>
      <c r="K170" s="20"/>
      <c r="L170" s="21"/>
      <c r="M170" s="22"/>
      <c r="N170" s="23"/>
      <c r="O170" s="24"/>
      <c r="P170" s="19"/>
      <c r="Q170" s="19"/>
      <c r="R170" s="416"/>
      <c r="S170" s="416"/>
      <c r="T170" s="416"/>
    </row>
    <row r="171" spans="1:20" x14ac:dyDescent="0.25">
      <c r="A171" s="415"/>
      <c r="B171" s="416"/>
      <c r="C171" s="416"/>
      <c r="D171" s="416"/>
      <c r="E171" s="416"/>
      <c r="F171" s="417"/>
      <c r="G171" s="20"/>
      <c r="H171" s="20"/>
      <c r="I171" s="20"/>
      <c r="J171" s="20"/>
      <c r="K171" s="20"/>
      <c r="L171" s="21"/>
      <c r="M171" s="22"/>
      <c r="N171" s="23"/>
      <c r="O171" s="24"/>
      <c r="P171" s="19"/>
      <c r="Q171" s="19"/>
      <c r="R171" s="416"/>
      <c r="S171" s="416"/>
      <c r="T171" s="416"/>
    </row>
    <row r="172" spans="1:20" x14ac:dyDescent="0.25">
      <c r="A172" s="415"/>
      <c r="B172" s="416"/>
      <c r="C172" s="416"/>
      <c r="D172" s="416"/>
      <c r="E172" s="416"/>
      <c r="F172" s="417"/>
      <c r="G172" s="20"/>
      <c r="H172" s="20"/>
      <c r="I172" s="20"/>
      <c r="J172" s="20"/>
      <c r="K172" s="20"/>
      <c r="L172" s="21"/>
      <c r="M172" s="22"/>
      <c r="N172" s="23"/>
      <c r="O172" s="24"/>
      <c r="P172" s="19"/>
      <c r="Q172" s="19"/>
      <c r="R172" s="416"/>
      <c r="S172" s="416"/>
      <c r="T172" s="416"/>
    </row>
    <row r="173" spans="1:20" x14ac:dyDescent="0.25">
      <c r="A173" s="415"/>
      <c r="B173" s="416"/>
      <c r="C173" s="416"/>
      <c r="D173" s="416"/>
      <c r="E173" s="416"/>
      <c r="F173" s="417"/>
      <c r="G173" s="20"/>
      <c r="H173" s="20"/>
      <c r="I173" s="20"/>
      <c r="J173" s="20"/>
      <c r="K173" s="20"/>
      <c r="L173" s="21"/>
      <c r="M173" s="22"/>
      <c r="N173" s="23"/>
      <c r="O173" s="24"/>
      <c r="P173" s="19"/>
      <c r="Q173" s="19"/>
      <c r="R173" s="416"/>
      <c r="S173" s="416"/>
      <c r="T173" s="416"/>
    </row>
    <row r="174" spans="1:20" x14ac:dyDescent="0.25">
      <c r="A174" s="415"/>
      <c r="B174" s="416"/>
      <c r="C174" s="416"/>
      <c r="D174" s="416"/>
      <c r="E174" s="416"/>
      <c r="F174" s="417"/>
      <c r="G174" s="20"/>
      <c r="H174" s="20"/>
      <c r="I174" s="20"/>
      <c r="J174" s="20"/>
      <c r="K174" s="20"/>
      <c r="L174" s="21"/>
      <c r="M174" s="22"/>
      <c r="N174" s="23"/>
      <c r="O174" s="24"/>
      <c r="P174" s="19"/>
      <c r="Q174" s="19"/>
      <c r="R174" s="416"/>
      <c r="S174" s="416"/>
      <c r="T174" s="416"/>
    </row>
    <row r="175" spans="1:20" x14ac:dyDescent="0.25">
      <c r="A175" s="415"/>
      <c r="B175" s="416"/>
      <c r="C175" s="416"/>
      <c r="D175" s="416"/>
      <c r="E175" s="416"/>
      <c r="F175" s="417"/>
      <c r="G175" s="20"/>
      <c r="H175" s="20"/>
      <c r="I175" s="20"/>
      <c r="J175" s="20"/>
      <c r="K175" s="20"/>
      <c r="L175" s="21"/>
      <c r="M175" s="22"/>
      <c r="N175" s="23"/>
      <c r="O175" s="24"/>
      <c r="P175" s="19"/>
      <c r="Q175" s="19"/>
      <c r="R175" s="416"/>
      <c r="S175" s="416"/>
      <c r="T175" s="416"/>
    </row>
    <row r="176" spans="1:20" x14ac:dyDescent="0.25">
      <c r="A176" s="415"/>
      <c r="B176" s="416"/>
      <c r="C176" s="416"/>
      <c r="D176" s="416"/>
      <c r="E176" s="416"/>
      <c r="F176" s="417"/>
      <c r="G176" s="20"/>
      <c r="H176" s="20"/>
      <c r="I176" s="20"/>
      <c r="J176" s="20"/>
      <c r="K176" s="20"/>
      <c r="L176" s="21"/>
      <c r="M176" s="22"/>
      <c r="N176" s="23"/>
      <c r="O176" s="24"/>
      <c r="P176" s="19"/>
      <c r="Q176" s="19"/>
      <c r="R176" s="416"/>
      <c r="S176" s="416"/>
      <c r="T176" s="416"/>
    </row>
    <row r="177" spans="1:20" x14ac:dyDescent="0.25">
      <c r="A177" s="415"/>
      <c r="B177" s="416"/>
      <c r="C177" s="416"/>
      <c r="D177" s="416"/>
      <c r="E177" s="416"/>
      <c r="F177" s="417"/>
      <c r="G177" s="20"/>
      <c r="H177" s="20"/>
      <c r="I177" s="20"/>
      <c r="J177" s="20"/>
      <c r="K177" s="20"/>
      <c r="L177" s="21"/>
      <c r="M177" s="22"/>
      <c r="N177" s="23"/>
      <c r="O177" s="24"/>
      <c r="P177" s="19"/>
      <c r="Q177" s="19"/>
      <c r="R177" s="416"/>
      <c r="S177" s="416"/>
      <c r="T177" s="416"/>
    </row>
    <row r="178" spans="1:20" x14ac:dyDescent="0.25">
      <c r="A178" s="415"/>
      <c r="B178" s="416"/>
      <c r="C178" s="416"/>
      <c r="D178" s="416"/>
      <c r="E178" s="416"/>
      <c r="F178" s="417"/>
      <c r="G178" s="20"/>
      <c r="H178" s="20"/>
      <c r="I178" s="20"/>
      <c r="J178" s="20"/>
      <c r="K178" s="20"/>
      <c r="L178" s="21"/>
      <c r="M178" s="22"/>
      <c r="N178" s="23"/>
      <c r="O178" s="24"/>
      <c r="P178" s="19"/>
      <c r="Q178" s="19"/>
      <c r="R178" s="416"/>
      <c r="S178" s="416"/>
      <c r="T178" s="416"/>
    </row>
    <row r="179" spans="1:20" x14ac:dyDescent="0.25">
      <c r="A179" s="415"/>
      <c r="B179" s="416"/>
      <c r="C179" s="416"/>
      <c r="D179" s="416"/>
      <c r="E179" s="416"/>
      <c r="F179" s="417"/>
      <c r="G179" s="20"/>
      <c r="H179" s="20"/>
      <c r="I179" s="20"/>
      <c r="J179" s="20"/>
      <c r="K179" s="20"/>
      <c r="L179" s="21"/>
      <c r="M179" s="22"/>
      <c r="N179" s="23"/>
      <c r="O179" s="24"/>
      <c r="P179" s="19"/>
      <c r="Q179" s="19"/>
      <c r="R179" s="416"/>
      <c r="S179" s="416"/>
      <c r="T179" s="416"/>
    </row>
    <row r="180" spans="1:20" x14ac:dyDescent="0.25">
      <c r="A180" s="415"/>
      <c r="B180" s="416"/>
      <c r="C180" s="416"/>
      <c r="D180" s="416"/>
      <c r="E180" s="416"/>
      <c r="F180" s="417"/>
      <c r="G180" s="20"/>
      <c r="H180" s="20"/>
      <c r="I180" s="20"/>
      <c r="J180" s="20"/>
      <c r="K180" s="20"/>
      <c r="L180" s="21"/>
      <c r="M180" s="22"/>
      <c r="N180" s="23"/>
      <c r="O180" s="24"/>
      <c r="P180" s="19"/>
      <c r="Q180" s="19"/>
      <c r="R180" s="416"/>
      <c r="S180" s="416"/>
      <c r="T180" s="416"/>
    </row>
    <row r="181" spans="1:20" x14ac:dyDescent="0.25">
      <c r="A181" s="415"/>
      <c r="B181" s="416"/>
      <c r="C181" s="416"/>
      <c r="D181" s="416"/>
      <c r="E181" s="416"/>
      <c r="F181" s="417"/>
      <c r="G181" s="20"/>
      <c r="H181" s="20"/>
      <c r="I181" s="20"/>
      <c r="J181" s="20"/>
      <c r="K181" s="20"/>
      <c r="L181" s="21"/>
      <c r="M181" s="22"/>
      <c r="N181" s="23"/>
      <c r="O181" s="24"/>
      <c r="P181" s="19"/>
      <c r="Q181" s="19"/>
      <c r="R181" s="416"/>
      <c r="S181" s="416"/>
      <c r="T181" s="416"/>
    </row>
    <row r="182" spans="1:20" x14ac:dyDescent="0.25">
      <c r="A182" s="415"/>
      <c r="B182" s="416"/>
      <c r="C182" s="416"/>
      <c r="D182" s="416"/>
      <c r="E182" s="416"/>
      <c r="F182" s="417"/>
      <c r="G182" s="20"/>
      <c r="H182" s="20"/>
      <c r="I182" s="20"/>
      <c r="J182" s="20"/>
      <c r="K182" s="20"/>
      <c r="L182" s="21"/>
      <c r="M182" s="22"/>
      <c r="N182" s="23"/>
      <c r="O182" s="24"/>
      <c r="P182" s="19"/>
      <c r="Q182" s="19"/>
      <c r="R182" s="416"/>
      <c r="S182" s="416"/>
      <c r="T182" s="416"/>
    </row>
    <row r="183" spans="1:20" x14ac:dyDescent="0.25">
      <c r="A183" s="415"/>
      <c r="B183" s="416"/>
      <c r="C183" s="416"/>
      <c r="D183" s="416"/>
      <c r="E183" s="416"/>
      <c r="F183" s="417"/>
      <c r="G183" s="20"/>
      <c r="H183" s="20"/>
      <c r="I183" s="20"/>
      <c r="J183" s="20"/>
      <c r="K183" s="20"/>
      <c r="L183" s="21"/>
      <c r="M183" s="22"/>
      <c r="N183" s="23"/>
      <c r="O183" s="24"/>
      <c r="P183" s="19"/>
      <c r="Q183" s="19"/>
      <c r="R183" s="416"/>
      <c r="S183" s="416"/>
      <c r="T183" s="416"/>
    </row>
    <row r="184" spans="1:20" x14ac:dyDescent="0.25">
      <c r="A184" s="415"/>
      <c r="B184" s="416"/>
      <c r="C184" s="416"/>
      <c r="D184" s="416"/>
      <c r="E184" s="416"/>
      <c r="F184" s="417"/>
      <c r="G184" s="20"/>
      <c r="H184" s="20"/>
      <c r="I184" s="20"/>
      <c r="J184" s="20"/>
      <c r="K184" s="20"/>
      <c r="L184" s="21"/>
      <c r="M184" s="22"/>
      <c r="N184" s="23"/>
      <c r="O184" s="24"/>
      <c r="P184" s="19"/>
      <c r="Q184" s="19"/>
      <c r="R184" s="416"/>
      <c r="S184" s="416"/>
      <c r="T184" s="416"/>
    </row>
    <row r="185" spans="1:20" x14ac:dyDescent="0.25">
      <c r="A185" s="415"/>
      <c r="B185" s="416"/>
      <c r="C185" s="416"/>
      <c r="D185" s="416"/>
      <c r="E185" s="416"/>
      <c r="F185" s="417"/>
      <c r="G185" s="20"/>
      <c r="H185" s="20"/>
      <c r="I185" s="20"/>
      <c r="J185" s="20"/>
      <c r="K185" s="20"/>
      <c r="L185" s="21"/>
      <c r="M185" s="22"/>
      <c r="N185" s="23"/>
      <c r="O185" s="24"/>
      <c r="P185" s="19"/>
      <c r="Q185" s="19"/>
      <c r="R185" s="416"/>
      <c r="S185" s="416"/>
      <c r="T185" s="416"/>
    </row>
    <row r="186" spans="1:20" x14ac:dyDescent="0.25">
      <c r="A186" s="415"/>
      <c r="B186" s="416"/>
      <c r="C186" s="416"/>
      <c r="D186" s="416"/>
      <c r="E186" s="416"/>
      <c r="F186" s="417"/>
      <c r="G186" s="20"/>
      <c r="H186" s="20"/>
      <c r="I186" s="20"/>
      <c r="J186" s="20"/>
      <c r="K186" s="20"/>
      <c r="L186" s="21"/>
      <c r="M186" s="22"/>
      <c r="N186" s="23"/>
      <c r="O186" s="24"/>
      <c r="P186" s="19"/>
      <c r="Q186" s="19"/>
      <c r="R186" s="416"/>
      <c r="S186" s="416"/>
      <c r="T186" s="416"/>
    </row>
    <row r="187" spans="1:20" x14ac:dyDescent="0.25">
      <c r="A187" s="415"/>
      <c r="B187" s="416"/>
      <c r="C187" s="416"/>
      <c r="D187" s="416"/>
      <c r="E187" s="416"/>
      <c r="F187" s="417"/>
      <c r="G187" s="20"/>
      <c r="H187" s="20"/>
      <c r="I187" s="20"/>
      <c r="J187" s="20"/>
      <c r="K187" s="20"/>
      <c r="L187" s="21"/>
      <c r="M187" s="22"/>
      <c r="N187" s="23"/>
      <c r="O187" s="24"/>
      <c r="P187" s="19"/>
      <c r="Q187" s="19"/>
      <c r="R187" s="416"/>
      <c r="S187" s="416"/>
      <c r="T187" s="416"/>
    </row>
    <row r="188" spans="1:20" x14ac:dyDescent="0.25">
      <c r="A188" s="415"/>
      <c r="B188" s="416"/>
      <c r="C188" s="416"/>
      <c r="D188" s="416"/>
      <c r="E188" s="416"/>
      <c r="F188" s="417"/>
      <c r="G188" s="20"/>
      <c r="H188" s="20"/>
      <c r="I188" s="20"/>
      <c r="J188" s="20"/>
      <c r="K188" s="20"/>
      <c r="L188" s="21"/>
      <c r="M188" s="22"/>
      <c r="N188" s="23"/>
      <c r="O188" s="24"/>
      <c r="P188" s="19"/>
      <c r="Q188" s="19"/>
      <c r="R188" s="416"/>
      <c r="S188" s="416"/>
      <c r="T188" s="416"/>
    </row>
    <row r="189" spans="1:20" x14ac:dyDescent="0.25">
      <c r="A189" s="415"/>
      <c r="B189" s="416"/>
      <c r="C189" s="416"/>
      <c r="D189" s="416"/>
      <c r="E189" s="416"/>
      <c r="F189" s="417"/>
      <c r="G189" s="20"/>
      <c r="H189" s="20"/>
      <c r="I189" s="20"/>
      <c r="J189" s="20"/>
      <c r="K189" s="20"/>
      <c r="L189" s="21"/>
      <c r="M189" s="22"/>
      <c r="N189" s="23"/>
      <c r="O189" s="24"/>
      <c r="P189" s="19"/>
      <c r="Q189" s="19"/>
      <c r="R189" s="416"/>
      <c r="S189" s="416"/>
      <c r="T189" s="416"/>
    </row>
    <row r="190" spans="1:20" x14ac:dyDescent="0.25">
      <c r="A190" s="415"/>
      <c r="B190" s="416"/>
      <c r="C190" s="416"/>
      <c r="D190" s="416"/>
      <c r="E190" s="416"/>
      <c r="F190" s="417"/>
      <c r="G190" s="20"/>
      <c r="H190" s="20"/>
      <c r="I190" s="20"/>
      <c r="J190" s="20"/>
      <c r="K190" s="20"/>
      <c r="L190" s="21"/>
      <c r="M190" s="22"/>
      <c r="N190" s="23"/>
      <c r="O190" s="24"/>
      <c r="P190" s="19"/>
      <c r="Q190" s="19"/>
      <c r="R190" s="416"/>
      <c r="S190" s="416"/>
      <c r="T190" s="416"/>
    </row>
    <row r="191" spans="1:20" x14ac:dyDescent="0.25">
      <c r="A191" s="415"/>
      <c r="B191" s="416"/>
      <c r="C191" s="416"/>
      <c r="D191" s="416"/>
      <c r="E191" s="416"/>
      <c r="F191" s="417"/>
      <c r="G191" s="20"/>
      <c r="H191" s="20"/>
      <c r="I191" s="20"/>
      <c r="J191" s="20"/>
      <c r="K191" s="20"/>
      <c r="L191" s="21"/>
      <c r="M191" s="22"/>
      <c r="N191" s="23"/>
      <c r="O191" s="24"/>
      <c r="P191" s="19"/>
      <c r="Q191" s="19"/>
      <c r="R191" s="416"/>
      <c r="S191" s="416"/>
      <c r="T191" s="416"/>
    </row>
    <row r="192" spans="1:20" x14ac:dyDescent="0.25">
      <c r="A192" s="415"/>
      <c r="B192" s="416"/>
      <c r="C192" s="416"/>
      <c r="D192" s="416"/>
      <c r="E192" s="416"/>
      <c r="F192" s="417"/>
      <c r="G192" s="20"/>
      <c r="H192" s="20"/>
      <c r="I192" s="20"/>
      <c r="J192" s="20"/>
      <c r="K192" s="20"/>
      <c r="L192" s="21"/>
      <c r="M192" s="22"/>
      <c r="N192" s="23"/>
      <c r="O192" s="24"/>
      <c r="P192" s="19"/>
      <c r="Q192" s="19"/>
      <c r="R192" s="416"/>
      <c r="S192" s="416"/>
      <c r="T192" s="416"/>
    </row>
    <row r="193" spans="1:20" x14ac:dyDescent="0.25">
      <c r="A193" s="415"/>
      <c r="B193" s="416"/>
      <c r="C193" s="416"/>
      <c r="D193" s="416"/>
      <c r="E193" s="416"/>
      <c r="F193" s="417"/>
      <c r="G193" s="20"/>
      <c r="H193" s="20"/>
      <c r="I193" s="20"/>
      <c r="J193" s="20"/>
      <c r="K193" s="20"/>
      <c r="L193" s="21"/>
      <c r="M193" s="22"/>
      <c r="N193" s="23"/>
      <c r="O193" s="24"/>
      <c r="P193" s="19"/>
      <c r="Q193" s="19"/>
      <c r="R193" s="416"/>
      <c r="S193" s="416"/>
      <c r="T193" s="416"/>
    </row>
    <row r="194" spans="1:20" x14ac:dyDescent="0.25">
      <c r="A194" s="415"/>
      <c r="B194" s="416"/>
      <c r="C194" s="416"/>
      <c r="D194" s="416"/>
      <c r="E194" s="416"/>
      <c r="F194" s="417"/>
      <c r="G194" s="20"/>
      <c r="H194" s="20"/>
      <c r="I194" s="20"/>
      <c r="J194" s="20"/>
      <c r="K194" s="20"/>
      <c r="L194" s="21"/>
      <c r="M194" s="22"/>
      <c r="N194" s="23"/>
      <c r="O194" s="24"/>
      <c r="P194" s="19"/>
      <c r="Q194" s="19"/>
      <c r="R194" s="416"/>
      <c r="S194" s="416"/>
      <c r="T194" s="416"/>
    </row>
    <row r="195" spans="1:20" x14ac:dyDescent="0.25">
      <c r="A195" s="415"/>
      <c r="B195" s="416"/>
      <c r="C195" s="416"/>
      <c r="D195" s="416"/>
      <c r="E195" s="416"/>
      <c r="F195" s="417"/>
      <c r="G195" s="20"/>
      <c r="H195" s="20"/>
      <c r="I195" s="20"/>
      <c r="J195" s="20"/>
      <c r="K195" s="20"/>
      <c r="L195" s="21"/>
      <c r="M195" s="22"/>
      <c r="N195" s="23"/>
      <c r="O195" s="24"/>
      <c r="P195" s="19"/>
      <c r="Q195" s="19"/>
      <c r="R195" s="416"/>
      <c r="S195" s="416"/>
      <c r="T195" s="416"/>
    </row>
    <row r="196" spans="1:20" x14ac:dyDescent="0.25">
      <c r="A196" s="415"/>
      <c r="B196" s="416"/>
      <c r="C196" s="416"/>
      <c r="D196" s="416"/>
      <c r="E196" s="416"/>
      <c r="F196" s="417"/>
      <c r="G196" s="20"/>
      <c r="H196" s="20"/>
      <c r="I196" s="20"/>
      <c r="J196" s="20"/>
      <c r="K196" s="20"/>
      <c r="L196" s="21"/>
      <c r="M196" s="22"/>
      <c r="N196" s="23"/>
      <c r="O196" s="24"/>
      <c r="P196" s="19"/>
      <c r="Q196" s="19"/>
      <c r="R196" s="416"/>
      <c r="S196" s="416"/>
      <c r="T196" s="416"/>
    </row>
    <row r="197" spans="1:20" x14ac:dyDescent="0.25">
      <c r="A197" s="415"/>
      <c r="B197" s="416"/>
      <c r="C197" s="416"/>
      <c r="D197" s="416"/>
      <c r="E197" s="416"/>
      <c r="F197" s="417"/>
      <c r="G197" s="20"/>
      <c r="H197" s="20"/>
      <c r="I197" s="20"/>
      <c r="J197" s="20"/>
      <c r="K197" s="20"/>
      <c r="L197" s="21"/>
      <c r="M197" s="22"/>
      <c r="N197" s="23"/>
      <c r="O197" s="24"/>
      <c r="P197" s="19"/>
      <c r="Q197" s="19"/>
      <c r="R197" s="416"/>
      <c r="S197" s="416"/>
      <c r="T197" s="416"/>
    </row>
    <row r="198" spans="1:20" x14ac:dyDescent="0.25">
      <c r="A198" s="415"/>
      <c r="B198" s="416"/>
      <c r="C198" s="416"/>
      <c r="D198" s="416"/>
      <c r="E198" s="416"/>
      <c r="F198" s="417"/>
      <c r="G198" s="20"/>
      <c r="H198" s="20"/>
      <c r="I198" s="20"/>
      <c r="J198" s="20"/>
      <c r="K198" s="20"/>
      <c r="L198" s="21"/>
      <c r="M198" s="22"/>
      <c r="N198" s="23"/>
      <c r="O198" s="24"/>
      <c r="P198" s="19"/>
      <c r="Q198" s="19"/>
      <c r="R198" s="416"/>
      <c r="S198" s="416"/>
      <c r="T198" s="416"/>
    </row>
    <row r="199" spans="1:20" x14ac:dyDescent="0.25">
      <c r="A199" s="415"/>
      <c r="B199" s="416"/>
      <c r="C199" s="416"/>
      <c r="D199" s="416"/>
      <c r="E199" s="416"/>
      <c r="F199" s="417"/>
      <c r="G199" s="20"/>
      <c r="H199" s="20"/>
      <c r="I199" s="20"/>
      <c r="J199" s="20"/>
      <c r="K199" s="20"/>
      <c r="L199" s="21"/>
      <c r="M199" s="22"/>
      <c r="N199" s="23"/>
      <c r="O199" s="24"/>
      <c r="P199" s="19"/>
      <c r="Q199" s="19"/>
      <c r="R199" s="416"/>
      <c r="S199" s="416"/>
      <c r="T199" s="416"/>
    </row>
    <row r="200" spans="1:20" x14ac:dyDescent="0.25">
      <c r="A200" s="415"/>
      <c r="B200" s="416"/>
      <c r="C200" s="416"/>
      <c r="D200" s="416"/>
      <c r="E200" s="416"/>
      <c r="F200" s="417"/>
      <c r="G200" s="20"/>
      <c r="H200" s="20"/>
      <c r="I200" s="20"/>
      <c r="J200" s="20"/>
      <c r="K200" s="20"/>
      <c r="L200" s="21"/>
      <c r="M200" s="22"/>
      <c r="N200" s="23"/>
      <c r="O200" s="24"/>
      <c r="P200" s="19"/>
      <c r="Q200" s="19"/>
      <c r="R200" s="416"/>
      <c r="S200" s="416"/>
      <c r="T200" s="416"/>
    </row>
    <row r="201" spans="1:20" x14ac:dyDescent="0.25">
      <c r="A201" s="415"/>
      <c r="B201" s="416"/>
      <c r="C201" s="416"/>
      <c r="D201" s="416"/>
      <c r="E201" s="416"/>
      <c r="F201" s="417"/>
      <c r="G201" s="20"/>
      <c r="H201" s="20"/>
      <c r="I201" s="20"/>
      <c r="J201" s="20"/>
      <c r="K201" s="20"/>
      <c r="L201" s="21"/>
      <c r="M201" s="22"/>
      <c r="N201" s="23"/>
      <c r="O201" s="24"/>
      <c r="P201" s="19"/>
      <c r="Q201" s="19"/>
      <c r="R201" s="416"/>
      <c r="S201" s="416"/>
      <c r="T201" s="416"/>
    </row>
    <row r="202" spans="1:20" x14ac:dyDescent="0.25">
      <c r="A202" s="415"/>
      <c r="B202" s="416"/>
      <c r="C202" s="416"/>
      <c r="D202" s="416"/>
      <c r="E202" s="416"/>
      <c r="F202" s="417"/>
      <c r="G202" s="20"/>
      <c r="H202" s="20"/>
      <c r="I202" s="20"/>
      <c r="J202" s="20"/>
      <c r="K202" s="20"/>
      <c r="L202" s="21"/>
      <c r="M202" s="22"/>
      <c r="N202" s="23"/>
      <c r="O202" s="24"/>
      <c r="P202" s="19"/>
      <c r="Q202" s="19"/>
      <c r="R202" s="416"/>
      <c r="S202" s="416"/>
      <c r="T202" s="416"/>
    </row>
    <row r="203" spans="1:20" x14ac:dyDescent="0.25">
      <c r="A203" s="415"/>
      <c r="B203" s="416"/>
      <c r="C203" s="416"/>
      <c r="D203" s="416"/>
      <c r="E203" s="416"/>
      <c r="F203" s="417"/>
      <c r="G203" s="20"/>
      <c r="H203" s="20"/>
      <c r="I203" s="20"/>
      <c r="J203" s="20"/>
      <c r="K203" s="20"/>
      <c r="L203" s="21"/>
      <c r="M203" s="22"/>
      <c r="N203" s="23"/>
      <c r="O203" s="24"/>
      <c r="P203" s="19"/>
      <c r="Q203" s="19"/>
      <c r="R203" s="416"/>
      <c r="S203" s="416"/>
      <c r="T203" s="416"/>
    </row>
    <row r="204" spans="1:20" x14ac:dyDescent="0.25">
      <c r="A204" s="415"/>
      <c r="B204" s="416"/>
      <c r="C204" s="416"/>
      <c r="D204" s="416"/>
      <c r="E204" s="416"/>
      <c r="F204" s="417"/>
      <c r="G204" s="20"/>
      <c r="H204" s="20"/>
      <c r="I204" s="20"/>
      <c r="J204" s="20"/>
      <c r="K204" s="20"/>
      <c r="L204" s="21"/>
      <c r="M204" s="22"/>
      <c r="N204" s="23"/>
      <c r="O204" s="24"/>
      <c r="P204" s="19"/>
      <c r="Q204" s="19"/>
      <c r="R204" s="416"/>
      <c r="S204" s="416"/>
      <c r="T204" s="416"/>
    </row>
    <row r="205" spans="1:20" x14ac:dyDescent="0.25">
      <c r="A205" s="415"/>
      <c r="B205" s="416"/>
      <c r="C205" s="416"/>
      <c r="D205" s="416"/>
      <c r="E205" s="416"/>
      <c r="F205" s="417"/>
      <c r="G205" s="20"/>
      <c r="H205" s="20"/>
      <c r="I205" s="20"/>
      <c r="J205" s="20"/>
      <c r="K205" s="20"/>
      <c r="L205" s="21"/>
      <c r="M205" s="22"/>
      <c r="N205" s="23"/>
      <c r="O205" s="24"/>
      <c r="P205" s="19"/>
      <c r="Q205" s="19"/>
      <c r="R205" s="416"/>
      <c r="S205" s="416"/>
      <c r="T205" s="416"/>
    </row>
    <row r="206" spans="1:20" x14ac:dyDescent="0.25">
      <c r="A206" s="415"/>
      <c r="B206" s="416"/>
      <c r="C206" s="416"/>
      <c r="D206" s="416"/>
      <c r="E206" s="416"/>
      <c r="F206" s="417"/>
      <c r="G206" s="20"/>
      <c r="H206" s="20"/>
      <c r="I206" s="20"/>
      <c r="J206" s="20"/>
      <c r="K206" s="20"/>
      <c r="L206" s="21"/>
      <c r="M206" s="22"/>
      <c r="N206" s="23"/>
      <c r="O206" s="24"/>
      <c r="P206" s="19"/>
      <c r="Q206" s="19"/>
      <c r="R206" s="416"/>
      <c r="S206" s="416"/>
      <c r="T206" s="416"/>
    </row>
    <row r="207" spans="1:20" x14ac:dyDescent="0.25">
      <c r="A207" s="415"/>
      <c r="B207" s="416"/>
      <c r="C207" s="416"/>
      <c r="D207" s="416"/>
      <c r="E207" s="416"/>
      <c r="F207" s="417"/>
      <c r="G207" s="20"/>
      <c r="H207" s="20"/>
      <c r="I207" s="20"/>
      <c r="J207" s="20"/>
      <c r="K207" s="20"/>
      <c r="L207" s="21"/>
      <c r="M207" s="22"/>
      <c r="N207" s="23"/>
      <c r="O207" s="24"/>
      <c r="P207" s="19"/>
      <c r="Q207" s="19"/>
      <c r="R207" s="416"/>
      <c r="S207" s="416"/>
      <c r="T207" s="416"/>
    </row>
    <row r="208" spans="1:20" x14ac:dyDescent="0.25">
      <c r="A208" s="415"/>
      <c r="B208" s="416"/>
      <c r="C208" s="416"/>
      <c r="D208" s="416"/>
      <c r="E208" s="416"/>
      <c r="F208" s="417"/>
      <c r="G208" s="20"/>
      <c r="H208" s="20"/>
      <c r="I208" s="20"/>
      <c r="J208" s="20"/>
      <c r="K208" s="20"/>
      <c r="L208" s="21"/>
      <c r="M208" s="22"/>
      <c r="N208" s="23"/>
      <c r="O208" s="24"/>
      <c r="P208" s="19"/>
      <c r="Q208" s="19"/>
      <c r="R208" s="416"/>
      <c r="S208" s="416"/>
      <c r="T208" s="416"/>
    </row>
    <row r="209" spans="1:20" x14ac:dyDescent="0.25">
      <c r="A209" s="415"/>
      <c r="B209" s="416"/>
      <c r="C209" s="416"/>
      <c r="D209" s="416"/>
      <c r="E209" s="416"/>
      <c r="F209" s="417"/>
      <c r="G209" s="20"/>
      <c r="H209" s="20"/>
      <c r="I209" s="20"/>
      <c r="J209" s="20"/>
      <c r="K209" s="20"/>
      <c r="L209" s="21"/>
      <c r="M209" s="22"/>
      <c r="N209" s="23"/>
      <c r="O209" s="24"/>
      <c r="P209" s="19"/>
      <c r="Q209" s="19"/>
      <c r="R209" s="416"/>
      <c r="S209" s="416"/>
      <c r="T209" s="416"/>
    </row>
    <row r="210" spans="1:20" x14ac:dyDescent="0.25">
      <c r="A210" s="415"/>
      <c r="B210" s="416"/>
      <c r="C210" s="416"/>
      <c r="D210" s="416"/>
      <c r="E210" s="416"/>
      <c r="F210" s="417"/>
      <c r="G210" s="20"/>
      <c r="H210" s="20"/>
      <c r="I210" s="20"/>
      <c r="J210" s="20"/>
      <c r="K210" s="20"/>
      <c r="L210" s="21"/>
      <c r="M210" s="22"/>
      <c r="N210" s="23"/>
      <c r="O210" s="24"/>
      <c r="P210" s="19"/>
      <c r="Q210" s="19"/>
      <c r="R210" s="416"/>
      <c r="S210" s="416"/>
      <c r="T210" s="416"/>
    </row>
    <row r="211" spans="1:20" x14ac:dyDescent="0.25">
      <c r="A211" s="415"/>
      <c r="B211" s="416"/>
      <c r="C211" s="416"/>
      <c r="D211" s="416"/>
      <c r="E211" s="416"/>
      <c r="F211" s="417"/>
      <c r="G211" s="20"/>
      <c r="H211" s="20"/>
      <c r="I211" s="20"/>
      <c r="J211" s="20"/>
      <c r="K211" s="20"/>
      <c r="L211" s="21"/>
      <c r="M211" s="22"/>
      <c r="N211" s="23"/>
      <c r="O211" s="24"/>
      <c r="P211" s="19"/>
      <c r="Q211" s="19"/>
      <c r="R211" s="416"/>
      <c r="S211" s="416"/>
      <c r="T211" s="416"/>
    </row>
    <row r="212" spans="1:20" x14ac:dyDescent="0.25">
      <c r="A212" s="415"/>
      <c r="B212" s="416"/>
      <c r="C212" s="416"/>
      <c r="D212" s="416"/>
      <c r="E212" s="416"/>
      <c r="F212" s="417"/>
      <c r="G212" s="20"/>
      <c r="H212" s="20"/>
      <c r="I212" s="20"/>
      <c r="J212" s="20"/>
      <c r="K212" s="20"/>
      <c r="L212" s="21"/>
      <c r="M212" s="22"/>
      <c r="N212" s="23"/>
      <c r="O212" s="24"/>
      <c r="P212" s="19"/>
      <c r="Q212" s="19"/>
      <c r="R212" s="416"/>
      <c r="S212" s="416"/>
      <c r="T212" s="416"/>
    </row>
    <row r="213" spans="1:20" x14ac:dyDescent="0.25">
      <c r="A213" s="415"/>
      <c r="B213" s="416"/>
      <c r="C213" s="416"/>
      <c r="D213" s="416"/>
      <c r="E213" s="416"/>
      <c r="F213" s="417"/>
      <c r="G213" s="20"/>
      <c r="H213" s="20"/>
      <c r="I213" s="20"/>
      <c r="J213" s="20"/>
      <c r="K213" s="20"/>
      <c r="L213" s="21"/>
      <c r="M213" s="22"/>
      <c r="N213" s="23"/>
      <c r="O213" s="24"/>
      <c r="P213" s="19"/>
      <c r="Q213" s="19"/>
      <c r="R213" s="416"/>
      <c r="S213" s="416"/>
      <c r="T213" s="416"/>
    </row>
    <row r="214" spans="1:20" x14ac:dyDescent="0.25">
      <c r="A214" s="415"/>
      <c r="B214" s="416"/>
      <c r="C214" s="416"/>
      <c r="D214" s="416"/>
      <c r="E214" s="416"/>
      <c r="F214" s="417"/>
      <c r="G214" s="20"/>
      <c r="H214" s="20"/>
      <c r="I214" s="20"/>
      <c r="J214" s="20"/>
      <c r="K214" s="20"/>
      <c r="L214" s="21"/>
      <c r="M214" s="22"/>
      <c r="N214" s="23"/>
      <c r="O214" s="24"/>
      <c r="P214" s="19"/>
      <c r="Q214" s="19"/>
      <c r="R214" s="416"/>
      <c r="S214" s="416"/>
      <c r="T214" s="416"/>
    </row>
    <row r="215" spans="1:20" x14ac:dyDescent="0.25">
      <c r="A215" s="415"/>
      <c r="B215" s="416"/>
      <c r="C215" s="416"/>
      <c r="D215" s="416"/>
      <c r="E215" s="416"/>
      <c r="F215" s="417"/>
      <c r="G215" s="20"/>
      <c r="H215" s="20"/>
      <c r="I215" s="20"/>
      <c r="J215" s="20"/>
      <c r="K215" s="20"/>
      <c r="L215" s="21"/>
      <c r="M215" s="22"/>
      <c r="N215" s="23"/>
      <c r="O215" s="24"/>
      <c r="P215" s="19"/>
      <c r="Q215" s="19"/>
      <c r="R215" s="416"/>
      <c r="S215" s="416"/>
      <c r="T215" s="416"/>
    </row>
    <row r="216" spans="1:20" x14ac:dyDescent="0.25">
      <c r="A216" s="415"/>
      <c r="B216" s="416"/>
      <c r="C216" s="416"/>
      <c r="D216" s="416"/>
      <c r="E216" s="416"/>
      <c r="F216" s="417"/>
      <c r="G216" s="20"/>
      <c r="H216" s="20"/>
      <c r="I216" s="20"/>
      <c r="J216" s="20"/>
      <c r="K216" s="20"/>
      <c r="L216" s="21"/>
      <c r="M216" s="22"/>
      <c r="N216" s="23"/>
      <c r="O216" s="24"/>
      <c r="P216" s="19"/>
      <c r="Q216" s="19"/>
      <c r="R216" s="416"/>
      <c r="S216" s="416"/>
      <c r="T216" s="416"/>
    </row>
    <row r="217" spans="1:20" x14ac:dyDescent="0.25">
      <c r="A217" s="415"/>
      <c r="B217" s="416"/>
      <c r="C217" s="416"/>
      <c r="D217" s="416"/>
      <c r="E217" s="416"/>
      <c r="F217" s="417"/>
      <c r="G217" s="20"/>
      <c r="H217" s="20"/>
      <c r="I217" s="20"/>
      <c r="J217" s="20"/>
      <c r="K217" s="20"/>
      <c r="L217" s="21"/>
      <c r="M217" s="22"/>
      <c r="N217" s="23"/>
      <c r="O217" s="24"/>
      <c r="P217" s="19"/>
      <c r="Q217" s="19"/>
      <c r="R217" s="416"/>
      <c r="S217" s="416"/>
      <c r="T217" s="416"/>
    </row>
    <row r="218" spans="1:20" x14ac:dyDescent="0.25">
      <c r="A218" s="415"/>
      <c r="B218" s="416"/>
      <c r="C218" s="416"/>
      <c r="D218" s="416"/>
      <c r="E218" s="416"/>
      <c r="F218" s="417"/>
      <c r="G218" s="20"/>
      <c r="H218" s="20"/>
      <c r="I218" s="20"/>
      <c r="J218" s="20"/>
      <c r="K218" s="20"/>
      <c r="L218" s="21"/>
      <c r="M218" s="22"/>
      <c r="N218" s="23"/>
      <c r="O218" s="24"/>
      <c r="P218" s="19"/>
      <c r="Q218" s="19"/>
      <c r="R218" s="416"/>
      <c r="S218" s="416"/>
      <c r="T218" s="416"/>
    </row>
    <row r="219" spans="1:20" x14ac:dyDescent="0.25">
      <c r="A219" s="415"/>
      <c r="B219" s="416"/>
      <c r="C219" s="416"/>
      <c r="D219" s="416"/>
      <c r="E219" s="416"/>
      <c r="F219" s="417"/>
      <c r="G219" s="20"/>
      <c r="H219" s="20"/>
      <c r="I219" s="20"/>
      <c r="J219" s="20"/>
      <c r="K219" s="20"/>
      <c r="L219" s="21"/>
      <c r="M219" s="22"/>
      <c r="N219" s="23"/>
      <c r="O219" s="24"/>
      <c r="P219" s="19"/>
      <c r="Q219" s="19"/>
      <c r="R219" s="416"/>
      <c r="S219" s="416"/>
      <c r="T219" s="416"/>
    </row>
    <row r="220" spans="1:20" x14ac:dyDescent="0.25">
      <c r="A220" s="415"/>
      <c r="B220" s="416"/>
      <c r="C220" s="416"/>
      <c r="D220" s="416"/>
      <c r="E220" s="416"/>
      <c r="F220" s="417"/>
      <c r="G220" s="20"/>
      <c r="H220" s="20"/>
      <c r="I220" s="20"/>
      <c r="J220" s="20"/>
      <c r="K220" s="20"/>
      <c r="L220" s="21"/>
      <c r="M220" s="22"/>
      <c r="N220" s="23"/>
      <c r="O220" s="24"/>
      <c r="P220" s="19"/>
      <c r="Q220" s="19"/>
      <c r="R220" s="416"/>
      <c r="S220" s="416"/>
      <c r="T220" s="416"/>
    </row>
    <row r="221" spans="1:20" x14ac:dyDescent="0.25">
      <c r="A221" s="415"/>
      <c r="B221" s="416"/>
      <c r="C221" s="416"/>
      <c r="D221" s="416"/>
      <c r="E221" s="416"/>
      <c r="F221" s="417"/>
      <c r="G221" s="20"/>
      <c r="H221" s="20"/>
      <c r="I221" s="20"/>
      <c r="J221" s="20"/>
      <c r="K221" s="20"/>
      <c r="L221" s="21"/>
      <c r="M221" s="22"/>
      <c r="N221" s="23"/>
      <c r="O221" s="24"/>
      <c r="P221" s="19"/>
      <c r="Q221" s="19"/>
      <c r="R221" s="416"/>
      <c r="S221" s="416"/>
      <c r="T221" s="416"/>
    </row>
    <row r="222" spans="1:20" x14ac:dyDescent="0.25">
      <c r="A222" s="415"/>
      <c r="B222" s="416"/>
      <c r="C222" s="416"/>
      <c r="D222" s="416"/>
      <c r="E222" s="416"/>
      <c r="F222" s="417"/>
      <c r="G222" s="20"/>
      <c r="H222" s="20"/>
      <c r="I222" s="20"/>
      <c r="J222" s="20"/>
      <c r="K222" s="20"/>
      <c r="L222" s="21"/>
      <c r="M222" s="22"/>
      <c r="N222" s="23"/>
      <c r="O222" s="24"/>
      <c r="P222" s="19"/>
      <c r="Q222" s="19"/>
      <c r="R222" s="416"/>
      <c r="S222" s="416"/>
      <c r="T222" s="416"/>
    </row>
    <row r="223" spans="1:20" x14ac:dyDescent="0.25">
      <c r="A223" s="415"/>
      <c r="B223" s="416"/>
      <c r="C223" s="416"/>
      <c r="D223" s="416"/>
      <c r="E223" s="416"/>
      <c r="F223" s="417"/>
      <c r="G223" s="20"/>
      <c r="H223" s="20"/>
      <c r="I223" s="20"/>
      <c r="J223" s="20"/>
      <c r="K223" s="20"/>
      <c r="L223" s="21"/>
      <c r="M223" s="22"/>
      <c r="N223" s="23"/>
      <c r="O223" s="24"/>
      <c r="P223" s="19"/>
      <c r="Q223" s="19"/>
      <c r="R223" s="416"/>
      <c r="S223" s="416"/>
      <c r="T223" s="416"/>
    </row>
    <row r="224" spans="1:20" x14ac:dyDescent="0.25">
      <c r="A224" s="415"/>
      <c r="B224" s="416"/>
      <c r="C224" s="416"/>
      <c r="D224" s="416"/>
      <c r="E224" s="416"/>
      <c r="F224" s="417"/>
      <c r="G224" s="20"/>
      <c r="H224" s="20"/>
      <c r="I224" s="20"/>
      <c r="J224" s="20"/>
      <c r="K224" s="20"/>
      <c r="L224" s="21"/>
      <c r="M224" s="22"/>
      <c r="N224" s="23"/>
      <c r="O224" s="24"/>
      <c r="P224" s="19"/>
      <c r="Q224" s="19"/>
      <c r="R224" s="416"/>
      <c r="S224" s="416"/>
      <c r="T224" s="416"/>
    </row>
    <row r="225" spans="1:20" x14ac:dyDescent="0.25">
      <c r="A225" s="415"/>
      <c r="B225" s="416"/>
      <c r="C225" s="416"/>
      <c r="D225" s="416"/>
      <c r="E225" s="416"/>
      <c r="F225" s="417"/>
      <c r="G225" s="20"/>
      <c r="H225" s="20"/>
      <c r="I225" s="20"/>
      <c r="J225" s="20"/>
      <c r="K225" s="20"/>
      <c r="L225" s="21"/>
      <c r="M225" s="22"/>
      <c r="N225" s="23"/>
      <c r="O225" s="24"/>
      <c r="P225" s="19"/>
      <c r="Q225" s="19"/>
      <c r="R225" s="416"/>
      <c r="S225" s="416"/>
      <c r="T225" s="416"/>
    </row>
    <row r="226" spans="1:20" x14ac:dyDescent="0.25">
      <c r="A226" s="415"/>
      <c r="B226" s="416"/>
      <c r="C226" s="416"/>
      <c r="D226" s="416"/>
      <c r="E226" s="416"/>
      <c r="F226" s="417"/>
      <c r="G226" s="20"/>
      <c r="H226" s="20"/>
      <c r="I226" s="20"/>
      <c r="J226" s="20"/>
      <c r="K226" s="20"/>
      <c r="L226" s="21"/>
      <c r="M226" s="22"/>
      <c r="N226" s="23"/>
      <c r="O226" s="24"/>
      <c r="P226" s="19"/>
      <c r="Q226" s="19"/>
      <c r="R226" s="416"/>
      <c r="S226" s="416"/>
      <c r="T226" s="416"/>
    </row>
    <row r="227" spans="1:20" x14ac:dyDescent="0.25">
      <c r="A227" s="415"/>
      <c r="B227" s="416"/>
      <c r="C227" s="416"/>
      <c r="D227" s="416"/>
      <c r="E227" s="416"/>
      <c r="F227" s="417"/>
      <c r="G227" s="20"/>
      <c r="H227" s="20"/>
      <c r="I227" s="20"/>
      <c r="J227" s="20"/>
      <c r="K227" s="20"/>
      <c r="L227" s="21"/>
      <c r="M227" s="22"/>
      <c r="N227" s="23"/>
      <c r="O227" s="24"/>
      <c r="P227" s="19"/>
      <c r="Q227" s="19"/>
      <c r="R227" s="416"/>
      <c r="S227" s="416"/>
      <c r="T227" s="416"/>
    </row>
    <row r="228" spans="1:20" x14ac:dyDescent="0.25">
      <c r="A228" s="415"/>
      <c r="B228" s="416"/>
      <c r="C228" s="416"/>
      <c r="D228" s="416"/>
      <c r="E228" s="416"/>
      <c r="F228" s="417"/>
      <c r="G228" s="20"/>
      <c r="H228" s="20"/>
      <c r="I228" s="20"/>
      <c r="J228" s="20"/>
      <c r="K228" s="20"/>
      <c r="L228" s="21"/>
      <c r="M228" s="22"/>
      <c r="N228" s="23"/>
      <c r="O228" s="24"/>
      <c r="P228" s="19"/>
      <c r="Q228" s="19"/>
      <c r="R228" s="416"/>
      <c r="S228" s="416"/>
      <c r="T228" s="416"/>
    </row>
    <row r="229" spans="1:20" x14ac:dyDescent="0.25">
      <c r="A229" s="415"/>
      <c r="B229" s="416"/>
      <c r="C229" s="416"/>
      <c r="D229" s="416"/>
      <c r="E229" s="416"/>
      <c r="F229" s="417"/>
      <c r="G229" s="20"/>
      <c r="H229" s="20"/>
      <c r="I229" s="20"/>
      <c r="J229" s="20"/>
      <c r="K229" s="20"/>
      <c r="L229" s="21"/>
      <c r="M229" s="22"/>
      <c r="N229" s="23"/>
      <c r="O229" s="24"/>
      <c r="P229" s="19"/>
      <c r="Q229" s="19"/>
      <c r="R229" s="416"/>
      <c r="S229" s="416"/>
      <c r="T229" s="416"/>
    </row>
    <row r="230" spans="1:20" x14ac:dyDescent="0.25">
      <c r="A230" s="415"/>
      <c r="B230" s="416"/>
      <c r="C230" s="416"/>
      <c r="D230" s="416"/>
      <c r="E230" s="416"/>
      <c r="F230" s="417"/>
      <c r="G230" s="20"/>
      <c r="H230" s="20"/>
      <c r="I230" s="20"/>
      <c r="J230" s="20"/>
      <c r="K230" s="20"/>
      <c r="L230" s="21"/>
      <c r="M230" s="22"/>
      <c r="N230" s="23"/>
      <c r="O230" s="24"/>
      <c r="P230" s="19"/>
      <c r="Q230" s="19"/>
      <c r="R230" s="416"/>
      <c r="S230" s="416"/>
      <c r="T230" s="416"/>
    </row>
    <row r="231" spans="1:20" x14ac:dyDescent="0.25">
      <c r="A231" s="415"/>
      <c r="B231" s="416"/>
      <c r="C231" s="416"/>
      <c r="D231" s="416"/>
      <c r="E231" s="416"/>
      <c r="F231" s="417"/>
      <c r="G231" s="20"/>
      <c r="H231" s="20"/>
      <c r="I231" s="20"/>
      <c r="J231" s="20"/>
      <c r="K231" s="20"/>
      <c r="L231" s="21"/>
      <c r="M231" s="22"/>
      <c r="N231" s="23"/>
      <c r="O231" s="24"/>
      <c r="P231" s="19"/>
      <c r="Q231" s="19"/>
      <c r="R231" s="416"/>
      <c r="S231" s="416"/>
      <c r="T231" s="416"/>
    </row>
    <row r="232" spans="1:20" x14ac:dyDescent="0.25">
      <c r="A232" s="415"/>
      <c r="B232" s="416"/>
      <c r="C232" s="416"/>
      <c r="D232" s="416"/>
      <c r="E232" s="416"/>
      <c r="F232" s="417"/>
      <c r="G232" s="20"/>
      <c r="H232" s="20"/>
      <c r="I232" s="20"/>
      <c r="J232" s="20"/>
      <c r="K232" s="20"/>
      <c r="L232" s="21"/>
      <c r="M232" s="22"/>
      <c r="N232" s="23"/>
      <c r="O232" s="24"/>
      <c r="P232" s="19"/>
      <c r="Q232" s="19"/>
      <c r="R232" s="416"/>
      <c r="S232" s="416"/>
      <c r="T232" s="416"/>
    </row>
    <row r="233" spans="1:20" x14ac:dyDescent="0.25">
      <c r="A233" s="415"/>
      <c r="B233" s="416"/>
      <c r="C233" s="416"/>
      <c r="D233" s="416"/>
      <c r="E233" s="416"/>
      <c r="F233" s="417"/>
      <c r="G233" s="20"/>
      <c r="H233" s="20"/>
      <c r="I233" s="20"/>
      <c r="J233" s="20"/>
      <c r="K233" s="20"/>
      <c r="L233" s="21"/>
      <c r="M233" s="22"/>
      <c r="N233" s="23"/>
      <c r="O233" s="24"/>
      <c r="P233" s="19"/>
      <c r="Q233" s="19"/>
      <c r="R233" s="416"/>
      <c r="S233" s="416"/>
      <c r="T233" s="416"/>
    </row>
    <row r="234" spans="1:20" x14ac:dyDescent="0.25">
      <c r="A234" s="415"/>
      <c r="B234" s="416"/>
      <c r="C234" s="416"/>
      <c r="D234" s="416"/>
      <c r="E234" s="416"/>
      <c r="F234" s="417"/>
      <c r="G234" s="20"/>
      <c r="H234" s="20"/>
      <c r="I234" s="20"/>
      <c r="J234" s="20"/>
      <c r="K234" s="20"/>
      <c r="L234" s="21"/>
      <c r="M234" s="22"/>
      <c r="N234" s="23"/>
      <c r="O234" s="24"/>
      <c r="P234" s="19"/>
      <c r="Q234" s="19"/>
      <c r="R234" s="416"/>
      <c r="S234" s="416"/>
      <c r="T234" s="416"/>
    </row>
    <row r="235" spans="1:20" x14ac:dyDescent="0.25">
      <c r="A235" s="415"/>
      <c r="B235" s="416"/>
      <c r="C235" s="416"/>
      <c r="D235" s="416"/>
      <c r="E235" s="416"/>
      <c r="F235" s="417"/>
      <c r="G235" s="20"/>
      <c r="H235" s="20"/>
      <c r="I235" s="20"/>
      <c r="J235" s="20"/>
      <c r="K235" s="20"/>
      <c r="L235" s="21"/>
      <c r="M235" s="22"/>
      <c r="N235" s="23"/>
      <c r="O235" s="24"/>
      <c r="P235" s="19"/>
      <c r="Q235" s="19"/>
      <c r="R235" s="416"/>
      <c r="S235" s="416"/>
      <c r="T235" s="416"/>
    </row>
    <row r="236" spans="1:20" x14ac:dyDescent="0.25">
      <c r="A236" s="415"/>
      <c r="B236" s="416"/>
      <c r="C236" s="416"/>
      <c r="D236" s="416"/>
      <c r="E236" s="416"/>
      <c r="F236" s="417"/>
      <c r="G236" s="20"/>
      <c r="H236" s="20"/>
      <c r="I236" s="20"/>
      <c r="J236" s="20"/>
      <c r="K236" s="20"/>
      <c r="L236" s="21"/>
      <c r="M236" s="22"/>
      <c r="N236" s="23"/>
      <c r="O236" s="24"/>
      <c r="P236" s="19"/>
      <c r="Q236" s="19"/>
      <c r="R236" s="416"/>
      <c r="S236" s="416"/>
      <c r="T236" s="416"/>
    </row>
    <row r="237" spans="1:20" x14ac:dyDescent="0.25">
      <c r="A237" s="415"/>
      <c r="B237" s="416"/>
      <c r="C237" s="416"/>
      <c r="D237" s="416"/>
      <c r="E237" s="416"/>
      <c r="F237" s="417"/>
      <c r="G237" s="20"/>
      <c r="H237" s="20"/>
      <c r="I237" s="20"/>
      <c r="J237" s="20"/>
      <c r="K237" s="20"/>
      <c r="L237" s="21"/>
      <c r="M237" s="22"/>
      <c r="N237" s="23"/>
      <c r="O237" s="24"/>
      <c r="P237" s="19"/>
      <c r="Q237" s="19"/>
      <c r="R237" s="416"/>
      <c r="S237" s="416"/>
      <c r="T237" s="416"/>
    </row>
    <row r="238" spans="1:20" x14ac:dyDescent="0.25">
      <c r="A238" s="415"/>
      <c r="B238" s="416"/>
      <c r="C238" s="416"/>
      <c r="D238" s="416"/>
      <c r="E238" s="416"/>
      <c r="F238" s="417"/>
      <c r="G238" s="20"/>
      <c r="H238" s="20"/>
      <c r="I238" s="20"/>
      <c r="J238" s="20"/>
      <c r="K238" s="20"/>
      <c r="L238" s="21"/>
      <c r="M238" s="22"/>
      <c r="N238" s="23"/>
      <c r="O238" s="24"/>
      <c r="P238" s="19"/>
      <c r="Q238" s="19"/>
      <c r="R238" s="416"/>
      <c r="S238" s="416"/>
      <c r="T238" s="416"/>
    </row>
    <row r="239" spans="1:20" x14ac:dyDescent="0.25">
      <c r="A239" s="415"/>
      <c r="B239" s="416"/>
      <c r="C239" s="416"/>
      <c r="D239" s="416"/>
      <c r="E239" s="416"/>
      <c r="F239" s="417"/>
      <c r="G239" s="20"/>
      <c r="H239" s="20"/>
      <c r="I239" s="20"/>
      <c r="J239" s="20"/>
      <c r="K239" s="20"/>
      <c r="L239" s="21"/>
      <c r="M239" s="22"/>
      <c r="N239" s="23"/>
      <c r="O239" s="24"/>
      <c r="P239" s="19"/>
      <c r="Q239" s="19"/>
      <c r="R239" s="416"/>
      <c r="S239" s="416"/>
      <c r="T239" s="416"/>
    </row>
    <row r="240" spans="1:20" x14ac:dyDescent="0.25">
      <c r="A240" s="415"/>
      <c r="B240" s="416"/>
      <c r="C240" s="416"/>
      <c r="D240" s="416"/>
      <c r="E240" s="416"/>
      <c r="F240" s="417"/>
      <c r="G240" s="20"/>
      <c r="H240" s="20"/>
      <c r="I240" s="20"/>
      <c r="J240" s="20"/>
      <c r="K240" s="20"/>
      <c r="L240" s="21"/>
      <c r="M240" s="22"/>
      <c r="N240" s="23"/>
      <c r="O240" s="24"/>
      <c r="P240" s="19"/>
      <c r="Q240" s="19"/>
      <c r="R240" s="416"/>
      <c r="S240" s="416"/>
      <c r="T240" s="416"/>
    </row>
    <row r="241" spans="1:20" x14ac:dyDescent="0.25">
      <c r="A241" s="415"/>
      <c r="B241" s="416"/>
      <c r="C241" s="416"/>
      <c r="D241" s="416"/>
      <c r="E241" s="416"/>
      <c r="F241" s="417"/>
      <c r="G241" s="20"/>
      <c r="H241" s="20"/>
      <c r="I241" s="20"/>
      <c r="J241" s="20"/>
      <c r="K241" s="20"/>
      <c r="L241" s="21"/>
      <c r="M241" s="22"/>
      <c r="N241" s="23"/>
      <c r="O241" s="24"/>
      <c r="P241" s="19"/>
      <c r="Q241" s="19"/>
      <c r="R241" s="416"/>
      <c r="S241" s="416"/>
      <c r="T241" s="416"/>
    </row>
    <row r="242" spans="1:20" x14ac:dyDescent="0.25">
      <c r="A242" s="415"/>
      <c r="B242" s="416"/>
      <c r="C242" s="416"/>
      <c r="D242" s="416"/>
      <c r="E242" s="416"/>
      <c r="F242" s="417"/>
      <c r="G242" s="20"/>
      <c r="H242" s="20"/>
      <c r="I242" s="20"/>
      <c r="J242" s="20"/>
      <c r="K242" s="20"/>
      <c r="L242" s="21"/>
      <c r="M242" s="22"/>
      <c r="N242" s="23"/>
      <c r="O242" s="24"/>
      <c r="P242" s="19"/>
      <c r="Q242" s="19"/>
      <c r="R242" s="416"/>
      <c r="S242" s="416"/>
      <c r="T242" s="416"/>
    </row>
    <row r="243" spans="1:20" x14ac:dyDescent="0.25">
      <c r="A243" s="415"/>
      <c r="B243" s="416"/>
      <c r="C243" s="416"/>
      <c r="D243" s="416"/>
      <c r="E243" s="416"/>
      <c r="F243" s="417"/>
      <c r="G243" s="20"/>
      <c r="H243" s="20"/>
      <c r="I243" s="20"/>
      <c r="J243" s="20"/>
      <c r="K243" s="20"/>
      <c r="L243" s="21"/>
      <c r="M243" s="22"/>
      <c r="N243" s="23"/>
      <c r="O243" s="24"/>
      <c r="P243" s="19"/>
      <c r="Q243" s="19"/>
      <c r="R243" s="416"/>
      <c r="S243" s="416"/>
      <c r="T243" s="416"/>
    </row>
    <row r="244" spans="1:20" x14ac:dyDescent="0.25">
      <c r="A244" s="415"/>
      <c r="B244" s="416"/>
      <c r="C244" s="416"/>
      <c r="D244" s="416"/>
      <c r="E244" s="416"/>
      <c r="F244" s="417"/>
      <c r="G244" s="20"/>
      <c r="H244" s="20"/>
      <c r="I244" s="20"/>
      <c r="J244" s="20"/>
      <c r="K244" s="20"/>
      <c r="L244" s="21"/>
      <c r="M244" s="22"/>
      <c r="N244" s="23"/>
      <c r="O244" s="24"/>
      <c r="P244" s="19"/>
      <c r="Q244" s="19"/>
      <c r="R244" s="416"/>
      <c r="S244" s="416"/>
      <c r="T244" s="416"/>
    </row>
    <row r="245" spans="1:20" x14ac:dyDescent="0.25">
      <c r="A245" s="415"/>
      <c r="B245" s="416"/>
      <c r="C245" s="416"/>
      <c r="D245" s="416"/>
      <c r="E245" s="416"/>
      <c r="F245" s="417"/>
      <c r="G245" s="20"/>
      <c r="H245" s="20"/>
      <c r="I245" s="20"/>
      <c r="J245" s="20"/>
      <c r="K245" s="20"/>
      <c r="L245" s="21"/>
      <c r="M245" s="22"/>
      <c r="N245" s="23"/>
      <c r="O245" s="24"/>
      <c r="P245" s="19"/>
      <c r="Q245" s="19"/>
      <c r="R245" s="416"/>
      <c r="S245" s="416"/>
      <c r="T245" s="416"/>
    </row>
    <row r="246" spans="1:20" x14ac:dyDescent="0.25">
      <c r="A246" s="415"/>
      <c r="B246" s="416"/>
      <c r="C246" s="416"/>
      <c r="D246" s="416"/>
      <c r="E246" s="416"/>
      <c r="F246" s="417"/>
      <c r="G246" s="20"/>
      <c r="H246" s="20"/>
      <c r="I246" s="20"/>
      <c r="J246" s="20"/>
      <c r="K246" s="20"/>
      <c r="L246" s="21"/>
      <c r="M246" s="22"/>
      <c r="N246" s="23"/>
      <c r="O246" s="24"/>
      <c r="P246" s="19"/>
      <c r="Q246" s="19"/>
      <c r="R246" s="416"/>
      <c r="S246" s="416"/>
      <c r="T246" s="416"/>
    </row>
    <row r="247" spans="1:20" x14ac:dyDescent="0.25">
      <c r="A247" s="415"/>
      <c r="B247" s="416"/>
      <c r="C247" s="416"/>
      <c r="D247" s="416"/>
      <c r="E247" s="416"/>
      <c r="F247" s="417"/>
      <c r="G247" s="20"/>
      <c r="H247" s="20"/>
      <c r="I247" s="20"/>
      <c r="J247" s="20"/>
      <c r="K247" s="20"/>
      <c r="L247" s="21"/>
      <c r="M247" s="22"/>
      <c r="N247" s="23"/>
      <c r="O247" s="24"/>
      <c r="P247" s="19"/>
      <c r="Q247" s="19"/>
      <c r="R247" s="416"/>
      <c r="S247" s="416"/>
      <c r="T247" s="416"/>
    </row>
    <row r="248" spans="1:20" x14ac:dyDescent="0.25">
      <c r="A248" s="415"/>
      <c r="B248" s="416"/>
      <c r="C248" s="416"/>
      <c r="D248" s="416"/>
      <c r="E248" s="416"/>
      <c r="F248" s="417"/>
      <c r="G248" s="20"/>
      <c r="H248" s="20"/>
      <c r="I248" s="20"/>
      <c r="J248" s="20"/>
      <c r="K248" s="20"/>
      <c r="L248" s="21"/>
      <c r="M248" s="22"/>
      <c r="N248" s="23"/>
      <c r="O248" s="24"/>
      <c r="P248" s="19"/>
      <c r="Q248" s="19"/>
      <c r="R248" s="416"/>
      <c r="S248" s="416"/>
      <c r="T248" s="416"/>
    </row>
    <row r="249" spans="1:20" x14ac:dyDescent="0.25">
      <c r="A249" s="415"/>
      <c r="B249" s="416"/>
      <c r="C249" s="416"/>
      <c r="D249" s="416"/>
      <c r="E249" s="416"/>
      <c r="F249" s="417"/>
      <c r="G249" s="20"/>
      <c r="H249" s="20"/>
      <c r="I249" s="20"/>
      <c r="J249" s="20"/>
      <c r="K249" s="20"/>
      <c r="L249" s="21"/>
      <c r="M249" s="22"/>
      <c r="N249" s="23"/>
      <c r="O249" s="24"/>
      <c r="P249" s="19"/>
      <c r="Q249" s="19"/>
      <c r="R249" s="416"/>
      <c r="S249" s="416"/>
      <c r="T249" s="416"/>
    </row>
    <row r="250" spans="1:20" x14ac:dyDescent="0.25">
      <c r="A250" s="415"/>
      <c r="B250" s="416"/>
      <c r="C250" s="416"/>
      <c r="D250" s="416"/>
      <c r="E250" s="416"/>
      <c r="F250" s="417"/>
      <c r="G250" s="20"/>
      <c r="H250" s="20"/>
      <c r="I250" s="20"/>
      <c r="J250" s="20"/>
      <c r="K250" s="20"/>
      <c r="L250" s="21"/>
      <c r="M250" s="22"/>
      <c r="N250" s="23"/>
      <c r="O250" s="24"/>
      <c r="P250" s="19"/>
      <c r="Q250" s="19"/>
      <c r="R250" s="416"/>
      <c r="S250" s="416"/>
      <c r="T250" s="416"/>
    </row>
    <row r="251" spans="1:20" x14ac:dyDescent="0.25">
      <c r="A251" s="415"/>
      <c r="B251" s="416"/>
      <c r="C251" s="416"/>
      <c r="D251" s="416"/>
      <c r="E251" s="416"/>
      <c r="F251" s="417"/>
      <c r="G251" s="20"/>
      <c r="H251" s="20"/>
      <c r="I251" s="20"/>
      <c r="J251" s="20"/>
      <c r="K251" s="20"/>
      <c r="L251" s="21"/>
      <c r="M251" s="22"/>
      <c r="N251" s="23"/>
      <c r="O251" s="24"/>
      <c r="P251" s="19"/>
      <c r="Q251" s="19"/>
      <c r="R251" s="416"/>
      <c r="S251" s="416"/>
      <c r="T251" s="416"/>
    </row>
    <row r="252" spans="1:20" x14ac:dyDescent="0.25">
      <c r="A252" s="415"/>
      <c r="B252" s="416"/>
      <c r="C252" s="416"/>
      <c r="D252" s="416"/>
      <c r="E252" s="416"/>
      <c r="F252" s="417"/>
      <c r="G252" s="20"/>
      <c r="H252" s="20"/>
      <c r="I252" s="20"/>
      <c r="J252" s="20"/>
      <c r="K252" s="20"/>
      <c r="L252" s="21"/>
      <c r="M252" s="22"/>
      <c r="N252" s="23"/>
      <c r="O252" s="24"/>
      <c r="P252" s="19"/>
      <c r="Q252" s="19"/>
      <c r="R252" s="416"/>
      <c r="S252" s="416"/>
      <c r="T252" s="416"/>
    </row>
    <row r="253" spans="1:20" x14ac:dyDescent="0.25">
      <c r="A253" s="415"/>
      <c r="B253" s="416"/>
      <c r="C253" s="416"/>
      <c r="D253" s="416"/>
      <c r="E253" s="416"/>
      <c r="F253" s="417"/>
      <c r="G253" s="20"/>
      <c r="H253" s="20"/>
      <c r="I253" s="20"/>
      <c r="J253" s="20"/>
      <c r="K253" s="20"/>
      <c r="L253" s="21"/>
      <c r="M253" s="22"/>
      <c r="N253" s="23"/>
      <c r="O253" s="24"/>
      <c r="P253" s="19"/>
      <c r="Q253" s="19"/>
      <c r="R253" s="416"/>
      <c r="S253" s="416"/>
      <c r="T253" s="416"/>
    </row>
    <row r="254" spans="1:20" x14ac:dyDescent="0.25">
      <c r="A254" s="415"/>
      <c r="B254" s="416"/>
      <c r="C254" s="416"/>
      <c r="D254" s="416"/>
      <c r="E254" s="416"/>
      <c r="F254" s="417"/>
      <c r="G254" s="20"/>
      <c r="H254" s="20"/>
      <c r="I254" s="20"/>
      <c r="J254" s="20"/>
      <c r="K254" s="20"/>
      <c r="L254" s="21"/>
      <c r="M254" s="22"/>
      <c r="N254" s="23"/>
      <c r="O254" s="24"/>
      <c r="P254" s="19"/>
      <c r="Q254" s="19"/>
      <c r="R254" s="416"/>
      <c r="S254" s="416"/>
      <c r="T254" s="416"/>
    </row>
    <row r="255" spans="1:20" x14ac:dyDescent="0.25">
      <c r="A255" s="415"/>
      <c r="B255" s="416"/>
      <c r="C255" s="416"/>
      <c r="D255" s="416"/>
      <c r="E255" s="416"/>
      <c r="F255" s="417"/>
      <c r="G255" s="20"/>
      <c r="H255" s="20"/>
      <c r="I255" s="20"/>
      <c r="J255" s="20"/>
      <c r="K255" s="20"/>
      <c r="L255" s="21"/>
      <c r="M255" s="22"/>
      <c r="N255" s="23"/>
      <c r="O255" s="24"/>
      <c r="P255" s="19"/>
      <c r="Q255" s="19"/>
      <c r="R255" s="416"/>
      <c r="S255" s="416"/>
      <c r="T255" s="416"/>
    </row>
    <row r="256" spans="1:20" x14ac:dyDescent="0.25">
      <c r="A256" s="415"/>
      <c r="B256" s="416"/>
      <c r="C256" s="416"/>
      <c r="D256" s="416"/>
      <c r="E256" s="416"/>
      <c r="F256" s="417"/>
      <c r="G256" s="20"/>
      <c r="H256" s="20"/>
      <c r="I256" s="20"/>
      <c r="J256" s="20"/>
      <c r="K256" s="20"/>
      <c r="L256" s="21"/>
      <c r="M256" s="22"/>
      <c r="N256" s="23"/>
      <c r="O256" s="24"/>
      <c r="P256" s="19"/>
      <c r="Q256" s="19"/>
      <c r="R256" s="416"/>
      <c r="S256" s="416"/>
      <c r="T256" s="416"/>
    </row>
    <row r="257" spans="1:20" x14ac:dyDescent="0.25">
      <c r="A257" s="415"/>
      <c r="B257" s="416"/>
      <c r="C257" s="416"/>
      <c r="D257" s="416"/>
      <c r="E257" s="416"/>
      <c r="F257" s="417"/>
      <c r="G257" s="20"/>
      <c r="H257" s="20"/>
      <c r="I257" s="20"/>
      <c r="J257" s="20"/>
      <c r="K257" s="20"/>
      <c r="L257" s="21"/>
      <c r="M257" s="22"/>
      <c r="N257" s="23"/>
      <c r="O257" s="24"/>
      <c r="P257" s="19"/>
      <c r="Q257" s="19"/>
      <c r="R257" s="416"/>
      <c r="S257" s="416"/>
      <c r="T257" s="416"/>
    </row>
    <row r="258" spans="1:20" x14ac:dyDescent="0.25">
      <c r="A258" s="415"/>
      <c r="B258" s="416"/>
      <c r="C258" s="416"/>
      <c r="D258" s="416"/>
      <c r="E258" s="416"/>
      <c r="F258" s="417"/>
      <c r="G258" s="20"/>
      <c r="H258" s="20"/>
      <c r="I258" s="20"/>
      <c r="J258" s="20"/>
      <c r="K258" s="20"/>
      <c r="L258" s="21"/>
      <c r="M258" s="22"/>
      <c r="N258" s="23"/>
      <c r="O258" s="24"/>
      <c r="P258" s="19"/>
      <c r="Q258" s="19"/>
      <c r="R258" s="416"/>
      <c r="S258" s="416"/>
      <c r="T258" s="416"/>
    </row>
    <row r="259" spans="1:20" x14ac:dyDescent="0.25">
      <c r="A259" s="415"/>
      <c r="B259" s="416"/>
      <c r="C259" s="416"/>
      <c r="D259" s="416"/>
      <c r="E259" s="416"/>
      <c r="F259" s="417"/>
      <c r="G259" s="20"/>
      <c r="H259" s="20"/>
      <c r="I259" s="20"/>
      <c r="J259" s="20"/>
      <c r="K259" s="20"/>
      <c r="L259" s="21"/>
      <c r="M259" s="22"/>
      <c r="N259" s="23"/>
      <c r="O259" s="24"/>
      <c r="P259" s="19"/>
      <c r="Q259" s="19"/>
      <c r="R259" s="416"/>
      <c r="S259" s="416"/>
      <c r="T259" s="416"/>
    </row>
    <row r="260" spans="1:20" x14ac:dyDescent="0.25">
      <c r="A260" s="415"/>
      <c r="B260" s="416"/>
      <c r="C260" s="416"/>
      <c r="D260" s="416"/>
      <c r="E260" s="416"/>
      <c r="F260" s="417"/>
      <c r="G260" s="20"/>
      <c r="H260" s="20"/>
      <c r="I260" s="20"/>
      <c r="J260" s="20"/>
      <c r="K260" s="20"/>
      <c r="L260" s="21"/>
      <c r="M260" s="22"/>
      <c r="N260" s="23"/>
      <c r="O260" s="24"/>
      <c r="P260" s="19"/>
      <c r="Q260" s="19"/>
      <c r="R260" s="416"/>
      <c r="S260" s="416"/>
      <c r="T260" s="416"/>
    </row>
    <row r="261" spans="1:20" x14ac:dyDescent="0.25">
      <c r="A261" s="415"/>
      <c r="B261" s="416"/>
      <c r="C261" s="416"/>
      <c r="D261" s="416"/>
      <c r="E261" s="416"/>
      <c r="F261" s="417"/>
      <c r="G261" s="20"/>
      <c r="H261" s="20"/>
      <c r="I261" s="20"/>
      <c r="J261" s="20"/>
      <c r="K261" s="20"/>
      <c r="L261" s="21"/>
      <c r="M261" s="22"/>
      <c r="N261" s="23"/>
      <c r="O261" s="24"/>
      <c r="P261" s="19"/>
      <c r="Q261" s="19"/>
      <c r="R261" s="416"/>
      <c r="S261" s="416"/>
      <c r="T261" s="416"/>
    </row>
    <row r="262" spans="1:20" x14ac:dyDescent="0.25">
      <c r="A262" s="415"/>
      <c r="B262" s="416"/>
      <c r="C262" s="416"/>
      <c r="D262" s="416"/>
      <c r="E262" s="416"/>
      <c r="F262" s="417"/>
      <c r="G262" s="20"/>
      <c r="H262" s="20"/>
      <c r="I262" s="20"/>
      <c r="J262" s="20"/>
      <c r="K262" s="20"/>
      <c r="L262" s="21"/>
      <c r="M262" s="22"/>
      <c r="N262" s="23"/>
      <c r="O262" s="24"/>
      <c r="P262" s="19"/>
      <c r="Q262" s="19"/>
      <c r="R262" s="416"/>
      <c r="S262" s="416"/>
      <c r="T262" s="416"/>
    </row>
    <row r="263" spans="1:20" x14ac:dyDescent="0.25">
      <c r="A263" s="415"/>
      <c r="B263" s="416"/>
      <c r="C263" s="416"/>
      <c r="D263" s="416"/>
      <c r="E263" s="416"/>
      <c r="F263" s="417"/>
      <c r="G263" s="20"/>
      <c r="H263" s="20"/>
      <c r="I263" s="20"/>
      <c r="J263" s="20"/>
      <c r="K263" s="20"/>
      <c r="L263" s="21"/>
      <c r="M263" s="22"/>
      <c r="N263" s="23"/>
      <c r="O263" s="24"/>
      <c r="P263" s="19"/>
      <c r="Q263" s="19"/>
      <c r="R263" s="416"/>
      <c r="S263" s="416"/>
      <c r="T263" s="416"/>
    </row>
    <row r="264" spans="1:20" x14ac:dyDescent="0.25">
      <c r="A264" s="415"/>
      <c r="B264" s="416"/>
      <c r="C264" s="416"/>
      <c r="D264" s="416"/>
      <c r="E264" s="416"/>
      <c r="F264" s="417"/>
      <c r="G264" s="20"/>
      <c r="H264" s="20"/>
      <c r="I264" s="20"/>
      <c r="J264" s="20"/>
      <c r="K264" s="20"/>
      <c r="L264" s="21"/>
      <c r="M264" s="22"/>
      <c r="N264" s="23"/>
      <c r="O264" s="24"/>
      <c r="P264" s="19"/>
      <c r="Q264" s="19"/>
      <c r="R264" s="416"/>
      <c r="S264" s="416"/>
      <c r="T264" s="416"/>
    </row>
    <row r="265" spans="1:20" x14ac:dyDescent="0.25">
      <c r="A265" s="415"/>
      <c r="B265" s="416"/>
      <c r="C265" s="416"/>
      <c r="D265" s="416"/>
      <c r="E265" s="416"/>
      <c r="F265" s="417"/>
      <c r="G265" s="20"/>
      <c r="H265" s="20"/>
      <c r="I265" s="20"/>
      <c r="J265" s="20"/>
      <c r="K265" s="20"/>
      <c r="L265" s="21"/>
      <c r="M265" s="22"/>
      <c r="N265" s="23"/>
      <c r="O265" s="24"/>
      <c r="P265" s="19"/>
      <c r="Q265" s="19"/>
      <c r="R265" s="416"/>
      <c r="S265" s="416"/>
      <c r="T265" s="416"/>
    </row>
    <row r="266" spans="1:20" x14ac:dyDescent="0.25">
      <c r="A266" s="415"/>
      <c r="B266" s="416"/>
      <c r="C266" s="416"/>
      <c r="D266" s="416"/>
      <c r="E266" s="416"/>
      <c r="F266" s="417"/>
      <c r="G266" s="20"/>
      <c r="H266" s="20"/>
      <c r="I266" s="20"/>
      <c r="J266" s="20"/>
      <c r="K266" s="20"/>
      <c r="L266" s="21"/>
      <c r="M266" s="22"/>
      <c r="N266" s="23"/>
      <c r="O266" s="24"/>
      <c r="P266" s="19"/>
      <c r="Q266" s="19"/>
      <c r="R266" s="416"/>
      <c r="S266" s="416"/>
      <c r="T266" s="416"/>
    </row>
    <row r="267" spans="1:20" x14ac:dyDescent="0.25">
      <c r="A267" s="415"/>
      <c r="B267" s="416"/>
      <c r="C267" s="416"/>
      <c r="D267" s="416"/>
      <c r="E267" s="416"/>
      <c r="F267" s="417"/>
      <c r="G267" s="20"/>
      <c r="H267" s="20"/>
      <c r="I267" s="20"/>
      <c r="J267" s="20"/>
      <c r="K267" s="20"/>
      <c r="L267" s="21"/>
      <c r="M267" s="22"/>
      <c r="N267" s="23"/>
      <c r="O267" s="24"/>
      <c r="P267" s="19"/>
      <c r="Q267" s="19"/>
      <c r="R267" s="416"/>
      <c r="S267" s="416"/>
      <c r="T267" s="416"/>
    </row>
    <row r="268" spans="1:20" x14ac:dyDescent="0.25">
      <c r="A268" s="415"/>
      <c r="B268" s="416"/>
      <c r="C268" s="416"/>
      <c r="D268" s="416"/>
      <c r="E268" s="416"/>
      <c r="F268" s="417"/>
      <c r="G268" s="20"/>
      <c r="H268" s="20"/>
      <c r="I268" s="20"/>
      <c r="J268" s="20"/>
      <c r="K268" s="20"/>
      <c r="L268" s="21"/>
      <c r="M268" s="22"/>
      <c r="N268" s="23"/>
      <c r="O268" s="24"/>
      <c r="P268" s="19"/>
      <c r="Q268" s="19"/>
      <c r="R268" s="416"/>
      <c r="S268" s="416"/>
      <c r="T268" s="416"/>
    </row>
    <row r="269" spans="1:20" x14ac:dyDescent="0.25">
      <c r="A269" s="415"/>
      <c r="B269" s="416"/>
      <c r="C269" s="416"/>
      <c r="D269" s="416"/>
      <c r="E269" s="416"/>
      <c r="F269" s="417"/>
      <c r="G269" s="20"/>
      <c r="H269" s="20"/>
      <c r="I269" s="20"/>
      <c r="J269" s="20"/>
      <c r="K269" s="20"/>
      <c r="L269" s="21"/>
      <c r="M269" s="22"/>
      <c r="N269" s="23"/>
      <c r="O269" s="24"/>
      <c r="P269" s="19"/>
      <c r="Q269" s="19"/>
      <c r="R269" s="416"/>
      <c r="S269" s="416"/>
      <c r="T269" s="416"/>
    </row>
    <row r="270" spans="1:20" x14ac:dyDescent="0.25">
      <c r="A270" s="415"/>
      <c r="B270" s="416"/>
      <c r="C270" s="416"/>
      <c r="D270" s="416"/>
      <c r="E270" s="416"/>
      <c r="F270" s="417"/>
      <c r="G270" s="20"/>
      <c r="H270" s="20"/>
      <c r="I270" s="20"/>
      <c r="J270" s="20"/>
      <c r="K270" s="20"/>
      <c r="L270" s="21"/>
      <c r="M270" s="22"/>
      <c r="N270" s="23"/>
      <c r="O270" s="24"/>
      <c r="P270" s="19"/>
      <c r="Q270" s="19"/>
      <c r="R270" s="416"/>
      <c r="S270" s="416"/>
      <c r="T270" s="416"/>
    </row>
    <row r="271" spans="1:20" x14ac:dyDescent="0.25">
      <c r="A271" s="415"/>
      <c r="B271" s="416"/>
      <c r="C271" s="416"/>
      <c r="D271" s="416"/>
      <c r="E271" s="416"/>
      <c r="F271" s="417"/>
      <c r="G271" s="20"/>
      <c r="H271" s="20"/>
      <c r="I271" s="20"/>
      <c r="J271" s="20"/>
      <c r="K271" s="20"/>
      <c r="L271" s="21"/>
      <c r="M271" s="22"/>
      <c r="N271" s="23"/>
      <c r="O271" s="24"/>
      <c r="P271" s="19"/>
      <c r="Q271" s="19"/>
      <c r="R271" s="416"/>
      <c r="S271" s="416"/>
      <c r="T271" s="416"/>
    </row>
    <row r="272" spans="1:20" x14ac:dyDescent="0.25">
      <c r="A272" s="415"/>
      <c r="B272" s="416"/>
      <c r="C272" s="416"/>
      <c r="D272" s="416"/>
      <c r="E272" s="416"/>
      <c r="F272" s="417"/>
      <c r="G272" s="20"/>
      <c r="H272" s="20"/>
      <c r="I272" s="20"/>
      <c r="J272" s="20"/>
      <c r="K272" s="20"/>
      <c r="L272" s="21"/>
      <c r="M272" s="22"/>
      <c r="N272" s="23"/>
      <c r="O272" s="24"/>
      <c r="P272" s="19"/>
      <c r="Q272" s="19"/>
      <c r="R272" s="416"/>
      <c r="S272" s="416"/>
      <c r="T272" s="416"/>
    </row>
    <row r="273" spans="1:20" x14ac:dyDescent="0.25">
      <c r="A273" s="415"/>
      <c r="B273" s="416"/>
      <c r="C273" s="416"/>
      <c r="D273" s="416"/>
      <c r="E273" s="416"/>
      <c r="F273" s="417"/>
      <c r="G273" s="20"/>
      <c r="H273" s="20"/>
      <c r="I273" s="20"/>
      <c r="J273" s="20"/>
      <c r="K273" s="20"/>
      <c r="L273" s="21"/>
      <c r="M273" s="22"/>
      <c r="N273" s="23"/>
      <c r="O273" s="24"/>
      <c r="P273" s="19"/>
      <c r="Q273" s="19"/>
      <c r="R273" s="416"/>
      <c r="S273" s="416"/>
      <c r="T273" s="416"/>
    </row>
    <row r="274" spans="1:20" x14ac:dyDescent="0.25">
      <c r="A274" s="415"/>
      <c r="B274" s="416"/>
      <c r="C274" s="416"/>
      <c r="D274" s="416"/>
      <c r="E274" s="416"/>
      <c r="F274" s="417"/>
      <c r="G274" s="20"/>
      <c r="H274" s="20"/>
      <c r="I274" s="20"/>
      <c r="J274" s="20"/>
      <c r="K274" s="20"/>
      <c r="L274" s="21"/>
      <c r="M274" s="22"/>
      <c r="N274" s="23"/>
      <c r="O274" s="24"/>
      <c r="P274" s="19"/>
      <c r="Q274" s="19"/>
      <c r="R274" s="416"/>
      <c r="S274" s="416"/>
      <c r="T274" s="416"/>
    </row>
    <row r="275" spans="1:20" x14ac:dyDescent="0.25">
      <c r="A275" s="415"/>
      <c r="B275" s="416"/>
      <c r="C275" s="416"/>
      <c r="D275" s="416"/>
      <c r="E275" s="416"/>
      <c r="F275" s="417"/>
      <c r="G275" s="20"/>
      <c r="H275" s="20"/>
      <c r="I275" s="20"/>
      <c r="J275" s="20"/>
      <c r="K275" s="20"/>
      <c r="L275" s="21"/>
      <c r="M275" s="22"/>
      <c r="N275" s="23"/>
      <c r="O275" s="24"/>
      <c r="P275" s="19"/>
      <c r="Q275" s="19"/>
      <c r="R275" s="416"/>
      <c r="S275" s="416"/>
      <c r="T275" s="416"/>
    </row>
    <row r="276" spans="1:20" x14ac:dyDescent="0.25">
      <c r="A276" s="415"/>
      <c r="B276" s="416"/>
      <c r="C276" s="416"/>
      <c r="D276" s="416"/>
      <c r="E276" s="416"/>
      <c r="F276" s="417"/>
      <c r="G276" s="20"/>
      <c r="H276" s="20"/>
      <c r="I276" s="20"/>
      <c r="J276" s="20"/>
      <c r="K276" s="20"/>
      <c r="L276" s="21"/>
      <c r="M276" s="22"/>
      <c r="N276" s="23"/>
      <c r="O276" s="24"/>
      <c r="P276" s="19"/>
      <c r="Q276" s="19"/>
      <c r="R276" s="416"/>
      <c r="S276" s="416"/>
      <c r="T276" s="416"/>
    </row>
    <row r="277" spans="1:20" x14ac:dyDescent="0.25">
      <c r="A277" s="415"/>
      <c r="B277" s="416"/>
      <c r="C277" s="416"/>
      <c r="D277" s="416"/>
      <c r="E277" s="416"/>
      <c r="F277" s="417"/>
      <c r="G277" s="20"/>
      <c r="H277" s="20"/>
      <c r="I277" s="20"/>
      <c r="J277" s="20"/>
      <c r="K277" s="20"/>
      <c r="L277" s="21"/>
      <c r="M277" s="22"/>
      <c r="N277" s="23"/>
      <c r="O277" s="24"/>
      <c r="P277" s="19"/>
      <c r="Q277" s="19"/>
      <c r="R277" s="416"/>
      <c r="S277" s="416"/>
      <c r="T277" s="416"/>
    </row>
    <row r="278" spans="1:20" x14ac:dyDescent="0.25">
      <c r="A278" s="415"/>
      <c r="B278" s="416"/>
      <c r="C278" s="416"/>
      <c r="D278" s="416"/>
      <c r="E278" s="416"/>
      <c r="F278" s="417"/>
      <c r="G278" s="20"/>
      <c r="H278" s="20"/>
      <c r="I278" s="20"/>
      <c r="J278" s="20"/>
      <c r="K278" s="20"/>
      <c r="L278" s="21"/>
      <c r="M278" s="22"/>
      <c r="N278" s="23"/>
      <c r="O278" s="24"/>
      <c r="P278" s="19"/>
      <c r="Q278" s="19"/>
      <c r="R278" s="416"/>
      <c r="S278" s="416"/>
      <c r="T278" s="416"/>
    </row>
    <row r="279" spans="1:20" x14ac:dyDescent="0.25">
      <c r="A279" s="415"/>
      <c r="B279" s="416"/>
      <c r="C279" s="416"/>
      <c r="D279" s="416"/>
      <c r="E279" s="416"/>
      <c r="F279" s="417"/>
      <c r="G279" s="20"/>
      <c r="H279" s="20"/>
      <c r="I279" s="20"/>
      <c r="J279" s="20"/>
      <c r="K279" s="20"/>
      <c r="L279" s="21"/>
      <c r="M279" s="22"/>
      <c r="N279" s="23"/>
      <c r="O279" s="24"/>
      <c r="P279" s="19"/>
      <c r="Q279" s="19"/>
      <c r="R279" s="416"/>
      <c r="S279" s="416"/>
      <c r="T279" s="416"/>
    </row>
    <row r="280" spans="1:20" x14ac:dyDescent="0.25">
      <c r="A280" s="415"/>
      <c r="B280" s="416"/>
      <c r="C280" s="416"/>
      <c r="D280" s="416"/>
      <c r="E280" s="416"/>
      <c r="F280" s="417"/>
      <c r="G280" s="20"/>
      <c r="H280" s="20"/>
      <c r="I280" s="20"/>
      <c r="J280" s="20"/>
      <c r="K280" s="20"/>
      <c r="L280" s="21"/>
      <c r="M280" s="22"/>
      <c r="N280" s="23"/>
      <c r="O280" s="24"/>
      <c r="P280" s="19"/>
      <c r="Q280" s="19"/>
      <c r="R280" s="416"/>
      <c r="S280" s="416"/>
      <c r="T280" s="416"/>
    </row>
    <row r="281" spans="1:20" x14ac:dyDescent="0.25">
      <c r="A281" s="415"/>
      <c r="B281" s="416"/>
      <c r="C281" s="416"/>
      <c r="D281" s="416"/>
      <c r="E281" s="416"/>
      <c r="F281" s="417"/>
      <c r="G281" s="20"/>
      <c r="H281" s="20"/>
      <c r="I281" s="20"/>
      <c r="J281" s="20"/>
      <c r="K281" s="20"/>
      <c r="L281" s="21"/>
      <c r="M281" s="22"/>
      <c r="N281" s="23"/>
      <c r="O281" s="24"/>
      <c r="P281" s="19"/>
      <c r="Q281" s="19"/>
      <c r="R281" s="416"/>
      <c r="S281" s="416"/>
      <c r="T281" s="416"/>
    </row>
    <row r="282" spans="1:20" x14ac:dyDescent="0.25">
      <c r="A282" s="415"/>
      <c r="B282" s="416"/>
      <c r="C282" s="416"/>
      <c r="D282" s="416"/>
      <c r="E282" s="416"/>
      <c r="F282" s="417"/>
      <c r="G282" s="20"/>
      <c r="H282" s="20"/>
      <c r="I282" s="20"/>
      <c r="J282" s="20"/>
      <c r="K282" s="20"/>
      <c r="L282" s="21"/>
      <c r="M282" s="22"/>
      <c r="N282" s="23"/>
      <c r="O282" s="24"/>
      <c r="P282" s="19"/>
      <c r="Q282" s="19"/>
      <c r="R282" s="416"/>
      <c r="S282" s="416"/>
      <c r="T282" s="416"/>
    </row>
    <row r="283" spans="1:20" x14ac:dyDescent="0.25">
      <c r="A283" s="415"/>
      <c r="B283" s="416"/>
      <c r="C283" s="416"/>
      <c r="D283" s="416"/>
      <c r="E283" s="416"/>
      <c r="F283" s="417"/>
      <c r="G283" s="20"/>
      <c r="H283" s="20"/>
      <c r="I283" s="20"/>
      <c r="J283" s="20"/>
      <c r="K283" s="20"/>
      <c r="L283" s="21"/>
      <c r="M283" s="22"/>
      <c r="N283" s="23"/>
      <c r="O283" s="24"/>
      <c r="P283" s="19"/>
      <c r="Q283" s="19"/>
      <c r="R283" s="416"/>
      <c r="S283" s="416"/>
      <c r="T283" s="416"/>
    </row>
    <row r="284" spans="1:20" x14ac:dyDescent="0.25">
      <c r="A284" s="415"/>
      <c r="B284" s="416"/>
      <c r="C284" s="416"/>
      <c r="D284" s="416"/>
      <c r="E284" s="416"/>
      <c r="F284" s="417"/>
      <c r="G284" s="20"/>
      <c r="H284" s="20"/>
      <c r="I284" s="20"/>
      <c r="J284" s="20"/>
      <c r="K284" s="20"/>
      <c r="L284" s="21"/>
      <c r="M284" s="22"/>
      <c r="N284" s="23"/>
      <c r="O284" s="24"/>
      <c r="P284" s="19"/>
      <c r="Q284" s="19"/>
      <c r="R284" s="416"/>
      <c r="S284" s="416"/>
      <c r="T284" s="416"/>
    </row>
    <row r="285" spans="1:20" x14ac:dyDescent="0.25">
      <c r="A285" s="415"/>
      <c r="B285" s="416"/>
      <c r="C285" s="416"/>
      <c r="D285" s="416"/>
      <c r="E285" s="416"/>
      <c r="F285" s="417"/>
      <c r="G285" s="20"/>
      <c r="H285" s="20"/>
      <c r="I285" s="20"/>
      <c r="J285" s="20"/>
      <c r="K285" s="20"/>
      <c r="L285" s="21"/>
      <c r="M285" s="22"/>
      <c r="N285" s="23"/>
      <c r="O285" s="24"/>
      <c r="P285" s="19"/>
      <c r="Q285" s="19"/>
      <c r="R285" s="416"/>
      <c r="S285" s="416"/>
      <c r="T285" s="416"/>
    </row>
    <row r="286" spans="1:20" x14ac:dyDescent="0.25">
      <c r="A286" s="415"/>
      <c r="B286" s="416"/>
      <c r="C286" s="416"/>
      <c r="D286" s="416"/>
      <c r="E286" s="416"/>
      <c r="F286" s="417"/>
      <c r="G286" s="20"/>
      <c r="H286" s="20"/>
      <c r="I286" s="20"/>
      <c r="J286" s="20"/>
      <c r="K286" s="20"/>
      <c r="L286" s="21"/>
      <c r="M286" s="22"/>
      <c r="N286" s="23"/>
      <c r="O286" s="24"/>
      <c r="P286" s="19"/>
      <c r="Q286" s="19"/>
      <c r="R286" s="416"/>
      <c r="S286" s="416"/>
      <c r="T286" s="416"/>
    </row>
    <row r="287" spans="1:20" x14ac:dyDescent="0.25">
      <c r="A287" s="415"/>
      <c r="B287" s="416"/>
      <c r="C287" s="416"/>
      <c r="D287" s="416"/>
      <c r="E287" s="416"/>
      <c r="F287" s="417"/>
      <c r="G287" s="20"/>
      <c r="H287" s="20"/>
      <c r="I287" s="20"/>
      <c r="J287" s="20"/>
      <c r="K287" s="20"/>
      <c r="L287" s="21"/>
      <c r="M287" s="22"/>
      <c r="N287" s="23"/>
      <c r="O287" s="24"/>
      <c r="P287" s="19"/>
      <c r="Q287" s="19"/>
      <c r="R287" s="416"/>
      <c r="S287" s="416"/>
      <c r="T287" s="416"/>
    </row>
    <row r="288" spans="1:20" x14ac:dyDescent="0.25">
      <c r="A288" s="415"/>
      <c r="B288" s="416"/>
      <c r="C288" s="416"/>
      <c r="D288" s="416"/>
      <c r="E288" s="416"/>
      <c r="F288" s="417"/>
      <c r="G288" s="20"/>
      <c r="H288" s="20"/>
      <c r="I288" s="20"/>
      <c r="J288" s="20"/>
      <c r="K288" s="20"/>
      <c r="L288" s="21"/>
      <c r="M288" s="22"/>
      <c r="N288" s="23"/>
      <c r="O288" s="24"/>
      <c r="P288" s="19"/>
      <c r="Q288" s="19"/>
      <c r="R288" s="416"/>
      <c r="S288" s="416"/>
      <c r="T288" s="416"/>
    </row>
    <row r="289" spans="1:20" x14ac:dyDescent="0.25">
      <c r="A289" s="415"/>
      <c r="B289" s="416"/>
      <c r="C289" s="416"/>
      <c r="D289" s="416"/>
      <c r="E289" s="416"/>
      <c r="F289" s="417"/>
      <c r="G289" s="20"/>
      <c r="H289" s="20"/>
      <c r="I289" s="20"/>
      <c r="J289" s="20"/>
      <c r="K289" s="20"/>
      <c r="L289" s="21"/>
      <c r="M289" s="22"/>
      <c r="N289" s="23"/>
      <c r="O289" s="24"/>
      <c r="P289" s="19"/>
      <c r="Q289" s="19"/>
      <c r="R289" s="416"/>
      <c r="S289" s="416"/>
      <c r="T289" s="416"/>
    </row>
    <row r="290" spans="1:20" x14ac:dyDescent="0.25">
      <c r="A290" s="415"/>
      <c r="B290" s="416"/>
      <c r="C290" s="416"/>
      <c r="D290" s="416"/>
      <c r="E290" s="416"/>
      <c r="F290" s="417"/>
      <c r="G290" s="20"/>
      <c r="H290" s="20"/>
      <c r="I290" s="20"/>
      <c r="J290" s="20"/>
      <c r="K290" s="20" t="str">
        <f t="shared" ref="K290:K309" si="0">CONCATENATE(G290,L290)</f>
        <v/>
      </c>
      <c r="L290" s="21" t="str">
        <f t="shared" ref="L290:L309" si="1">IF(OR(ISBLANK(I290),ISBLANK(J290)),IF(OR(G290="ALI",G290="AIE"),"L",IF(ISBLANK(G290),"","A")),IF(G290="EE",IF(J290&gt;=3,IF(I290&gt;=5,"H","A"),IF(J290&gt;=2,IF(I290&gt;=16,"H",IF(I290&lt;=4,"L","A")),IF(I290&lt;=15,"L","A"))),IF(OR(G290="SE",G290="CE"),IF(J290&gt;=4,IF(I290&gt;=6,"H","A"),IF(J290&gt;=2,IF(I290&gt;=20,"H",IF(I290&lt;=5,"L","A")),IF(I290&lt;=19,"L","A"))),IF(OR(G290="ALI",G290="AIE"),IF(J290&gt;=6,IF(I290&gt;=20,"H","A"),IF(J290&gt;=2,IF(I290&gt;=51,"H",IF(I290&lt;=19,"L","A")),IF(I290&lt;=50,"L","A")))))))</f>
        <v/>
      </c>
      <c r="M290" s="22" t="str">
        <f t="shared" ref="M290:M309" si="2">IF(L290="L","Baixa",IF(L290="A","Média",IF(L290="","","Alta")))</f>
        <v/>
      </c>
      <c r="N290" s="23"/>
      <c r="O290" s="24" t="str">
        <f>IF(H290="I",N290*Contagem!$W$11,IF(H290="E",N290*Contagem!$W$13,IF(H290="A",N290*Contagem!$W$12,IF(H290="T",N290*Contagem!$W$14,""))))</f>
        <v/>
      </c>
      <c r="P290" s="19"/>
      <c r="Q290" s="19"/>
      <c r="R290" s="416"/>
      <c r="S290" s="416"/>
      <c r="T290" s="416"/>
    </row>
    <row r="291" spans="1:20" x14ac:dyDescent="0.25">
      <c r="A291" s="415"/>
      <c r="B291" s="416"/>
      <c r="C291" s="416"/>
      <c r="D291" s="416"/>
      <c r="E291" s="416"/>
      <c r="F291" s="417"/>
      <c r="G291" s="20"/>
      <c r="H291" s="20"/>
      <c r="I291" s="20"/>
      <c r="J291" s="20"/>
      <c r="K291" s="20" t="str">
        <f t="shared" si="0"/>
        <v/>
      </c>
      <c r="L291" s="21" t="str">
        <f t="shared" si="1"/>
        <v/>
      </c>
      <c r="M291" s="22" t="str">
        <f t="shared" si="2"/>
        <v/>
      </c>
      <c r="N291" s="23"/>
      <c r="O291" s="24" t="str">
        <f>IF(H291="I",N291*Contagem!$W$11,IF(H291="E",N291*Contagem!$W$13,IF(H291="A",N291*Contagem!$W$12,IF(H291="T",N291*Contagem!$W$14,""))))</f>
        <v/>
      </c>
      <c r="P291" s="19"/>
      <c r="Q291" s="19"/>
      <c r="R291" s="416"/>
      <c r="S291" s="416"/>
      <c r="T291" s="416"/>
    </row>
    <row r="292" spans="1:20" x14ac:dyDescent="0.25">
      <c r="A292" s="415"/>
      <c r="B292" s="416"/>
      <c r="C292" s="416"/>
      <c r="D292" s="416"/>
      <c r="E292" s="416"/>
      <c r="F292" s="417"/>
      <c r="G292" s="20"/>
      <c r="H292" s="20"/>
      <c r="I292" s="20"/>
      <c r="J292" s="20"/>
      <c r="K292" s="20"/>
      <c r="L292" s="21"/>
      <c r="M292" s="22"/>
      <c r="N292" s="23"/>
      <c r="O292" s="24"/>
      <c r="P292" s="19"/>
      <c r="Q292" s="19"/>
      <c r="R292" s="416"/>
      <c r="S292" s="416"/>
      <c r="T292" s="416"/>
    </row>
    <row r="293" spans="1:20" x14ac:dyDescent="0.25">
      <c r="A293" s="415"/>
      <c r="B293" s="416"/>
      <c r="C293" s="416"/>
      <c r="D293" s="416"/>
      <c r="E293" s="416"/>
      <c r="F293" s="417"/>
      <c r="G293" s="20"/>
      <c r="H293" s="20"/>
      <c r="I293" s="20"/>
      <c r="J293" s="20"/>
      <c r="K293" s="20" t="str">
        <f t="shared" si="0"/>
        <v/>
      </c>
      <c r="L293" s="21" t="str">
        <f t="shared" si="1"/>
        <v/>
      </c>
      <c r="M293" s="22" t="str">
        <f t="shared" si="2"/>
        <v/>
      </c>
      <c r="N293" s="23"/>
      <c r="O293" s="24" t="str">
        <f>IF(H293="I",N293*Contagem!$W$11,IF(H293="E",N293*Contagem!$W$13,IF(H293="A",N293*Contagem!$W$12,IF(H293="T",N293*Contagem!$W$14,""))))</f>
        <v/>
      </c>
      <c r="P293" s="19"/>
      <c r="Q293" s="19"/>
      <c r="R293" s="416"/>
      <c r="S293" s="416"/>
      <c r="T293" s="416"/>
    </row>
    <row r="294" spans="1:20" x14ac:dyDescent="0.25">
      <c r="A294" s="415"/>
      <c r="B294" s="416"/>
      <c r="C294" s="416"/>
      <c r="D294" s="416"/>
      <c r="E294" s="416"/>
      <c r="F294" s="417"/>
      <c r="G294" s="20"/>
      <c r="H294" s="20"/>
      <c r="I294" s="20"/>
      <c r="J294" s="20"/>
      <c r="K294" s="20" t="str">
        <f t="shared" si="0"/>
        <v/>
      </c>
      <c r="L294" s="21" t="str">
        <f t="shared" si="1"/>
        <v/>
      </c>
      <c r="M294" s="22" t="str">
        <f t="shared" si="2"/>
        <v/>
      </c>
      <c r="N294" s="23"/>
      <c r="O294" s="24" t="str">
        <f>IF(H294="I",N294*Contagem!$W$11,IF(H294="E",N294*Contagem!$W$13,IF(H294="A",N294*Contagem!$W$12,IF(H294="T",N294*Contagem!$W$14,""))))</f>
        <v/>
      </c>
      <c r="P294" s="19"/>
      <c r="Q294" s="19"/>
      <c r="R294" s="416"/>
      <c r="S294" s="416"/>
      <c r="T294" s="416"/>
    </row>
    <row r="295" spans="1:20" x14ac:dyDescent="0.25">
      <c r="A295" s="415"/>
      <c r="B295" s="416"/>
      <c r="C295" s="416"/>
      <c r="D295" s="416"/>
      <c r="E295" s="416"/>
      <c r="F295" s="417"/>
      <c r="G295" s="20"/>
      <c r="H295" s="20"/>
      <c r="I295" s="20"/>
      <c r="J295" s="20"/>
      <c r="K295" s="20" t="str">
        <f t="shared" si="0"/>
        <v/>
      </c>
      <c r="L295" s="21" t="str">
        <f t="shared" si="1"/>
        <v/>
      </c>
      <c r="M295" s="22" t="str">
        <f t="shared" si="2"/>
        <v/>
      </c>
      <c r="N295" s="23"/>
      <c r="O295" s="24" t="str">
        <f>IF(H295="I",N295*Contagem!$W$11,IF(H295="E",N295*Contagem!$W$13,IF(H295="A",N295*Contagem!$W$12,IF(H295="T",N295*Contagem!$W$14,""))))</f>
        <v/>
      </c>
      <c r="P295" s="19"/>
      <c r="Q295" s="19"/>
      <c r="R295" s="416"/>
      <c r="S295" s="416"/>
      <c r="T295" s="416"/>
    </row>
    <row r="296" spans="1:20" x14ac:dyDescent="0.25">
      <c r="A296" s="415"/>
      <c r="B296" s="416"/>
      <c r="C296" s="416"/>
      <c r="D296" s="416"/>
      <c r="E296" s="416"/>
      <c r="F296" s="417"/>
      <c r="G296" s="20"/>
      <c r="H296" s="20"/>
      <c r="I296" s="20"/>
      <c r="J296" s="20"/>
      <c r="K296" s="20" t="str">
        <f t="shared" si="0"/>
        <v/>
      </c>
      <c r="L296" s="21" t="str">
        <f t="shared" si="1"/>
        <v/>
      </c>
      <c r="M296" s="22" t="str">
        <f t="shared" si="2"/>
        <v/>
      </c>
      <c r="N296" s="23"/>
      <c r="O296" s="24" t="str">
        <f>IF(H296="I",N296*Contagem!$W$11,IF(H296="E",N296*Contagem!$W$13,IF(H296="A",N296*Contagem!$W$12,IF(H296="T",N296*Contagem!$W$14,""))))</f>
        <v/>
      </c>
      <c r="P296" s="19"/>
      <c r="Q296" s="19"/>
      <c r="R296" s="416"/>
      <c r="S296" s="416"/>
      <c r="T296" s="416"/>
    </row>
    <row r="297" spans="1:20" x14ac:dyDescent="0.25">
      <c r="A297" s="415"/>
      <c r="B297" s="416"/>
      <c r="C297" s="416"/>
      <c r="D297" s="416"/>
      <c r="E297" s="416"/>
      <c r="F297" s="417"/>
      <c r="G297" s="20"/>
      <c r="H297" s="20"/>
      <c r="I297" s="20"/>
      <c r="J297" s="20"/>
      <c r="K297" s="20" t="str">
        <f t="shared" si="0"/>
        <v/>
      </c>
      <c r="L297" s="21" t="str">
        <f t="shared" si="1"/>
        <v/>
      </c>
      <c r="M297" s="22" t="str">
        <f t="shared" si="2"/>
        <v/>
      </c>
      <c r="N297" s="23"/>
      <c r="O297" s="24" t="str">
        <f>IF(H297="I",N297*Contagem!$W$11,IF(H297="E",N297*Contagem!$W$13,IF(H297="A",N297*Contagem!$W$12,IF(H297="T",N297*Contagem!$W$14,""))))</f>
        <v/>
      </c>
      <c r="P297" s="19"/>
      <c r="Q297" s="19"/>
      <c r="R297" s="416"/>
      <c r="S297" s="416"/>
      <c r="T297" s="416"/>
    </row>
    <row r="298" spans="1:20" x14ac:dyDescent="0.25">
      <c r="A298" s="415"/>
      <c r="B298" s="416"/>
      <c r="C298" s="416"/>
      <c r="D298" s="416"/>
      <c r="E298" s="416"/>
      <c r="F298" s="417"/>
      <c r="G298" s="20"/>
      <c r="H298" s="20"/>
      <c r="I298" s="20"/>
      <c r="J298" s="20"/>
      <c r="K298" s="20" t="str">
        <f t="shared" si="0"/>
        <v/>
      </c>
      <c r="L298" s="21" t="str">
        <f t="shared" si="1"/>
        <v/>
      </c>
      <c r="M298" s="22" t="str">
        <f t="shared" si="2"/>
        <v/>
      </c>
      <c r="N298" s="23"/>
      <c r="O298" s="24" t="str">
        <f>IF(H298="I",N298*Contagem!$W$11,IF(H298="E",N298*Contagem!$W$13,IF(H298="A",N298*Contagem!$W$12,IF(H298="T",N298*Contagem!$W$14,""))))</f>
        <v/>
      </c>
      <c r="P298" s="19"/>
      <c r="Q298" s="19"/>
      <c r="R298" s="416"/>
      <c r="S298" s="416"/>
      <c r="T298" s="416"/>
    </row>
    <row r="299" spans="1:20" x14ac:dyDescent="0.25">
      <c r="A299" s="415"/>
      <c r="B299" s="416"/>
      <c r="C299" s="416"/>
      <c r="D299" s="416"/>
      <c r="E299" s="416"/>
      <c r="F299" s="417"/>
      <c r="G299" s="20"/>
      <c r="H299" s="20"/>
      <c r="I299" s="20"/>
      <c r="J299" s="20"/>
      <c r="K299" s="20" t="str">
        <f t="shared" si="0"/>
        <v/>
      </c>
      <c r="L299" s="21" t="str">
        <f t="shared" si="1"/>
        <v/>
      </c>
      <c r="M299" s="22" t="str">
        <f t="shared" si="2"/>
        <v/>
      </c>
      <c r="N299" s="23"/>
      <c r="O299" s="24" t="str">
        <f>IF(H299="I",N299*Contagem!$W$11,IF(H299="E",N299*Contagem!$W$13,IF(H299="A",N299*Contagem!$W$12,IF(H299="T",N299*Contagem!$W$14,""))))</f>
        <v/>
      </c>
      <c r="P299" s="19"/>
      <c r="Q299" s="19"/>
      <c r="R299" s="416"/>
      <c r="S299" s="416"/>
      <c r="T299" s="416"/>
    </row>
    <row r="300" spans="1:20" x14ac:dyDescent="0.25">
      <c r="A300" s="415"/>
      <c r="B300" s="416"/>
      <c r="C300" s="416"/>
      <c r="D300" s="416"/>
      <c r="E300" s="416"/>
      <c r="F300" s="417"/>
      <c r="G300" s="20"/>
      <c r="H300" s="20"/>
      <c r="I300" s="20"/>
      <c r="J300" s="20"/>
      <c r="K300" s="20" t="str">
        <f t="shared" si="0"/>
        <v/>
      </c>
      <c r="L300" s="21" t="str">
        <f t="shared" si="1"/>
        <v/>
      </c>
      <c r="M300" s="22" t="str">
        <f t="shared" si="2"/>
        <v/>
      </c>
      <c r="N300" s="23"/>
      <c r="O300" s="24" t="str">
        <f>IF(H300="I",N300*Contagem!$W$11,IF(H300="E",N300*Contagem!$W$13,IF(H300="A",N300*Contagem!$W$12,IF(H300="T",N300*Contagem!$W$14,""))))</f>
        <v/>
      </c>
      <c r="P300" s="19"/>
      <c r="Q300" s="19"/>
      <c r="R300" s="416"/>
      <c r="S300" s="416"/>
      <c r="T300" s="416"/>
    </row>
    <row r="301" spans="1:20" x14ac:dyDescent="0.25">
      <c r="A301" s="415"/>
      <c r="B301" s="416"/>
      <c r="C301" s="416"/>
      <c r="D301" s="416"/>
      <c r="E301" s="416"/>
      <c r="F301" s="417"/>
      <c r="G301" s="20"/>
      <c r="H301" s="20"/>
      <c r="I301" s="20"/>
      <c r="J301" s="20"/>
      <c r="K301" s="20" t="str">
        <f t="shared" si="0"/>
        <v/>
      </c>
      <c r="L301" s="21" t="str">
        <f t="shared" si="1"/>
        <v/>
      </c>
      <c r="M301" s="22" t="str">
        <f t="shared" si="2"/>
        <v/>
      </c>
      <c r="N301" s="23"/>
      <c r="O301" s="24" t="str">
        <f>IF(H301="I",N301*Contagem!$W$11,IF(H301="E",N301*Contagem!$W$13,IF(H301="A",N301*Contagem!$W$12,IF(H301="T",N301*Contagem!$W$14,""))))</f>
        <v/>
      </c>
      <c r="P301" s="19"/>
      <c r="Q301" s="19"/>
      <c r="R301" s="416"/>
      <c r="S301" s="416"/>
      <c r="T301" s="416"/>
    </row>
    <row r="302" spans="1:20" x14ac:dyDescent="0.25">
      <c r="A302" s="415"/>
      <c r="B302" s="416"/>
      <c r="C302" s="416"/>
      <c r="D302" s="416"/>
      <c r="E302" s="416"/>
      <c r="F302" s="417"/>
      <c r="G302" s="20"/>
      <c r="H302" s="20"/>
      <c r="I302" s="20"/>
      <c r="J302" s="20"/>
      <c r="K302" s="20" t="str">
        <f t="shared" si="0"/>
        <v/>
      </c>
      <c r="L302" s="21" t="str">
        <f t="shared" si="1"/>
        <v/>
      </c>
      <c r="M302" s="22" t="str">
        <f t="shared" si="2"/>
        <v/>
      </c>
      <c r="N302" s="23"/>
      <c r="O302" s="24" t="str">
        <f>IF(H302="I",N302*Contagem!$W$11,IF(H302="E",N302*Contagem!$W$13,IF(H302="A",N302*Contagem!$W$12,IF(H302="T",N302*Contagem!$W$14,""))))</f>
        <v/>
      </c>
      <c r="P302" s="19"/>
      <c r="Q302" s="19"/>
      <c r="R302" s="416"/>
      <c r="S302" s="416"/>
      <c r="T302" s="416"/>
    </row>
    <row r="303" spans="1:20" x14ac:dyDescent="0.25">
      <c r="A303" s="415"/>
      <c r="B303" s="416"/>
      <c r="C303" s="416"/>
      <c r="D303" s="416"/>
      <c r="E303" s="416"/>
      <c r="F303" s="417"/>
      <c r="G303" s="20"/>
      <c r="H303" s="20"/>
      <c r="I303" s="20"/>
      <c r="J303" s="20"/>
      <c r="K303" s="20" t="str">
        <f t="shared" si="0"/>
        <v/>
      </c>
      <c r="L303" s="21" t="str">
        <f t="shared" si="1"/>
        <v/>
      </c>
      <c r="M303" s="22" t="str">
        <f t="shared" si="2"/>
        <v/>
      </c>
      <c r="N303" s="23"/>
      <c r="O303" s="24" t="str">
        <f>IF(H303="I",N303*Contagem!$W$11,IF(H303="E",N303*Contagem!$W$13,IF(H303="A",N303*Contagem!$W$12,IF(H303="T",N303*Contagem!$W$14,""))))</f>
        <v/>
      </c>
      <c r="P303" s="19"/>
      <c r="Q303" s="19"/>
      <c r="R303" s="416"/>
      <c r="S303" s="416"/>
      <c r="T303" s="416"/>
    </row>
    <row r="304" spans="1:20" x14ac:dyDescent="0.25">
      <c r="A304" s="415"/>
      <c r="B304" s="416"/>
      <c r="C304" s="416"/>
      <c r="D304" s="416"/>
      <c r="E304" s="416"/>
      <c r="F304" s="417"/>
      <c r="G304" s="20"/>
      <c r="H304" s="20"/>
      <c r="I304" s="20"/>
      <c r="J304" s="20"/>
      <c r="K304" s="20" t="str">
        <f t="shared" si="0"/>
        <v/>
      </c>
      <c r="L304" s="21" t="str">
        <f t="shared" si="1"/>
        <v/>
      </c>
      <c r="M304" s="22" t="str">
        <f t="shared" si="2"/>
        <v/>
      </c>
      <c r="N304" s="23"/>
      <c r="O304" s="24" t="str">
        <f>IF(H304="I",N304*Contagem!$W$11,IF(H304="E",N304*Contagem!$W$13,IF(H304="A",N304*Contagem!$W$12,IF(H304="T",N304*Contagem!$W$14,""))))</f>
        <v/>
      </c>
      <c r="P304" s="19"/>
      <c r="Q304" s="19"/>
      <c r="R304" s="416"/>
      <c r="S304" s="416"/>
      <c r="T304" s="416"/>
    </row>
    <row r="305" spans="1:20" x14ac:dyDescent="0.25">
      <c r="A305" s="415"/>
      <c r="B305" s="416"/>
      <c r="C305" s="416"/>
      <c r="D305" s="416"/>
      <c r="E305" s="416"/>
      <c r="F305" s="417"/>
      <c r="G305" s="20"/>
      <c r="H305" s="20"/>
      <c r="I305" s="20"/>
      <c r="J305" s="20"/>
      <c r="K305" s="20" t="str">
        <f t="shared" si="0"/>
        <v/>
      </c>
      <c r="L305" s="21" t="str">
        <f t="shared" si="1"/>
        <v/>
      </c>
      <c r="M305" s="22" t="str">
        <f t="shared" si="2"/>
        <v/>
      </c>
      <c r="N305" s="23"/>
      <c r="O305" s="24" t="str">
        <f>IF(H305="I",N305*Contagem!$W$11,IF(H305="E",N305*Contagem!$W$13,IF(H305="A",N305*Contagem!$W$12,IF(H305="T",N305*Contagem!$W$14,""))))</f>
        <v/>
      </c>
      <c r="P305" s="19"/>
      <c r="Q305" s="19"/>
      <c r="R305" s="416"/>
      <c r="S305" s="416"/>
      <c r="T305" s="416"/>
    </row>
    <row r="306" spans="1:20" x14ac:dyDescent="0.25">
      <c r="A306" s="415"/>
      <c r="B306" s="416"/>
      <c r="C306" s="416"/>
      <c r="D306" s="416"/>
      <c r="E306" s="416"/>
      <c r="F306" s="417"/>
      <c r="G306" s="20"/>
      <c r="H306" s="20"/>
      <c r="I306" s="20"/>
      <c r="J306" s="20"/>
      <c r="K306" s="20" t="str">
        <f t="shared" si="0"/>
        <v/>
      </c>
      <c r="L306" s="21" t="str">
        <f t="shared" si="1"/>
        <v/>
      </c>
      <c r="M306" s="22" t="str">
        <f t="shared" si="2"/>
        <v/>
      </c>
      <c r="N306" s="23"/>
      <c r="O306" s="24" t="str">
        <f>IF(H306="I",N306*Contagem!$W$11,IF(H306="E",N306*Contagem!$W$13,IF(H306="A",N306*Contagem!$W$12,IF(H306="T",N306*Contagem!$W$14,""))))</f>
        <v/>
      </c>
      <c r="P306" s="19"/>
      <c r="Q306" s="19"/>
      <c r="R306" s="416"/>
      <c r="S306" s="416"/>
      <c r="T306" s="416"/>
    </row>
    <row r="307" spans="1:20" x14ac:dyDescent="0.25">
      <c r="A307" s="415"/>
      <c r="B307" s="416"/>
      <c r="C307" s="416"/>
      <c r="D307" s="416"/>
      <c r="E307" s="416"/>
      <c r="F307" s="417"/>
      <c r="G307" s="20"/>
      <c r="H307" s="20"/>
      <c r="I307" s="20"/>
      <c r="J307" s="20"/>
      <c r="K307" s="20" t="str">
        <f t="shared" si="0"/>
        <v/>
      </c>
      <c r="L307" s="21" t="str">
        <f t="shared" si="1"/>
        <v/>
      </c>
      <c r="M307" s="22" t="str">
        <f t="shared" si="2"/>
        <v/>
      </c>
      <c r="N307" s="23"/>
      <c r="O307" s="24" t="str">
        <f>IF(H307="I",N307*Contagem!$W$11,IF(H307="E",N307*Contagem!$W$13,IF(H307="A",N307*Contagem!$W$12,IF(H307="T",N307*Contagem!$W$14,""))))</f>
        <v/>
      </c>
      <c r="P307" s="19"/>
      <c r="Q307" s="19"/>
      <c r="R307" s="416"/>
      <c r="S307" s="416"/>
      <c r="T307" s="416"/>
    </row>
    <row r="308" spans="1:20" x14ac:dyDescent="0.25">
      <c r="A308" s="415"/>
      <c r="B308" s="416"/>
      <c r="C308" s="416"/>
      <c r="D308" s="416"/>
      <c r="E308" s="416"/>
      <c r="F308" s="417"/>
      <c r="G308" s="20"/>
      <c r="H308" s="20"/>
      <c r="I308" s="20"/>
      <c r="J308" s="20"/>
      <c r="K308" s="20" t="str">
        <f t="shared" si="0"/>
        <v/>
      </c>
      <c r="L308" s="21" t="str">
        <f t="shared" si="1"/>
        <v/>
      </c>
      <c r="M308" s="22" t="str">
        <f t="shared" si="2"/>
        <v/>
      </c>
      <c r="N308" s="23"/>
      <c r="O308" s="24" t="str">
        <f>IF(H308="I",N308*Contagem!$W$11,IF(H308="E",N308*Contagem!$W$13,IF(H308="A",N308*Contagem!$W$12,IF(H308="T",N308*Contagem!$W$14,""))))</f>
        <v/>
      </c>
      <c r="P308" s="19"/>
      <c r="Q308" s="19"/>
      <c r="R308" s="416"/>
      <c r="S308" s="416"/>
      <c r="T308" s="416"/>
    </row>
    <row r="309" spans="1:20" x14ac:dyDescent="0.25">
      <c r="A309" s="415"/>
      <c r="B309" s="416"/>
      <c r="C309" s="416"/>
      <c r="D309" s="416"/>
      <c r="E309" s="416"/>
      <c r="F309" s="417"/>
      <c r="G309" s="20"/>
      <c r="H309" s="20"/>
      <c r="I309" s="20"/>
      <c r="J309" s="20"/>
      <c r="K309" s="20" t="str">
        <f t="shared" si="0"/>
        <v/>
      </c>
      <c r="L309" s="21" t="str">
        <f t="shared" si="1"/>
        <v/>
      </c>
      <c r="M309" s="22" t="str">
        <f t="shared" si="2"/>
        <v/>
      </c>
      <c r="N309" s="23"/>
      <c r="O309" s="24" t="str">
        <f>IF(H309="I",N309*Contagem!$W$11,IF(H309="E",N309*Contagem!$W$13,IF(H309="A",N309*Contagem!$W$12,IF(H309="T",N309*Contagem!$W$14,""))))</f>
        <v/>
      </c>
      <c r="P309" s="19"/>
      <c r="Q309" s="19"/>
      <c r="R309" s="416"/>
      <c r="S309" s="416"/>
      <c r="T309" s="416"/>
    </row>
    <row r="310" spans="1:20" x14ac:dyDescent="0.25">
      <c r="A310" s="415"/>
      <c r="B310" s="416"/>
      <c r="C310" s="416"/>
      <c r="D310" s="416"/>
      <c r="E310" s="416"/>
      <c r="F310" s="417"/>
      <c r="G310" s="20"/>
      <c r="H310" s="20"/>
      <c r="I310" s="20"/>
      <c r="J310" s="20"/>
      <c r="K310" s="20" t="str">
        <f t="shared" ref="K310:K373" si="3">CONCATENATE(G310,L310)</f>
        <v/>
      </c>
      <c r="L310" s="21" t="str">
        <f t="shared" ref="L310:L373" si="4">IF(OR(ISBLANK(I310),ISBLANK(J310)),IF(OR(G310="ALI",G310="AIE"),"L",IF(ISBLANK(G310),"","A")),IF(G310="EE",IF(J310&gt;=3,IF(I310&gt;=5,"H","A"),IF(J310&gt;=2,IF(I310&gt;=16,"H",IF(I310&lt;=4,"L","A")),IF(I310&lt;=15,"L","A"))),IF(OR(G310="SE",G310="CE"),IF(J310&gt;=4,IF(I310&gt;=6,"H","A"),IF(J310&gt;=2,IF(I310&gt;=20,"H",IF(I310&lt;=5,"L","A")),IF(I310&lt;=19,"L","A"))),IF(OR(G310="ALI",G310="AIE"),IF(J310&gt;=6,IF(I310&gt;=20,"H","A"),IF(J310&gt;=2,IF(I310&gt;=51,"H",IF(I310&lt;=19,"L","A")),IF(I310&lt;=50,"L","A")))))))</f>
        <v/>
      </c>
      <c r="M310" s="22" t="str">
        <f t="shared" ref="M310:M373" si="5">IF(L310="L","Baixa",IF(L310="A","Média",IF(L310="","","Alta")))</f>
        <v/>
      </c>
      <c r="N310" s="23"/>
      <c r="O310" s="24" t="str">
        <f>IF(H310="I",N310*Contagem!$W$11,IF(H310="E",N310*Contagem!$W$13,IF(H310="A",N310*Contagem!$W$12,IF(H310="T",N310*Contagem!$W$14,""))))</f>
        <v/>
      </c>
      <c r="P310" s="19"/>
      <c r="Q310" s="19"/>
      <c r="R310" s="416"/>
      <c r="S310" s="416"/>
      <c r="T310" s="416"/>
    </row>
    <row r="311" spans="1:20" x14ac:dyDescent="0.25">
      <c r="A311" s="415"/>
      <c r="B311" s="416"/>
      <c r="C311" s="416"/>
      <c r="D311" s="416"/>
      <c r="E311" s="416"/>
      <c r="F311" s="417"/>
      <c r="G311" s="20"/>
      <c r="H311" s="20"/>
      <c r="I311" s="20"/>
      <c r="J311" s="20"/>
      <c r="K311" s="20" t="str">
        <f t="shared" si="3"/>
        <v/>
      </c>
      <c r="L311" s="21" t="str">
        <f t="shared" si="4"/>
        <v/>
      </c>
      <c r="M311" s="22" t="str">
        <f t="shared" si="5"/>
        <v/>
      </c>
      <c r="N311" s="23"/>
      <c r="O311" s="24" t="str">
        <f>IF(H311="I",N311*Contagem!$W$11,IF(H311="E",N311*Contagem!$W$13,IF(H311="A",N311*Contagem!$W$12,IF(H311="T",N311*Contagem!$W$14,""))))</f>
        <v/>
      </c>
      <c r="P311" s="19"/>
      <c r="Q311" s="19"/>
      <c r="R311" s="416"/>
      <c r="S311" s="416"/>
      <c r="T311" s="416"/>
    </row>
    <row r="312" spans="1:20" x14ac:dyDescent="0.25">
      <c r="A312" s="415"/>
      <c r="B312" s="416"/>
      <c r="C312" s="416"/>
      <c r="D312" s="416"/>
      <c r="E312" s="416"/>
      <c r="F312" s="417"/>
      <c r="G312" s="20"/>
      <c r="H312" s="20"/>
      <c r="I312" s="20"/>
      <c r="J312" s="20"/>
      <c r="K312" s="20" t="str">
        <f t="shared" si="3"/>
        <v/>
      </c>
      <c r="L312" s="21" t="str">
        <f t="shared" si="4"/>
        <v/>
      </c>
      <c r="M312" s="22" t="str">
        <f t="shared" si="5"/>
        <v/>
      </c>
      <c r="N312" s="23"/>
      <c r="O312" s="24" t="str">
        <f>IF(H312="I",N312*Contagem!$W$11,IF(H312="E",N312*Contagem!$W$13,IF(H312="A",N312*Contagem!$W$12,IF(H312="T",N312*Contagem!$W$14,""))))</f>
        <v/>
      </c>
      <c r="P312" s="19"/>
      <c r="Q312" s="19"/>
      <c r="R312" s="416"/>
      <c r="S312" s="416"/>
      <c r="T312" s="416"/>
    </row>
    <row r="313" spans="1:20" x14ac:dyDescent="0.25">
      <c r="A313" s="415"/>
      <c r="B313" s="416"/>
      <c r="C313" s="416"/>
      <c r="D313" s="416"/>
      <c r="E313" s="416"/>
      <c r="F313" s="417"/>
      <c r="G313" s="20"/>
      <c r="H313" s="20"/>
      <c r="I313" s="20"/>
      <c r="J313" s="20"/>
      <c r="K313" s="20" t="str">
        <f t="shared" si="3"/>
        <v/>
      </c>
      <c r="L313" s="21" t="str">
        <f t="shared" si="4"/>
        <v/>
      </c>
      <c r="M313" s="22" t="str">
        <f t="shared" si="5"/>
        <v/>
      </c>
      <c r="N313" s="23"/>
      <c r="O313" s="24" t="str">
        <f>IF(H313="I",N313*Contagem!$W$11,IF(H313="E",N313*Contagem!$W$13,IF(H313="A",N313*Contagem!$W$12,IF(H313="T",N313*Contagem!$W$14,""))))</f>
        <v/>
      </c>
      <c r="P313" s="19"/>
      <c r="Q313" s="19"/>
      <c r="R313" s="416"/>
      <c r="S313" s="416"/>
      <c r="T313" s="416"/>
    </row>
    <row r="314" spans="1:20" x14ac:dyDescent="0.25">
      <c r="A314" s="415"/>
      <c r="B314" s="416"/>
      <c r="C314" s="416"/>
      <c r="D314" s="416"/>
      <c r="E314" s="416"/>
      <c r="F314" s="417"/>
      <c r="G314" s="20"/>
      <c r="H314" s="20"/>
      <c r="I314" s="20"/>
      <c r="J314" s="20"/>
      <c r="K314" s="20" t="str">
        <f t="shared" si="3"/>
        <v/>
      </c>
      <c r="L314" s="21" t="str">
        <f t="shared" si="4"/>
        <v/>
      </c>
      <c r="M314" s="22" t="str">
        <f t="shared" si="5"/>
        <v/>
      </c>
      <c r="N314" s="23"/>
      <c r="O314" s="24" t="str">
        <f>IF(H314="I",N314*Contagem!$W$11,IF(H314="E",N314*Contagem!$W$13,IF(H314="A",N314*Contagem!$W$12,IF(H314="T",N314*Contagem!$W$14,""))))</f>
        <v/>
      </c>
      <c r="P314" s="19"/>
      <c r="Q314" s="19"/>
      <c r="R314" s="416"/>
      <c r="S314" s="416"/>
      <c r="T314" s="416"/>
    </row>
    <row r="315" spans="1:20" x14ac:dyDescent="0.25">
      <c r="A315" s="415"/>
      <c r="B315" s="416"/>
      <c r="C315" s="416"/>
      <c r="D315" s="416"/>
      <c r="E315" s="416"/>
      <c r="F315" s="417"/>
      <c r="G315" s="20"/>
      <c r="H315" s="20"/>
      <c r="I315" s="20"/>
      <c r="J315" s="20"/>
      <c r="K315" s="20" t="str">
        <f t="shared" si="3"/>
        <v/>
      </c>
      <c r="L315" s="21" t="str">
        <f t="shared" si="4"/>
        <v/>
      </c>
      <c r="M315" s="22" t="str">
        <f t="shared" si="5"/>
        <v/>
      </c>
      <c r="N315" s="23"/>
      <c r="O315" s="24" t="str">
        <f>IF(H315="I",N315*Contagem!$W$11,IF(H315="E",N315*Contagem!$W$13,IF(H315="A",N315*Contagem!$W$12,IF(H315="T",N315*Contagem!$W$14,""))))</f>
        <v/>
      </c>
      <c r="P315" s="19"/>
      <c r="Q315" s="19"/>
      <c r="R315" s="416"/>
      <c r="S315" s="416"/>
      <c r="T315" s="416"/>
    </row>
    <row r="316" spans="1:20" x14ac:dyDescent="0.25">
      <c r="A316" s="415"/>
      <c r="B316" s="416"/>
      <c r="C316" s="416"/>
      <c r="D316" s="416"/>
      <c r="E316" s="416"/>
      <c r="F316" s="417"/>
      <c r="G316" s="20"/>
      <c r="H316" s="20"/>
      <c r="I316" s="20"/>
      <c r="J316" s="20"/>
      <c r="K316" s="20" t="str">
        <f t="shared" si="3"/>
        <v/>
      </c>
      <c r="L316" s="21" t="str">
        <f t="shared" si="4"/>
        <v/>
      </c>
      <c r="M316" s="22" t="str">
        <f t="shared" si="5"/>
        <v/>
      </c>
      <c r="N316" s="23"/>
      <c r="O316" s="24" t="str">
        <f>IF(H316="I",N316*Contagem!$W$11,IF(H316="E",N316*Contagem!$W$13,IF(H316="A",N316*Contagem!$W$12,IF(H316="T",N316*Contagem!$W$14,""))))</f>
        <v/>
      </c>
      <c r="P316" s="19"/>
      <c r="Q316" s="19"/>
      <c r="R316" s="416"/>
      <c r="S316" s="416"/>
      <c r="T316" s="416"/>
    </row>
    <row r="317" spans="1:20" x14ac:dyDescent="0.25">
      <c r="A317" s="415"/>
      <c r="B317" s="416"/>
      <c r="C317" s="416"/>
      <c r="D317" s="416"/>
      <c r="E317" s="416"/>
      <c r="F317" s="417"/>
      <c r="G317" s="20"/>
      <c r="H317" s="20"/>
      <c r="I317" s="20"/>
      <c r="J317" s="20"/>
      <c r="K317" s="20" t="str">
        <f t="shared" si="3"/>
        <v/>
      </c>
      <c r="L317" s="21" t="str">
        <f t="shared" si="4"/>
        <v/>
      </c>
      <c r="M317" s="22" t="str">
        <f t="shared" si="5"/>
        <v/>
      </c>
      <c r="N317" s="23"/>
      <c r="O317" s="24" t="str">
        <f>IF(H317="I",N317*Contagem!$W$11,IF(H317="E",N317*Contagem!$W$13,IF(H317="A",N317*Contagem!$W$12,IF(H317="T",N317*Contagem!$W$14,""))))</f>
        <v/>
      </c>
      <c r="P317" s="19"/>
      <c r="Q317" s="19"/>
      <c r="R317" s="416"/>
      <c r="S317" s="416"/>
      <c r="T317" s="416"/>
    </row>
    <row r="318" spans="1:20" x14ac:dyDescent="0.25">
      <c r="A318" s="415"/>
      <c r="B318" s="416"/>
      <c r="C318" s="416"/>
      <c r="D318" s="416"/>
      <c r="E318" s="416"/>
      <c r="F318" s="417"/>
      <c r="G318" s="20"/>
      <c r="H318" s="20"/>
      <c r="I318" s="20"/>
      <c r="J318" s="20"/>
      <c r="K318" s="20" t="str">
        <f t="shared" si="3"/>
        <v/>
      </c>
      <c r="L318" s="21" t="str">
        <f t="shared" si="4"/>
        <v/>
      </c>
      <c r="M318" s="22" t="str">
        <f t="shared" si="5"/>
        <v/>
      </c>
      <c r="N318" s="23"/>
      <c r="O318" s="24" t="str">
        <f>IF(H318="I",N318*Contagem!$W$11,IF(H318="E",N318*Contagem!$W$13,IF(H318="A",N318*Contagem!$W$12,IF(H318="T",N318*Contagem!$W$14,""))))</f>
        <v/>
      </c>
      <c r="P318" s="19"/>
      <c r="Q318" s="19"/>
      <c r="R318" s="416"/>
      <c r="S318" s="416"/>
      <c r="T318" s="416"/>
    </row>
    <row r="319" spans="1:20" x14ac:dyDescent="0.25">
      <c r="A319" s="415"/>
      <c r="B319" s="416"/>
      <c r="C319" s="416"/>
      <c r="D319" s="416"/>
      <c r="E319" s="416"/>
      <c r="F319" s="417"/>
      <c r="G319" s="20"/>
      <c r="H319" s="20"/>
      <c r="I319" s="20"/>
      <c r="J319" s="20"/>
      <c r="K319" s="20" t="str">
        <f t="shared" si="3"/>
        <v/>
      </c>
      <c r="L319" s="21" t="str">
        <f t="shared" si="4"/>
        <v/>
      </c>
      <c r="M319" s="22" t="str">
        <f t="shared" si="5"/>
        <v/>
      </c>
      <c r="N319" s="23"/>
      <c r="O319" s="24" t="str">
        <f>IF(H319="I",N319*Contagem!$W$11,IF(H319="E",N319*Contagem!$W$13,IF(H319="A",N319*Contagem!$W$12,IF(H319="T",N319*Contagem!$W$14,""))))</f>
        <v/>
      </c>
      <c r="P319" s="19"/>
      <c r="Q319" s="19"/>
      <c r="R319" s="416"/>
      <c r="S319" s="416"/>
      <c r="T319" s="416"/>
    </row>
    <row r="320" spans="1:20" x14ac:dyDescent="0.25">
      <c r="A320" s="415"/>
      <c r="B320" s="416"/>
      <c r="C320" s="416"/>
      <c r="D320" s="416"/>
      <c r="E320" s="416"/>
      <c r="F320" s="417"/>
      <c r="G320" s="20"/>
      <c r="H320" s="20"/>
      <c r="I320" s="20"/>
      <c r="J320" s="20"/>
      <c r="K320" s="20" t="str">
        <f t="shared" si="3"/>
        <v/>
      </c>
      <c r="L320" s="21" t="str">
        <f t="shared" si="4"/>
        <v/>
      </c>
      <c r="M320" s="22" t="str">
        <f t="shared" si="5"/>
        <v/>
      </c>
      <c r="N320" s="23"/>
      <c r="O320" s="24" t="str">
        <f>IF(H320="I",N320*Contagem!$W$11,IF(H320="E",N320*Contagem!$W$13,IF(H320="A",N320*Contagem!$W$12,IF(H320="T",N320*Contagem!$W$14,""))))</f>
        <v/>
      </c>
      <c r="P320" s="19"/>
      <c r="Q320" s="19"/>
      <c r="R320" s="416"/>
      <c r="S320" s="416"/>
      <c r="T320" s="416"/>
    </row>
    <row r="321" spans="1:20" x14ac:dyDescent="0.25">
      <c r="A321" s="415"/>
      <c r="B321" s="416"/>
      <c r="C321" s="416"/>
      <c r="D321" s="416"/>
      <c r="E321" s="416"/>
      <c r="F321" s="417"/>
      <c r="G321" s="20"/>
      <c r="H321" s="20"/>
      <c r="I321" s="20"/>
      <c r="J321" s="20"/>
      <c r="K321" s="20" t="str">
        <f t="shared" si="3"/>
        <v/>
      </c>
      <c r="L321" s="21" t="str">
        <f t="shared" si="4"/>
        <v/>
      </c>
      <c r="M321" s="22" t="str">
        <f t="shared" si="5"/>
        <v/>
      </c>
      <c r="N321" s="23"/>
      <c r="O321" s="24" t="str">
        <f>IF(H321="I",N321*Contagem!$W$11,IF(H321="E",N321*Contagem!$W$13,IF(H321="A",N321*Contagem!$W$12,IF(H321="T",N321*Contagem!$W$14,""))))</f>
        <v/>
      </c>
      <c r="P321" s="19"/>
      <c r="Q321" s="19"/>
      <c r="R321" s="416"/>
      <c r="S321" s="416"/>
      <c r="T321" s="416"/>
    </row>
    <row r="322" spans="1:20" x14ac:dyDescent="0.25">
      <c r="A322" s="415"/>
      <c r="B322" s="416"/>
      <c r="C322" s="416"/>
      <c r="D322" s="416"/>
      <c r="E322" s="416"/>
      <c r="F322" s="417"/>
      <c r="G322" s="20"/>
      <c r="H322" s="20"/>
      <c r="I322" s="20"/>
      <c r="J322" s="20"/>
      <c r="K322" s="20" t="str">
        <f t="shared" si="3"/>
        <v/>
      </c>
      <c r="L322" s="21" t="str">
        <f t="shared" si="4"/>
        <v/>
      </c>
      <c r="M322" s="22" t="str">
        <f t="shared" si="5"/>
        <v/>
      </c>
      <c r="N322" s="23"/>
      <c r="O322" s="24" t="str">
        <f>IF(H322="I",N322*Contagem!$W$11,IF(H322="E",N322*Contagem!$W$13,IF(H322="A",N322*Contagem!$W$12,IF(H322="T",N322*Contagem!$W$14,""))))</f>
        <v/>
      </c>
      <c r="P322" s="19"/>
      <c r="Q322" s="19"/>
      <c r="R322" s="416"/>
      <c r="S322" s="416"/>
      <c r="T322" s="416"/>
    </row>
    <row r="323" spans="1:20" x14ac:dyDescent="0.25">
      <c r="A323" s="415"/>
      <c r="B323" s="416"/>
      <c r="C323" s="416"/>
      <c r="D323" s="416"/>
      <c r="E323" s="416"/>
      <c r="F323" s="417"/>
      <c r="G323" s="20"/>
      <c r="H323" s="20"/>
      <c r="I323" s="20"/>
      <c r="J323" s="20"/>
      <c r="K323" s="20" t="str">
        <f t="shared" si="3"/>
        <v/>
      </c>
      <c r="L323" s="21" t="str">
        <f t="shared" si="4"/>
        <v/>
      </c>
      <c r="M323" s="22" t="str">
        <f t="shared" si="5"/>
        <v/>
      </c>
      <c r="N323" s="23"/>
      <c r="O323" s="24" t="str">
        <f>IF(H323="I",N323*Contagem!$W$11,IF(H323="E",N323*Contagem!$W$13,IF(H323="A",N323*Contagem!$W$12,IF(H323="T",N323*Contagem!$W$14,""))))</f>
        <v/>
      </c>
      <c r="P323" s="19"/>
      <c r="Q323" s="19"/>
      <c r="R323" s="416"/>
      <c r="S323" s="416"/>
      <c r="T323" s="416"/>
    </row>
    <row r="324" spans="1:20" x14ac:dyDescent="0.25">
      <c r="A324" s="415"/>
      <c r="B324" s="416"/>
      <c r="C324" s="416"/>
      <c r="D324" s="416"/>
      <c r="E324" s="416"/>
      <c r="F324" s="417"/>
      <c r="G324" s="20"/>
      <c r="H324" s="20"/>
      <c r="I324" s="20"/>
      <c r="J324" s="20"/>
      <c r="K324" s="20" t="str">
        <f t="shared" si="3"/>
        <v/>
      </c>
      <c r="L324" s="21" t="str">
        <f t="shared" si="4"/>
        <v/>
      </c>
      <c r="M324" s="22" t="str">
        <f t="shared" si="5"/>
        <v/>
      </c>
      <c r="N324" s="23"/>
      <c r="O324" s="24" t="str">
        <f>IF(H324="I",N324*Contagem!$W$11,IF(H324="E",N324*Contagem!$W$13,IF(H324="A",N324*Contagem!$W$12,IF(H324="T",N324*Contagem!$W$14,""))))</f>
        <v/>
      </c>
      <c r="P324" s="19"/>
      <c r="Q324" s="19"/>
      <c r="R324" s="416"/>
      <c r="S324" s="416"/>
      <c r="T324" s="416"/>
    </row>
    <row r="325" spans="1:20" x14ac:dyDescent="0.25">
      <c r="A325" s="415"/>
      <c r="B325" s="416"/>
      <c r="C325" s="416"/>
      <c r="D325" s="416"/>
      <c r="E325" s="416"/>
      <c r="F325" s="417"/>
      <c r="G325" s="20"/>
      <c r="H325" s="20"/>
      <c r="I325" s="20"/>
      <c r="J325" s="20"/>
      <c r="K325" s="20" t="str">
        <f t="shared" si="3"/>
        <v/>
      </c>
      <c r="L325" s="21" t="str">
        <f t="shared" si="4"/>
        <v/>
      </c>
      <c r="M325" s="22" t="str">
        <f t="shared" si="5"/>
        <v/>
      </c>
      <c r="N325" s="23"/>
      <c r="O325" s="24" t="str">
        <f>IF(H325="I",N325*Contagem!$W$11,IF(H325="E",N325*Contagem!$W$13,IF(H325="A",N325*Contagem!$W$12,IF(H325="T",N325*Contagem!$W$14,""))))</f>
        <v/>
      </c>
      <c r="P325" s="19"/>
      <c r="Q325" s="19"/>
      <c r="R325" s="416"/>
      <c r="S325" s="416"/>
      <c r="T325" s="416"/>
    </row>
    <row r="326" spans="1:20" x14ac:dyDescent="0.25">
      <c r="A326" s="415"/>
      <c r="B326" s="416"/>
      <c r="C326" s="416"/>
      <c r="D326" s="416"/>
      <c r="E326" s="416"/>
      <c r="F326" s="417"/>
      <c r="G326" s="20"/>
      <c r="H326" s="20"/>
      <c r="I326" s="20"/>
      <c r="J326" s="20"/>
      <c r="K326" s="20" t="str">
        <f t="shared" si="3"/>
        <v/>
      </c>
      <c r="L326" s="21" t="str">
        <f t="shared" si="4"/>
        <v/>
      </c>
      <c r="M326" s="22" t="str">
        <f t="shared" si="5"/>
        <v/>
      </c>
      <c r="N326" s="23"/>
      <c r="O326" s="24" t="str">
        <f>IF(H326="I",N326*Contagem!$W$11,IF(H326="E",N326*Contagem!$W$13,IF(H326="A",N326*Contagem!$W$12,IF(H326="T",N326*Contagem!$W$14,""))))</f>
        <v/>
      </c>
      <c r="P326" s="19"/>
      <c r="Q326" s="19"/>
      <c r="R326" s="416"/>
      <c r="S326" s="416"/>
      <c r="T326" s="416"/>
    </row>
    <row r="327" spans="1:20" x14ac:dyDescent="0.25">
      <c r="A327" s="415"/>
      <c r="B327" s="416"/>
      <c r="C327" s="416"/>
      <c r="D327" s="416"/>
      <c r="E327" s="416"/>
      <c r="F327" s="417"/>
      <c r="G327" s="20"/>
      <c r="H327" s="20"/>
      <c r="I327" s="20"/>
      <c r="J327" s="20"/>
      <c r="K327" s="20" t="str">
        <f t="shared" si="3"/>
        <v/>
      </c>
      <c r="L327" s="21" t="str">
        <f t="shared" si="4"/>
        <v/>
      </c>
      <c r="M327" s="22" t="str">
        <f t="shared" si="5"/>
        <v/>
      </c>
      <c r="N327" s="23"/>
      <c r="O327" s="24" t="str">
        <f>IF(H327="I",N327*Contagem!$W$11,IF(H327="E",N327*Contagem!$W$13,IF(H327="A",N327*Contagem!$W$12,IF(H327="T",N327*Contagem!$W$14,""))))</f>
        <v/>
      </c>
      <c r="P327" s="19"/>
      <c r="Q327" s="19"/>
      <c r="R327" s="416"/>
      <c r="S327" s="416"/>
      <c r="T327" s="416"/>
    </row>
    <row r="328" spans="1:20" x14ac:dyDescent="0.25">
      <c r="A328" s="415"/>
      <c r="B328" s="416"/>
      <c r="C328" s="416"/>
      <c r="D328" s="416"/>
      <c r="E328" s="416"/>
      <c r="F328" s="417"/>
      <c r="G328" s="20"/>
      <c r="H328" s="20"/>
      <c r="I328" s="20"/>
      <c r="J328" s="20"/>
      <c r="K328" s="20" t="str">
        <f t="shared" si="3"/>
        <v/>
      </c>
      <c r="L328" s="21" t="str">
        <f t="shared" si="4"/>
        <v/>
      </c>
      <c r="M328" s="22" t="str">
        <f t="shared" si="5"/>
        <v/>
      </c>
      <c r="N328" s="23"/>
      <c r="O328" s="24" t="str">
        <f>IF(H328="I",N328*Contagem!$W$11,IF(H328="E",N328*Contagem!$W$13,IF(H328="A",N328*Contagem!$W$12,IF(H328="T",N328*Contagem!$W$14,""))))</f>
        <v/>
      </c>
      <c r="P328" s="19"/>
      <c r="Q328" s="19"/>
      <c r="R328" s="416"/>
      <c r="S328" s="416"/>
      <c r="T328" s="416"/>
    </row>
    <row r="329" spans="1:20" x14ac:dyDescent="0.25">
      <c r="A329" s="415"/>
      <c r="B329" s="416"/>
      <c r="C329" s="416"/>
      <c r="D329" s="416"/>
      <c r="E329" s="416"/>
      <c r="F329" s="417"/>
      <c r="G329" s="20"/>
      <c r="H329" s="20"/>
      <c r="I329" s="20"/>
      <c r="J329" s="20"/>
      <c r="K329" s="20" t="str">
        <f t="shared" si="3"/>
        <v/>
      </c>
      <c r="L329" s="21" t="str">
        <f t="shared" si="4"/>
        <v/>
      </c>
      <c r="M329" s="22" t="str">
        <f t="shared" si="5"/>
        <v/>
      </c>
      <c r="N329" s="23"/>
      <c r="O329" s="24" t="str">
        <f>IF(H329="I",N329*Contagem!$W$11,IF(H329="E",N329*Contagem!$W$13,IF(H329="A",N329*Contagem!$W$12,IF(H329="T",N329*Contagem!$W$14,""))))</f>
        <v/>
      </c>
      <c r="P329" s="19"/>
      <c r="Q329" s="19"/>
      <c r="R329" s="416"/>
      <c r="S329" s="416"/>
      <c r="T329" s="416"/>
    </row>
    <row r="330" spans="1:20" x14ac:dyDescent="0.25">
      <c r="A330" s="415"/>
      <c r="B330" s="416"/>
      <c r="C330" s="416"/>
      <c r="D330" s="416"/>
      <c r="E330" s="416"/>
      <c r="F330" s="417"/>
      <c r="G330" s="20"/>
      <c r="H330" s="20"/>
      <c r="I330" s="20"/>
      <c r="J330" s="20"/>
      <c r="K330" s="20" t="str">
        <f t="shared" si="3"/>
        <v/>
      </c>
      <c r="L330" s="21" t="str">
        <f t="shared" si="4"/>
        <v/>
      </c>
      <c r="M330" s="22" t="str">
        <f t="shared" si="5"/>
        <v/>
      </c>
      <c r="N330" s="23"/>
      <c r="O330" s="24" t="str">
        <f>IF(H330="I",N330*Contagem!$W$11,IF(H330="E",N330*Contagem!$W$13,IF(H330="A",N330*Contagem!$W$12,IF(H330="T",N330*Contagem!$W$14,""))))</f>
        <v/>
      </c>
      <c r="P330" s="19"/>
      <c r="Q330" s="19"/>
      <c r="R330" s="416"/>
      <c r="S330" s="416"/>
      <c r="T330" s="416"/>
    </row>
    <row r="331" spans="1:20" x14ac:dyDescent="0.25">
      <c r="A331" s="415"/>
      <c r="B331" s="416"/>
      <c r="C331" s="416"/>
      <c r="D331" s="416"/>
      <c r="E331" s="416"/>
      <c r="F331" s="417"/>
      <c r="G331" s="20"/>
      <c r="H331" s="20"/>
      <c r="I331" s="20"/>
      <c r="J331" s="20"/>
      <c r="K331" s="20" t="str">
        <f t="shared" si="3"/>
        <v/>
      </c>
      <c r="L331" s="21" t="str">
        <f t="shared" si="4"/>
        <v/>
      </c>
      <c r="M331" s="22" t="str">
        <f t="shared" si="5"/>
        <v/>
      </c>
      <c r="N331" s="23"/>
      <c r="O331" s="24" t="str">
        <f>IF(H331="I",N331*Contagem!$W$11,IF(H331="E",N331*Contagem!$W$13,IF(H331="A",N331*Contagem!$W$12,IF(H331="T",N331*Contagem!$W$14,""))))</f>
        <v/>
      </c>
      <c r="P331" s="19"/>
      <c r="Q331" s="19"/>
      <c r="R331" s="416"/>
      <c r="S331" s="416"/>
      <c r="T331" s="416"/>
    </row>
    <row r="332" spans="1:20" x14ac:dyDescent="0.25">
      <c r="A332" s="415"/>
      <c r="B332" s="416"/>
      <c r="C332" s="416"/>
      <c r="D332" s="416"/>
      <c r="E332" s="416"/>
      <c r="F332" s="417"/>
      <c r="G332" s="20"/>
      <c r="H332" s="20"/>
      <c r="I332" s="20"/>
      <c r="J332" s="20"/>
      <c r="K332" s="20" t="str">
        <f t="shared" si="3"/>
        <v/>
      </c>
      <c r="L332" s="21" t="str">
        <f t="shared" si="4"/>
        <v/>
      </c>
      <c r="M332" s="22" t="str">
        <f t="shared" si="5"/>
        <v/>
      </c>
      <c r="N332" s="23"/>
      <c r="O332" s="24" t="str">
        <f>IF(H332="I",N332*Contagem!$W$11,IF(H332="E",N332*Contagem!$W$13,IF(H332="A",N332*Contagem!$W$12,IF(H332="T",N332*Contagem!$W$14,""))))</f>
        <v/>
      </c>
      <c r="P332" s="19"/>
      <c r="Q332" s="19"/>
      <c r="R332" s="416"/>
      <c r="S332" s="416"/>
      <c r="T332" s="416"/>
    </row>
    <row r="333" spans="1:20" x14ac:dyDescent="0.25">
      <c r="A333" s="415"/>
      <c r="B333" s="416"/>
      <c r="C333" s="416"/>
      <c r="D333" s="416"/>
      <c r="E333" s="416"/>
      <c r="F333" s="417"/>
      <c r="G333" s="20"/>
      <c r="H333" s="20"/>
      <c r="I333" s="20"/>
      <c r="J333" s="20"/>
      <c r="K333" s="20" t="str">
        <f t="shared" si="3"/>
        <v/>
      </c>
      <c r="L333" s="21" t="str">
        <f t="shared" si="4"/>
        <v/>
      </c>
      <c r="M333" s="22" t="str">
        <f t="shared" si="5"/>
        <v/>
      </c>
      <c r="N333" s="23"/>
      <c r="O333" s="24" t="str">
        <f>IF(H333="I",N333*Contagem!$W$11,IF(H333="E",N333*Contagem!$W$13,IF(H333="A",N333*Contagem!$W$12,IF(H333="T",N333*Contagem!$W$14,""))))</f>
        <v/>
      </c>
      <c r="P333" s="19"/>
      <c r="Q333" s="19"/>
      <c r="R333" s="416"/>
      <c r="S333" s="416"/>
      <c r="T333" s="416"/>
    </row>
    <row r="334" spans="1:20" x14ac:dyDescent="0.25">
      <c r="A334" s="415"/>
      <c r="B334" s="416"/>
      <c r="C334" s="416"/>
      <c r="D334" s="416"/>
      <c r="E334" s="416"/>
      <c r="F334" s="417"/>
      <c r="G334" s="20"/>
      <c r="H334" s="20"/>
      <c r="I334" s="20"/>
      <c r="J334" s="20"/>
      <c r="K334" s="20" t="str">
        <f t="shared" si="3"/>
        <v/>
      </c>
      <c r="L334" s="21" t="str">
        <f t="shared" si="4"/>
        <v/>
      </c>
      <c r="M334" s="22" t="str">
        <f t="shared" si="5"/>
        <v/>
      </c>
      <c r="N334" s="23"/>
      <c r="O334" s="24" t="str">
        <f>IF(H334="I",N334*Contagem!$W$11,IF(H334="E",N334*Contagem!$W$13,IF(H334="A",N334*Contagem!$W$12,IF(H334="T",N334*Contagem!$W$14,""))))</f>
        <v/>
      </c>
      <c r="P334" s="19"/>
      <c r="Q334" s="19"/>
      <c r="R334" s="416"/>
      <c r="S334" s="416"/>
      <c r="T334" s="416"/>
    </row>
    <row r="335" spans="1:20" x14ac:dyDescent="0.25">
      <c r="A335" s="415"/>
      <c r="B335" s="416"/>
      <c r="C335" s="416"/>
      <c r="D335" s="416"/>
      <c r="E335" s="416"/>
      <c r="F335" s="417"/>
      <c r="G335" s="20"/>
      <c r="H335" s="20"/>
      <c r="I335" s="20"/>
      <c r="J335" s="20"/>
      <c r="K335" s="20" t="str">
        <f t="shared" si="3"/>
        <v/>
      </c>
      <c r="L335" s="21" t="str">
        <f t="shared" si="4"/>
        <v/>
      </c>
      <c r="M335" s="22" t="str">
        <f t="shared" si="5"/>
        <v/>
      </c>
      <c r="N335" s="23"/>
      <c r="O335" s="24" t="str">
        <f>IF(H335="I",N335*Contagem!$W$11,IF(H335="E",N335*Contagem!$W$13,IF(H335="A",N335*Contagem!$W$12,IF(H335="T",N335*Contagem!$W$14,""))))</f>
        <v/>
      </c>
      <c r="P335" s="19"/>
      <c r="Q335" s="19"/>
      <c r="R335" s="416"/>
      <c r="S335" s="416"/>
      <c r="T335" s="416"/>
    </row>
    <row r="336" spans="1:20" x14ac:dyDescent="0.25">
      <c r="A336" s="415"/>
      <c r="B336" s="416"/>
      <c r="C336" s="416"/>
      <c r="D336" s="416"/>
      <c r="E336" s="416"/>
      <c r="F336" s="417"/>
      <c r="G336" s="20"/>
      <c r="H336" s="20"/>
      <c r="I336" s="20"/>
      <c r="J336" s="20"/>
      <c r="K336" s="20" t="str">
        <f t="shared" si="3"/>
        <v/>
      </c>
      <c r="L336" s="21" t="str">
        <f t="shared" si="4"/>
        <v/>
      </c>
      <c r="M336" s="22" t="str">
        <f t="shared" si="5"/>
        <v/>
      </c>
      <c r="N336" s="23"/>
      <c r="O336" s="24" t="str">
        <f>IF(H336="I",N336*Contagem!$W$11,IF(H336="E",N336*Contagem!$W$13,IF(H336="A",N336*Contagem!$W$12,IF(H336="T",N336*Contagem!$W$14,""))))</f>
        <v/>
      </c>
      <c r="P336" s="19"/>
      <c r="Q336" s="19"/>
      <c r="R336" s="416"/>
      <c r="S336" s="416"/>
      <c r="T336" s="416"/>
    </row>
    <row r="337" spans="1:20" x14ac:dyDescent="0.25">
      <c r="A337" s="415"/>
      <c r="B337" s="416"/>
      <c r="C337" s="416"/>
      <c r="D337" s="416"/>
      <c r="E337" s="416"/>
      <c r="F337" s="417"/>
      <c r="G337" s="20"/>
      <c r="H337" s="20"/>
      <c r="I337" s="20"/>
      <c r="J337" s="20"/>
      <c r="K337" s="20" t="str">
        <f t="shared" si="3"/>
        <v/>
      </c>
      <c r="L337" s="21" t="str">
        <f t="shared" si="4"/>
        <v/>
      </c>
      <c r="M337" s="22" t="str">
        <f t="shared" si="5"/>
        <v/>
      </c>
      <c r="N337" s="23"/>
      <c r="O337" s="24" t="str">
        <f>IF(H337="I",N337*Contagem!$W$11,IF(H337="E",N337*Contagem!$W$13,IF(H337="A",N337*Contagem!$W$12,IF(H337="T",N337*Contagem!$W$14,""))))</f>
        <v/>
      </c>
      <c r="P337" s="19"/>
      <c r="Q337" s="19"/>
      <c r="R337" s="416"/>
      <c r="S337" s="416"/>
      <c r="T337" s="416"/>
    </row>
    <row r="338" spans="1:20" x14ac:dyDescent="0.25">
      <c r="A338" s="415"/>
      <c r="B338" s="416"/>
      <c r="C338" s="416"/>
      <c r="D338" s="416"/>
      <c r="E338" s="416"/>
      <c r="F338" s="417"/>
      <c r="G338" s="20"/>
      <c r="H338" s="20"/>
      <c r="I338" s="20"/>
      <c r="J338" s="20"/>
      <c r="K338" s="20" t="str">
        <f t="shared" si="3"/>
        <v/>
      </c>
      <c r="L338" s="21" t="str">
        <f t="shared" si="4"/>
        <v/>
      </c>
      <c r="M338" s="22" t="str">
        <f t="shared" si="5"/>
        <v/>
      </c>
      <c r="N338" s="23"/>
      <c r="O338" s="24" t="str">
        <f>IF(H338="I",N338*Contagem!$W$11,IF(H338="E",N338*Contagem!$W$13,IF(H338="A",N338*Contagem!$W$12,IF(H338="T",N338*Contagem!$W$14,""))))</f>
        <v/>
      </c>
      <c r="P338" s="19"/>
      <c r="Q338" s="19"/>
      <c r="R338" s="416"/>
      <c r="S338" s="416"/>
      <c r="T338" s="416"/>
    </row>
    <row r="339" spans="1:20" x14ac:dyDescent="0.25">
      <c r="A339" s="415"/>
      <c r="B339" s="416"/>
      <c r="C339" s="416"/>
      <c r="D339" s="416"/>
      <c r="E339" s="416"/>
      <c r="F339" s="417"/>
      <c r="G339" s="20"/>
      <c r="H339" s="20"/>
      <c r="I339" s="20"/>
      <c r="J339" s="20"/>
      <c r="K339" s="20" t="str">
        <f t="shared" si="3"/>
        <v/>
      </c>
      <c r="L339" s="21" t="str">
        <f t="shared" si="4"/>
        <v/>
      </c>
      <c r="M339" s="22" t="str">
        <f t="shared" si="5"/>
        <v/>
      </c>
      <c r="N339" s="23"/>
      <c r="O339" s="24" t="str">
        <f>IF(H339="I",N339*Contagem!$W$11,IF(H339="E",N339*Contagem!$W$13,IF(H339="A",N339*Contagem!$W$12,IF(H339="T",N339*Contagem!$W$14,""))))</f>
        <v/>
      </c>
      <c r="P339" s="19"/>
      <c r="Q339" s="19"/>
      <c r="R339" s="416"/>
      <c r="S339" s="416"/>
      <c r="T339" s="416"/>
    </row>
    <row r="340" spans="1:20" x14ac:dyDescent="0.25">
      <c r="A340" s="415"/>
      <c r="B340" s="416"/>
      <c r="C340" s="416"/>
      <c r="D340" s="416"/>
      <c r="E340" s="416"/>
      <c r="F340" s="417"/>
      <c r="G340" s="20"/>
      <c r="H340" s="20"/>
      <c r="I340" s="20"/>
      <c r="J340" s="20"/>
      <c r="K340" s="20" t="str">
        <f t="shared" si="3"/>
        <v/>
      </c>
      <c r="L340" s="21" t="str">
        <f t="shared" si="4"/>
        <v/>
      </c>
      <c r="M340" s="22" t="str">
        <f t="shared" si="5"/>
        <v/>
      </c>
      <c r="N340" s="23"/>
      <c r="O340" s="24" t="str">
        <f>IF(H340="I",N340*Contagem!$W$11,IF(H340="E",N340*Contagem!$W$13,IF(H340="A",N340*Contagem!$W$12,IF(H340="T",N340*Contagem!$W$14,""))))</f>
        <v/>
      </c>
      <c r="P340" s="19"/>
      <c r="Q340" s="19"/>
      <c r="R340" s="416"/>
      <c r="S340" s="416"/>
      <c r="T340" s="416"/>
    </row>
    <row r="341" spans="1:20" x14ac:dyDescent="0.25">
      <c r="A341" s="415"/>
      <c r="B341" s="416"/>
      <c r="C341" s="416"/>
      <c r="D341" s="416"/>
      <c r="E341" s="416"/>
      <c r="F341" s="417"/>
      <c r="G341" s="20"/>
      <c r="H341" s="20"/>
      <c r="I341" s="20"/>
      <c r="J341" s="20"/>
      <c r="K341" s="20" t="str">
        <f t="shared" si="3"/>
        <v/>
      </c>
      <c r="L341" s="21" t="str">
        <f t="shared" si="4"/>
        <v/>
      </c>
      <c r="M341" s="22" t="str">
        <f t="shared" si="5"/>
        <v/>
      </c>
      <c r="N341" s="23"/>
      <c r="O341" s="24" t="str">
        <f>IF(H341="I",N341*Contagem!$W$11,IF(H341="E",N341*Contagem!$W$13,IF(H341="A",N341*Contagem!$W$12,IF(H341="T",N341*Contagem!$W$14,""))))</f>
        <v/>
      </c>
      <c r="P341" s="19"/>
      <c r="Q341" s="19"/>
      <c r="R341" s="416"/>
      <c r="S341" s="416"/>
      <c r="T341" s="416"/>
    </row>
    <row r="342" spans="1:20" x14ac:dyDescent="0.25">
      <c r="A342" s="415"/>
      <c r="B342" s="416"/>
      <c r="C342" s="416"/>
      <c r="D342" s="416"/>
      <c r="E342" s="416"/>
      <c r="F342" s="417"/>
      <c r="G342" s="20"/>
      <c r="H342" s="20"/>
      <c r="I342" s="20"/>
      <c r="J342" s="20"/>
      <c r="K342" s="20" t="str">
        <f t="shared" si="3"/>
        <v/>
      </c>
      <c r="L342" s="21" t="str">
        <f t="shared" si="4"/>
        <v/>
      </c>
      <c r="M342" s="22" t="str">
        <f t="shared" si="5"/>
        <v/>
      </c>
      <c r="N342" s="23"/>
      <c r="O342" s="24" t="str">
        <f>IF(H342="I",N342*Contagem!$W$11,IF(H342="E",N342*Contagem!$W$13,IF(H342="A",N342*Contagem!$W$12,IF(H342="T",N342*Contagem!$W$14,""))))</f>
        <v/>
      </c>
      <c r="P342" s="19"/>
      <c r="Q342" s="19"/>
      <c r="R342" s="416"/>
      <c r="S342" s="416"/>
      <c r="T342" s="416"/>
    </row>
    <row r="343" spans="1:20" x14ac:dyDescent="0.25">
      <c r="A343" s="415"/>
      <c r="B343" s="416"/>
      <c r="C343" s="416"/>
      <c r="D343" s="416"/>
      <c r="E343" s="416"/>
      <c r="F343" s="417"/>
      <c r="G343" s="20"/>
      <c r="H343" s="20"/>
      <c r="I343" s="20"/>
      <c r="J343" s="20"/>
      <c r="K343" s="20" t="str">
        <f t="shared" si="3"/>
        <v/>
      </c>
      <c r="L343" s="21" t="str">
        <f t="shared" si="4"/>
        <v/>
      </c>
      <c r="M343" s="22" t="str">
        <f t="shared" si="5"/>
        <v/>
      </c>
      <c r="N343" s="23"/>
      <c r="O343" s="24" t="str">
        <f>IF(H343="I",N343*Contagem!$W$11,IF(H343="E",N343*Contagem!$W$13,IF(H343="A",N343*Contagem!$W$12,IF(H343="T",N343*Contagem!$W$14,""))))</f>
        <v/>
      </c>
      <c r="P343" s="19"/>
      <c r="Q343" s="19"/>
      <c r="R343" s="416"/>
      <c r="S343" s="416"/>
      <c r="T343" s="416"/>
    </row>
    <row r="344" spans="1:20" x14ac:dyDescent="0.25">
      <c r="A344" s="415"/>
      <c r="B344" s="416"/>
      <c r="C344" s="416"/>
      <c r="D344" s="416"/>
      <c r="E344" s="416"/>
      <c r="F344" s="417"/>
      <c r="G344" s="20"/>
      <c r="H344" s="20"/>
      <c r="I344" s="20"/>
      <c r="J344" s="20"/>
      <c r="K344" s="20" t="str">
        <f t="shared" si="3"/>
        <v/>
      </c>
      <c r="L344" s="21" t="str">
        <f t="shared" si="4"/>
        <v/>
      </c>
      <c r="M344" s="22" t="str">
        <f t="shared" si="5"/>
        <v/>
      </c>
      <c r="N344" s="23"/>
      <c r="O344" s="24" t="str">
        <f>IF(H344="I",N344*Contagem!$W$11,IF(H344="E",N344*Contagem!$W$13,IF(H344="A",N344*Contagem!$W$12,IF(H344="T",N344*Contagem!$W$14,""))))</f>
        <v/>
      </c>
      <c r="P344" s="19"/>
      <c r="Q344" s="19"/>
      <c r="R344" s="416"/>
      <c r="S344" s="416"/>
      <c r="T344" s="416"/>
    </row>
    <row r="345" spans="1:20" x14ac:dyDescent="0.25">
      <c r="A345" s="415"/>
      <c r="B345" s="416"/>
      <c r="C345" s="416"/>
      <c r="D345" s="416"/>
      <c r="E345" s="416"/>
      <c r="F345" s="417"/>
      <c r="G345" s="20"/>
      <c r="H345" s="20"/>
      <c r="I345" s="20"/>
      <c r="J345" s="20"/>
      <c r="K345" s="20" t="str">
        <f t="shared" si="3"/>
        <v/>
      </c>
      <c r="L345" s="21" t="str">
        <f t="shared" si="4"/>
        <v/>
      </c>
      <c r="M345" s="22" t="str">
        <f t="shared" si="5"/>
        <v/>
      </c>
      <c r="N345" s="23"/>
      <c r="O345" s="24" t="str">
        <f>IF(H345="I",N345*Contagem!$W$11,IF(H345="E",N345*Contagem!$W$13,IF(H345="A",N345*Contagem!$W$12,IF(H345="T",N345*Contagem!$W$14,""))))</f>
        <v/>
      </c>
      <c r="P345" s="19"/>
      <c r="Q345" s="19"/>
      <c r="R345" s="416"/>
      <c r="S345" s="416"/>
      <c r="T345" s="416"/>
    </row>
    <row r="346" spans="1:20" x14ac:dyDescent="0.25">
      <c r="A346" s="415"/>
      <c r="B346" s="416"/>
      <c r="C346" s="416"/>
      <c r="D346" s="416"/>
      <c r="E346" s="416"/>
      <c r="F346" s="417"/>
      <c r="G346" s="20"/>
      <c r="H346" s="20"/>
      <c r="I346" s="20"/>
      <c r="J346" s="20"/>
      <c r="K346" s="20" t="str">
        <f t="shared" si="3"/>
        <v/>
      </c>
      <c r="L346" s="21" t="str">
        <f t="shared" si="4"/>
        <v/>
      </c>
      <c r="M346" s="22" t="str">
        <f t="shared" si="5"/>
        <v/>
      </c>
      <c r="N346" s="23"/>
      <c r="O346" s="24" t="str">
        <f>IF(H346="I",N346*Contagem!$W$11,IF(H346="E",N346*Contagem!$W$13,IF(H346="A",N346*Contagem!$W$12,IF(H346="T",N346*Contagem!$W$14,""))))</f>
        <v/>
      </c>
      <c r="P346" s="19"/>
      <c r="Q346" s="19"/>
      <c r="R346" s="416"/>
      <c r="S346" s="416"/>
      <c r="T346" s="416"/>
    </row>
    <row r="347" spans="1:20" x14ac:dyDescent="0.25">
      <c r="A347" s="415"/>
      <c r="B347" s="416"/>
      <c r="C347" s="416"/>
      <c r="D347" s="416"/>
      <c r="E347" s="416"/>
      <c r="F347" s="417"/>
      <c r="G347" s="20"/>
      <c r="H347" s="20"/>
      <c r="I347" s="20"/>
      <c r="J347" s="20"/>
      <c r="K347" s="20" t="str">
        <f t="shared" si="3"/>
        <v/>
      </c>
      <c r="L347" s="21" t="str">
        <f t="shared" si="4"/>
        <v/>
      </c>
      <c r="M347" s="22" t="str">
        <f t="shared" si="5"/>
        <v/>
      </c>
      <c r="N347" s="23"/>
      <c r="O347" s="24" t="str">
        <f>IF(H347="I",N347*Contagem!$W$11,IF(H347="E",N347*Contagem!$W$13,IF(H347="A",N347*Contagem!$W$12,IF(H347="T",N347*Contagem!$W$14,""))))</f>
        <v/>
      </c>
      <c r="P347" s="19"/>
      <c r="Q347" s="19"/>
      <c r="R347" s="416"/>
      <c r="S347" s="416"/>
      <c r="T347" s="416"/>
    </row>
    <row r="348" spans="1:20" x14ac:dyDescent="0.25">
      <c r="A348" s="415"/>
      <c r="B348" s="416"/>
      <c r="C348" s="416"/>
      <c r="D348" s="416"/>
      <c r="E348" s="416"/>
      <c r="F348" s="417"/>
      <c r="G348" s="20"/>
      <c r="H348" s="20"/>
      <c r="I348" s="20"/>
      <c r="J348" s="20"/>
      <c r="K348" s="20" t="str">
        <f t="shared" si="3"/>
        <v/>
      </c>
      <c r="L348" s="21" t="str">
        <f t="shared" si="4"/>
        <v/>
      </c>
      <c r="M348" s="22" t="str">
        <f t="shared" si="5"/>
        <v/>
      </c>
      <c r="N348" s="23"/>
      <c r="O348" s="24" t="str">
        <f>IF(H348="I",N348*Contagem!$W$11,IF(H348="E",N348*Contagem!$W$13,IF(H348="A",N348*Contagem!$W$12,IF(H348="T",N348*Contagem!$W$14,""))))</f>
        <v/>
      </c>
      <c r="P348" s="19"/>
      <c r="Q348" s="19"/>
      <c r="R348" s="416"/>
      <c r="S348" s="416"/>
      <c r="T348" s="416"/>
    </row>
    <row r="349" spans="1:20" x14ac:dyDescent="0.25">
      <c r="A349" s="415"/>
      <c r="B349" s="416"/>
      <c r="C349" s="416"/>
      <c r="D349" s="416"/>
      <c r="E349" s="416"/>
      <c r="F349" s="417"/>
      <c r="G349" s="20"/>
      <c r="H349" s="20"/>
      <c r="I349" s="20"/>
      <c r="J349" s="20"/>
      <c r="K349" s="20" t="str">
        <f t="shared" si="3"/>
        <v/>
      </c>
      <c r="L349" s="21" t="str">
        <f t="shared" si="4"/>
        <v/>
      </c>
      <c r="M349" s="22" t="str">
        <f t="shared" si="5"/>
        <v/>
      </c>
      <c r="N349" s="23"/>
      <c r="O349" s="24" t="str">
        <f>IF(H349="I",N349*Contagem!$W$11,IF(H349="E",N349*Contagem!$W$13,IF(H349="A",N349*Contagem!$W$12,IF(H349="T",N349*Contagem!$W$14,""))))</f>
        <v/>
      </c>
      <c r="P349" s="19"/>
      <c r="Q349" s="19"/>
      <c r="R349" s="416"/>
      <c r="S349" s="416"/>
      <c r="T349" s="416"/>
    </row>
    <row r="350" spans="1:20" x14ac:dyDescent="0.25">
      <c r="A350" s="415"/>
      <c r="B350" s="416"/>
      <c r="C350" s="416"/>
      <c r="D350" s="416"/>
      <c r="E350" s="416"/>
      <c r="F350" s="417"/>
      <c r="G350" s="20"/>
      <c r="H350" s="20"/>
      <c r="I350" s="20"/>
      <c r="J350" s="20"/>
      <c r="K350" s="20" t="str">
        <f t="shared" si="3"/>
        <v/>
      </c>
      <c r="L350" s="21" t="str">
        <f t="shared" si="4"/>
        <v/>
      </c>
      <c r="M350" s="22" t="str">
        <f t="shared" si="5"/>
        <v/>
      </c>
      <c r="N350" s="23"/>
      <c r="O350" s="24" t="str">
        <f>IF(H350="I",N350*Contagem!$W$11,IF(H350="E",N350*Contagem!$W$13,IF(H350="A",N350*Contagem!$W$12,IF(H350="T",N350*Contagem!$W$14,""))))</f>
        <v/>
      </c>
      <c r="P350" s="19"/>
      <c r="Q350" s="19"/>
      <c r="R350" s="416"/>
      <c r="S350" s="416"/>
      <c r="T350" s="416"/>
    </row>
    <row r="351" spans="1:20" x14ac:dyDescent="0.25">
      <c r="A351" s="415"/>
      <c r="B351" s="416"/>
      <c r="C351" s="416"/>
      <c r="D351" s="416"/>
      <c r="E351" s="416"/>
      <c r="F351" s="417"/>
      <c r="G351" s="20"/>
      <c r="H351" s="20"/>
      <c r="I351" s="20"/>
      <c r="J351" s="20"/>
      <c r="K351" s="20" t="str">
        <f t="shared" si="3"/>
        <v/>
      </c>
      <c r="L351" s="21" t="str">
        <f t="shared" si="4"/>
        <v/>
      </c>
      <c r="M351" s="22" t="str">
        <f t="shared" si="5"/>
        <v/>
      </c>
      <c r="N351" s="23"/>
      <c r="O351" s="24" t="str">
        <f>IF(H351="I",N351*Contagem!$W$11,IF(H351="E",N351*Contagem!$W$13,IF(H351="A",N351*Contagem!$W$12,IF(H351="T",N351*Contagem!$W$14,""))))</f>
        <v/>
      </c>
      <c r="P351" s="19"/>
      <c r="Q351" s="19"/>
      <c r="R351" s="416"/>
      <c r="S351" s="416"/>
      <c r="T351" s="416"/>
    </row>
    <row r="352" spans="1:20" x14ac:dyDescent="0.25">
      <c r="A352" s="415"/>
      <c r="B352" s="416"/>
      <c r="C352" s="416"/>
      <c r="D352" s="416"/>
      <c r="E352" s="416"/>
      <c r="F352" s="417"/>
      <c r="G352" s="20"/>
      <c r="H352" s="20"/>
      <c r="I352" s="20"/>
      <c r="J352" s="20"/>
      <c r="K352" s="20" t="str">
        <f t="shared" si="3"/>
        <v/>
      </c>
      <c r="L352" s="21" t="str">
        <f t="shared" si="4"/>
        <v/>
      </c>
      <c r="M352" s="22" t="str">
        <f t="shared" si="5"/>
        <v/>
      </c>
      <c r="N352" s="23"/>
      <c r="O352" s="24" t="str">
        <f>IF(H352="I",N352*Contagem!$W$11,IF(H352="E",N352*Contagem!$W$13,IF(H352="A",N352*Contagem!$W$12,IF(H352="T",N352*Contagem!$W$14,""))))</f>
        <v/>
      </c>
      <c r="P352" s="19"/>
      <c r="Q352" s="19"/>
      <c r="R352" s="416"/>
      <c r="S352" s="416"/>
      <c r="T352" s="416"/>
    </row>
    <row r="353" spans="1:20" x14ac:dyDescent="0.25">
      <c r="A353" s="415"/>
      <c r="B353" s="416"/>
      <c r="C353" s="416"/>
      <c r="D353" s="416"/>
      <c r="E353" s="416"/>
      <c r="F353" s="417"/>
      <c r="G353" s="20"/>
      <c r="H353" s="20"/>
      <c r="I353" s="20"/>
      <c r="J353" s="20"/>
      <c r="K353" s="20" t="str">
        <f t="shared" si="3"/>
        <v/>
      </c>
      <c r="L353" s="21" t="str">
        <f t="shared" si="4"/>
        <v/>
      </c>
      <c r="M353" s="22" t="str">
        <f t="shared" si="5"/>
        <v/>
      </c>
      <c r="N353" s="23"/>
      <c r="O353" s="24" t="str">
        <f>IF(H353="I",N353*Contagem!$W$11,IF(H353="E",N353*Contagem!$W$13,IF(H353="A",N353*Contagem!$W$12,IF(H353="T",N353*Contagem!$W$14,""))))</f>
        <v/>
      </c>
      <c r="P353" s="19"/>
      <c r="Q353" s="19"/>
      <c r="R353" s="416"/>
      <c r="S353" s="416"/>
      <c r="T353" s="416"/>
    </row>
    <row r="354" spans="1:20" x14ac:dyDescent="0.25">
      <c r="A354" s="415"/>
      <c r="B354" s="416"/>
      <c r="C354" s="416"/>
      <c r="D354" s="416"/>
      <c r="E354" s="416"/>
      <c r="F354" s="417"/>
      <c r="G354" s="20"/>
      <c r="H354" s="20"/>
      <c r="I354" s="20"/>
      <c r="J354" s="20"/>
      <c r="K354" s="20" t="str">
        <f t="shared" si="3"/>
        <v/>
      </c>
      <c r="L354" s="21" t="str">
        <f t="shared" si="4"/>
        <v/>
      </c>
      <c r="M354" s="22" t="str">
        <f t="shared" si="5"/>
        <v/>
      </c>
      <c r="N354" s="23"/>
      <c r="O354" s="24" t="str">
        <f>IF(H354="I",N354*Contagem!$W$11,IF(H354="E",N354*Contagem!$W$13,IF(H354="A",N354*Contagem!$W$12,IF(H354="T",N354*Contagem!$W$14,""))))</f>
        <v/>
      </c>
      <c r="P354" s="19"/>
      <c r="Q354" s="19"/>
      <c r="R354" s="416"/>
      <c r="S354" s="416"/>
      <c r="T354" s="416"/>
    </row>
    <row r="355" spans="1:20" x14ac:dyDescent="0.25">
      <c r="A355" s="415"/>
      <c r="B355" s="416"/>
      <c r="C355" s="416"/>
      <c r="D355" s="416"/>
      <c r="E355" s="416"/>
      <c r="F355" s="417"/>
      <c r="G355" s="20"/>
      <c r="H355" s="20"/>
      <c r="I355" s="20"/>
      <c r="J355" s="20"/>
      <c r="K355" s="20" t="str">
        <f t="shared" si="3"/>
        <v/>
      </c>
      <c r="L355" s="21" t="str">
        <f t="shared" si="4"/>
        <v/>
      </c>
      <c r="M355" s="22" t="str">
        <f t="shared" si="5"/>
        <v/>
      </c>
      <c r="N355" s="23"/>
      <c r="O355" s="24" t="str">
        <f>IF(H355="I",N355*Contagem!$W$11,IF(H355="E",N355*Contagem!$W$13,IF(H355="A",N355*Contagem!$W$12,IF(H355="T",N355*Contagem!$W$14,""))))</f>
        <v/>
      </c>
      <c r="P355" s="19"/>
      <c r="Q355" s="19"/>
      <c r="R355" s="416"/>
      <c r="S355" s="416"/>
      <c r="T355" s="416"/>
    </row>
    <row r="356" spans="1:20" x14ac:dyDescent="0.25">
      <c r="A356" s="415"/>
      <c r="B356" s="416"/>
      <c r="C356" s="416"/>
      <c r="D356" s="416"/>
      <c r="E356" s="416"/>
      <c r="F356" s="417"/>
      <c r="G356" s="20"/>
      <c r="H356" s="20"/>
      <c r="I356" s="20"/>
      <c r="J356" s="20"/>
      <c r="K356" s="20" t="str">
        <f t="shared" si="3"/>
        <v/>
      </c>
      <c r="L356" s="21" t="str">
        <f t="shared" si="4"/>
        <v/>
      </c>
      <c r="M356" s="22" t="str">
        <f t="shared" si="5"/>
        <v/>
      </c>
      <c r="N356" s="23"/>
      <c r="O356" s="24" t="str">
        <f>IF(H356="I",N356*Contagem!$W$11,IF(H356="E",N356*Contagem!$W$13,IF(H356="A",N356*Contagem!$W$12,IF(H356="T",N356*Contagem!$W$14,""))))</f>
        <v/>
      </c>
      <c r="P356" s="19"/>
      <c r="Q356" s="19"/>
      <c r="R356" s="416"/>
      <c r="S356" s="416"/>
      <c r="T356" s="416"/>
    </row>
    <row r="357" spans="1:20" x14ac:dyDescent="0.25">
      <c r="A357" s="415"/>
      <c r="B357" s="416"/>
      <c r="C357" s="416"/>
      <c r="D357" s="416"/>
      <c r="E357" s="416"/>
      <c r="F357" s="417"/>
      <c r="G357" s="20"/>
      <c r="H357" s="20"/>
      <c r="I357" s="20"/>
      <c r="J357" s="20"/>
      <c r="K357" s="20" t="str">
        <f t="shared" si="3"/>
        <v/>
      </c>
      <c r="L357" s="21" t="str">
        <f t="shared" si="4"/>
        <v/>
      </c>
      <c r="M357" s="22" t="str">
        <f t="shared" si="5"/>
        <v/>
      </c>
      <c r="N357" s="23"/>
      <c r="O357" s="24" t="str">
        <f>IF(H357="I",N357*Contagem!$W$11,IF(H357="E",N357*Contagem!$W$13,IF(H357="A",N357*Contagem!$W$12,IF(H357="T",N357*Contagem!$W$14,""))))</f>
        <v/>
      </c>
      <c r="P357" s="19"/>
      <c r="Q357" s="19"/>
      <c r="R357" s="416"/>
      <c r="S357" s="416"/>
      <c r="T357" s="416"/>
    </row>
    <row r="358" spans="1:20" x14ac:dyDescent="0.25">
      <c r="A358" s="415"/>
      <c r="B358" s="416"/>
      <c r="C358" s="416"/>
      <c r="D358" s="416"/>
      <c r="E358" s="416"/>
      <c r="F358" s="417"/>
      <c r="G358" s="20"/>
      <c r="H358" s="20"/>
      <c r="I358" s="20"/>
      <c r="J358" s="20"/>
      <c r="K358" s="20" t="str">
        <f t="shared" si="3"/>
        <v/>
      </c>
      <c r="L358" s="21" t="str">
        <f t="shared" si="4"/>
        <v/>
      </c>
      <c r="M358" s="22" t="str">
        <f t="shared" si="5"/>
        <v/>
      </c>
      <c r="N358" s="23"/>
      <c r="O358" s="24" t="str">
        <f>IF(H358="I",N358*Contagem!$W$11,IF(H358="E",N358*Contagem!$W$13,IF(H358="A",N358*Contagem!$W$12,IF(H358="T",N358*Contagem!$W$14,""))))</f>
        <v/>
      </c>
      <c r="P358" s="19"/>
      <c r="Q358" s="19"/>
      <c r="R358" s="416"/>
      <c r="S358" s="416"/>
      <c r="T358" s="416"/>
    </row>
    <row r="359" spans="1:20" x14ac:dyDescent="0.25">
      <c r="A359" s="415"/>
      <c r="B359" s="416"/>
      <c r="C359" s="416"/>
      <c r="D359" s="416"/>
      <c r="E359" s="416"/>
      <c r="F359" s="417"/>
      <c r="G359" s="20"/>
      <c r="H359" s="20"/>
      <c r="I359" s="20"/>
      <c r="J359" s="20"/>
      <c r="K359" s="20" t="str">
        <f t="shared" si="3"/>
        <v/>
      </c>
      <c r="L359" s="21" t="str">
        <f t="shared" si="4"/>
        <v/>
      </c>
      <c r="M359" s="22" t="str">
        <f t="shared" si="5"/>
        <v/>
      </c>
      <c r="N359" s="23"/>
      <c r="O359" s="24" t="str">
        <f>IF(H359="I",N359*Contagem!$W$11,IF(H359="E",N359*Contagem!$W$13,IF(H359="A",N359*Contagem!$W$12,IF(H359="T",N359*Contagem!$W$14,""))))</f>
        <v/>
      </c>
      <c r="P359" s="19"/>
      <c r="Q359" s="19"/>
      <c r="R359" s="416"/>
      <c r="S359" s="416"/>
      <c r="T359" s="416"/>
    </row>
    <row r="360" spans="1:20" x14ac:dyDescent="0.25">
      <c r="A360" s="415"/>
      <c r="B360" s="416"/>
      <c r="C360" s="416"/>
      <c r="D360" s="416"/>
      <c r="E360" s="416"/>
      <c r="F360" s="417"/>
      <c r="G360" s="20"/>
      <c r="H360" s="20"/>
      <c r="I360" s="20"/>
      <c r="J360" s="20"/>
      <c r="K360" s="20" t="str">
        <f t="shared" si="3"/>
        <v/>
      </c>
      <c r="L360" s="21" t="str">
        <f t="shared" si="4"/>
        <v/>
      </c>
      <c r="M360" s="22" t="str">
        <f t="shared" si="5"/>
        <v/>
      </c>
      <c r="N360" s="23"/>
      <c r="O360" s="24" t="str">
        <f>IF(H360="I",N360*Contagem!$W$11,IF(H360="E",N360*Contagem!$W$13,IF(H360="A",N360*Contagem!$W$12,IF(H360="T",N360*Contagem!$W$14,""))))</f>
        <v/>
      </c>
      <c r="P360" s="19"/>
      <c r="Q360" s="19"/>
      <c r="R360" s="416"/>
      <c r="S360" s="416"/>
      <c r="T360" s="416"/>
    </row>
    <row r="361" spans="1:20" x14ac:dyDescent="0.25">
      <c r="A361" s="415"/>
      <c r="B361" s="416"/>
      <c r="C361" s="416"/>
      <c r="D361" s="416"/>
      <c r="E361" s="416"/>
      <c r="F361" s="417"/>
      <c r="G361" s="20"/>
      <c r="H361" s="20"/>
      <c r="I361" s="20"/>
      <c r="J361" s="20"/>
      <c r="K361" s="20" t="str">
        <f t="shared" si="3"/>
        <v/>
      </c>
      <c r="L361" s="21" t="str">
        <f t="shared" si="4"/>
        <v/>
      </c>
      <c r="M361" s="22" t="str">
        <f t="shared" si="5"/>
        <v/>
      </c>
      <c r="N361" s="23"/>
      <c r="O361" s="24" t="str">
        <f>IF(H361="I",N361*Contagem!$W$11,IF(H361="E",N361*Contagem!$W$13,IF(H361="A",N361*Contagem!$W$12,IF(H361="T",N361*Contagem!$W$14,""))))</f>
        <v/>
      </c>
      <c r="P361" s="19"/>
      <c r="Q361" s="19"/>
      <c r="R361" s="416"/>
      <c r="S361" s="416"/>
      <c r="T361" s="416"/>
    </row>
    <row r="362" spans="1:20" x14ac:dyDescent="0.25">
      <c r="A362" s="415"/>
      <c r="B362" s="416"/>
      <c r="C362" s="416"/>
      <c r="D362" s="416"/>
      <c r="E362" s="416"/>
      <c r="F362" s="417"/>
      <c r="G362" s="20"/>
      <c r="H362" s="20"/>
      <c r="I362" s="20"/>
      <c r="J362" s="20"/>
      <c r="K362" s="20" t="str">
        <f t="shared" si="3"/>
        <v/>
      </c>
      <c r="L362" s="21" t="str">
        <f t="shared" si="4"/>
        <v/>
      </c>
      <c r="M362" s="22" t="str">
        <f t="shared" si="5"/>
        <v/>
      </c>
      <c r="N362" s="23"/>
      <c r="O362" s="24" t="str">
        <f>IF(H362="I",N362*Contagem!$W$11,IF(H362="E",N362*Contagem!$W$13,IF(H362="A",N362*Contagem!$W$12,IF(H362="T",N362*Contagem!$W$14,""))))</f>
        <v/>
      </c>
      <c r="P362" s="19"/>
      <c r="Q362" s="19"/>
      <c r="R362" s="416"/>
      <c r="S362" s="416"/>
      <c r="T362" s="416"/>
    </row>
    <row r="363" spans="1:20" x14ac:dyDescent="0.25">
      <c r="A363" s="415"/>
      <c r="B363" s="416"/>
      <c r="C363" s="416"/>
      <c r="D363" s="416"/>
      <c r="E363" s="416"/>
      <c r="F363" s="417"/>
      <c r="G363" s="20"/>
      <c r="H363" s="20"/>
      <c r="I363" s="20"/>
      <c r="J363" s="20"/>
      <c r="K363" s="20" t="str">
        <f t="shared" si="3"/>
        <v/>
      </c>
      <c r="L363" s="21" t="str">
        <f t="shared" si="4"/>
        <v/>
      </c>
      <c r="M363" s="22" t="str">
        <f t="shared" si="5"/>
        <v/>
      </c>
      <c r="N363" s="23"/>
      <c r="O363" s="24" t="str">
        <f>IF(H363="I",N363*Contagem!$W$11,IF(H363="E",N363*Contagem!$W$13,IF(H363="A",N363*Contagem!$W$12,IF(H363="T",N363*Contagem!$W$14,""))))</f>
        <v/>
      </c>
      <c r="P363" s="19"/>
      <c r="Q363" s="19"/>
      <c r="R363" s="416"/>
      <c r="S363" s="416"/>
      <c r="T363" s="416"/>
    </row>
    <row r="364" spans="1:20" x14ac:dyDescent="0.25">
      <c r="A364" s="415"/>
      <c r="B364" s="416"/>
      <c r="C364" s="416"/>
      <c r="D364" s="416"/>
      <c r="E364" s="416"/>
      <c r="F364" s="417"/>
      <c r="G364" s="20"/>
      <c r="H364" s="20"/>
      <c r="I364" s="20"/>
      <c r="J364" s="20"/>
      <c r="K364" s="20" t="str">
        <f t="shared" si="3"/>
        <v/>
      </c>
      <c r="L364" s="21" t="str">
        <f t="shared" si="4"/>
        <v/>
      </c>
      <c r="M364" s="22" t="str">
        <f t="shared" si="5"/>
        <v/>
      </c>
      <c r="N364" s="23"/>
      <c r="O364" s="24" t="str">
        <f>IF(H364="I",N364*Contagem!$W$11,IF(H364="E",N364*Contagem!$W$13,IF(H364="A",N364*Contagem!$W$12,IF(H364="T",N364*Contagem!$W$14,""))))</f>
        <v/>
      </c>
      <c r="P364" s="19"/>
      <c r="Q364" s="19"/>
      <c r="R364" s="416"/>
      <c r="S364" s="416"/>
      <c r="T364" s="416"/>
    </row>
    <row r="365" spans="1:20" x14ac:dyDescent="0.25">
      <c r="A365" s="415"/>
      <c r="B365" s="416"/>
      <c r="C365" s="416"/>
      <c r="D365" s="416"/>
      <c r="E365" s="416"/>
      <c r="F365" s="417"/>
      <c r="G365" s="20"/>
      <c r="H365" s="20"/>
      <c r="I365" s="20"/>
      <c r="J365" s="20"/>
      <c r="K365" s="20" t="str">
        <f t="shared" si="3"/>
        <v/>
      </c>
      <c r="L365" s="21" t="str">
        <f t="shared" si="4"/>
        <v/>
      </c>
      <c r="M365" s="22" t="str">
        <f t="shared" si="5"/>
        <v/>
      </c>
      <c r="N365" s="23"/>
      <c r="O365" s="24" t="str">
        <f>IF(H365="I",N365*Contagem!$W$11,IF(H365="E",N365*Contagem!$W$13,IF(H365="A",N365*Contagem!$W$12,IF(H365="T",N365*Contagem!$W$14,""))))</f>
        <v/>
      </c>
      <c r="P365" s="19"/>
      <c r="Q365" s="19"/>
      <c r="R365" s="416"/>
      <c r="S365" s="416"/>
      <c r="T365" s="416"/>
    </row>
    <row r="366" spans="1:20" x14ac:dyDescent="0.25">
      <c r="A366" s="415"/>
      <c r="B366" s="416"/>
      <c r="C366" s="416"/>
      <c r="D366" s="416"/>
      <c r="E366" s="416"/>
      <c r="F366" s="417"/>
      <c r="G366" s="20"/>
      <c r="H366" s="20"/>
      <c r="I366" s="20"/>
      <c r="J366" s="20"/>
      <c r="K366" s="20" t="str">
        <f t="shared" si="3"/>
        <v/>
      </c>
      <c r="L366" s="21" t="str">
        <f t="shared" si="4"/>
        <v/>
      </c>
      <c r="M366" s="22" t="str">
        <f t="shared" si="5"/>
        <v/>
      </c>
      <c r="N366" s="23"/>
      <c r="O366" s="24" t="str">
        <f>IF(H366="I",N366*Contagem!$W$11,IF(H366="E",N366*Contagem!$W$13,IF(H366="A",N366*Contagem!$W$12,IF(H366="T",N366*Contagem!$W$14,""))))</f>
        <v/>
      </c>
      <c r="P366" s="19"/>
      <c r="Q366" s="19"/>
      <c r="R366" s="416"/>
      <c r="S366" s="416"/>
      <c r="T366" s="416"/>
    </row>
    <row r="367" spans="1:20" x14ac:dyDescent="0.25">
      <c r="A367" s="415"/>
      <c r="B367" s="416"/>
      <c r="C367" s="416"/>
      <c r="D367" s="416"/>
      <c r="E367" s="416"/>
      <c r="F367" s="417"/>
      <c r="G367" s="20"/>
      <c r="H367" s="20"/>
      <c r="I367" s="20"/>
      <c r="J367" s="20"/>
      <c r="K367" s="20" t="str">
        <f t="shared" si="3"/>
        <v/>
      </c>
      <c r="L367" s="21" t="str">
        <f t="shared" si="4"/>
        <v/>
      </c>
      <c r="M367" s="22" t="str">
        <f t="shared" si="5"/>
        <v/>
      </c>
      <c r="N367" s="23"/>
      <c r="O367" s="24" t="str">
        <f>IF(H367="I",N367*Contagem!$W$11,IF(H367="E",N367*Contagem!$W$13,IF(H367="A",N367*Contagem!$W$12,IF(H367="T",N367*Contagem!$W$14,""))))</f>
        <v/>
      </c>
      <c r="P367" s="19"/>
      <c r="Q367" s="19"/>
      <c r="R367" s="416"/>
      <c r="S367" s="416"/>
      <c r="T367" s="416"/>
    </row>
    <row r="368" spans="1:20" x14ac:dyDescent="0.25">
      <c r="A368" s="415"/>
      <c r="B368" s="416"/>
      <c r="C368" s="416"/>
      <c r="D368" s="416"/>
      <c r="E368" s="416"/>
      <c r="F368" s="417"/>
      <c r="G368" s="20"/>
      <c r="H368" s="20"/>
      <c r="I368" s="20"/>
      <c r="J368" s="20"/>
      <c r="K368" s="20" t="str">
        <f t="shared" si="3"/>
        <v/>
      </c>
      <c r="L368" s="21" t="str">
        <f t="shared" si="4"/>
        <v/>
      </c>
      <c r="M368" s="22" t="str">
        <f t="shared" si="5"/>
        <v/>
      </c>
      <c r="N368" s="23"/>
      <c r="O368" s="24" t="str">
        <f>IF(H368="I",N368*Contagem!$W$11,IF(H368="E",N368*Contagem!$W$13,IF(H368="A",N368*Contagem!$W$12,IF(H368="T",N368*Contagem!$W$14,""))))</f>
        <v/>
      </c>
      <c r="P368" s="19"/>
      <c r="Q368" s="19"/>
      <c r="R368" s="416"/>
      <c r="S368" s="416"/>
      <c r="T368" s="416"/>
    </row>
    <row r="369" spans="1:20" x14ac:dyDescent="0.25">
      <c r="A369" s="415"/>
      <c r="B369" s="416"/>
      <c r="C369" s="416"/>
      <c r="D369" s="416"/>
      <c r="E369" s="416"/>
      <c r="F369" s="417"/>
      <c r="G369" s="20"/>
      <c r="H369" s="20"/>
      <c r="I369" s="20"/>
      <c r="J369" s="20"/>
      <c r="K369" s="20" t="str">
        <f t="shared" si="3"/>
        <v/>
      </c>
      <c r="L369" s="21" t="str">
        <f t="shared" si="4"/>
        <v/>
      </c>
      <c r="M369" s="22" t="str">
        <f t="shared" si="5"/>
        <v/>
      </c>
      <c r="N369" s="23"/>
      <c r="O369" s="24" t="str">
        <f>IF(H369="I",N369*Contagem!$W$11,IF(H369="E",N369*Contagem!$W$13,IF(H369="A",N369*Contagem!$W$12,IF(H369="T",N369*Contagem!$W$14,""))))</f>
        <v/>
      </c>
      <c r="P369" s="19"/>
      <c r="Q369" s="19"/>
      <c r="R369" s="416"/>
      <c r="S369" s="416"/>
      <c r="T369" s="416"/>
    </row>
    <row r="370" spans="1:20" x14ac:dyDescent="0.25">
      <c r="A370" s="415"/>
      <c r="B370" s="416"/>
      <c r="C370" s="416"/>
      <c r="D370" s="416"/>
      <c r="E370" s="416"/>
      <c r="F370" s="417"/>
      <c r="G370" s="20"/>
      <c r="H370" s="20"/>
      <c r="I370" s="20"/>
      <c r="J370" s="20"/>
      <c r="K370" s="20" t="str">
        <f t="shared" si="3"/>
        <v/>
      </c>
      <c r="L370" s="21" t="str">
        <f t="shared" si="4"/>
        <v/>
      </c>
      <c r="M370" s="22" t="str">
        <f t="shared" si="5"/>
        <v/>
      </c>
      <c r="N370" s="23"/>
      <c r="O370" s="24" t="str">
        <f>IF(H370="I",N370*Contagem!$W$11,IF(H370="E",N370*Contagem!$W$13,IF(H370="A",N370*Contagem!$W$12,IF(H370="T",N370*Contagem!$W$14,""))))</f>
        <v/>
      </c>
      <c r="P370" s="19"/>
      <c r="Q370" s="19"/>
      <c r="R370" s="416"/>
      <c r="S370" s="416"/>
      <c r="T370" s="416"/>
    </row>
    <row r="371" spans="1:20" x14ac:dyDescent="0.25">
      <c r="A371" s="415"/>
      <c r="B371" s="416"/>
      <c r="C371" s="416"/>
      <c r="D371" s="416"/>
      <c r="E371" s="416"/>
      <c r="F371" s="417"/>
      <c r="G371" s="20"/>
      <c r="H371" s="20"/>
      <c r="I371" s="20"/>
      <c r="J371" s="20"/>
      <c r="K371" s="20" t="str">
        <f t="shared" si="3"/>
        <v/>
      </c>
      <c r="L371" s="21" t="str">
        <f t="shared" si="4"/>
        <v/>
      </c>
      <c r="M371" s="22" t="str">
        <f t="shared" si="5"/>
        <v/>
      </c>
      <c r="N371" s="23"/>
      <c r="O371" s="24" t="str">
        <f>IF(H371="I",N371*Contagem!$W$11,IF(H371="E",N371*Contagem!$W$13,IF(H371="A",N371*Contagem!$W$12,IF(H371="T",N371*Contagem!$W$14,""))))</f>
        <v/>
      </c>
      <c r="P371" s="19"/>
      <c r="Q371" s="19"/>
      <c r="R371" s="416"/>
      <c r="S371" s="416"/>
      <c r="T371" s="416"/>
    </row>
    <row r="372" spans="1:20" x14ac:dyDescent="0.25">
      <c r="A372" s="415"/>
      <c r="B372" s="416"/>
      <c r="C372" s="416"/>
      <c r="D372" s="416"/>
      <c r="E372" s="416"/>
      <c r="F372" s="417"/>
      <c r="G372" s="20"/>
      <c r="H372" s="20"/>
      <c r="I372" s="20"/>
      <c r="J372" s="20"/>
      <c r="K372" s="20" t="str">
        <f t="shared" si="3"/>
        <v/>
      </c>
      <c r="L372" s="21" t="str">
        <f t="shared" si="4"/>
        <v/>
      </c>
      <c r="M372" s="22" t="str">
        <f t="shared" si="5"/>
        <v/>
      </c>
      <c r="N372" s="23"/>
      <c r="O372" s="24" t="str">
        <f>IF(H372="I",N372*Contagem!$W$11,IF(H372="E",N372*Contagem!$W$13,IF(H372="A",N372*Contagem!$W$12,IF(H372="T",N372*Contagem!$W$14,""))))</f>
        <v/>
      </c>
      <c r="P372" s="19"/>
      <c r="Q372" s="19"/>
      <c r="R372" s="416"/>
      <c r="S372" s="416"/>
      <c r="T372" s="416"/>
    </row>
    <row r="373" spans="1:20" x14ac:dyDescent="0.25">
      <c r="A373" s="415"/>
      <c r="B373" s="416"/>
      <c r="C373" s="416"/>
      <c r="D373" s="416"/>
      <c r="E373" s="416"/>
      <c r="F373" s="417"/>
      <c r="G373" s="20"/>
      <c r="H373" s="20"/>
      <c r="I373" s="20"/>
      <c r="J373" s="20"/>
      <c r="K373" s="20" t="str">
        <f t="shared" si="3"/>
        <v/>
      </c>
      <c r="L373" s="21" t="str">
        <f t="shared" si="4"/>
        <v/>
      </c>
      <c r="M373" s="22" t="str">
        <f t="shared" si="5"/>
        <v/>
      </c>
      <c r="N373" s="23"/>
      <c r="O373" s="24" t="str">
        <f>IF(H373="I",N373*Contagem!$W$11,IF(H373="E",N373*Contagem!$W$13,IF(H373="A",N373*Contagem!$W$12,IF(H373="T",N373*Contagem!$W$14,""))))</f>
        <v/>
      </c>
      <c r="P373" s="19"/>
      <c r="Q373" s="19"/>
      <c r="R373" s="416"/>
      <c r="S373" s="416"/>
      <c r="T373" s="416"/>
    </row>
    <row r="374" spans="1:20" x14ac:dyDescent="0.25">
      <c r="A374" s="415"/>
      <c r="B374" s="416"/>
      <c r="C374" s="416"/>
      <c r="D374" s="416"/>
      <c r="E374" s="416"/>
      <c r="F374" s="417"/>
      <c r="G374" s="20"/>
      <c r="H374" s="20"/>
      <c r="I374" s="20"/>
      <c r="J374" s="20"/>
      <c r="K374" s="20" t="str">
        <f t="shared" ref="K374:K437" si="6">CONCATENATE(G374,L374)</f>
        <v/>
      </c>
      <c r="L374" s="21" t="str">
        <f t="shared" ref="L374:L437" si="7">IF(OR(ISBLANK(I374),ISBLANK(J374)),IF(OR(G374="ALI",G374="AIE"),"L",IF(ISBLANK(G374),"","A")),IF(G374="EE",IF(J374&gt;=3,IF(I374&gt;=5,"H","A"),IF(J374&gt;=2,IF(I374&gt;=16,"H",IF(I374&lt;=4,"L","A")),IF(I374&lt;=15,"L","A"))),IF(OR(G374="SE",G374="CE"),IF(J374&gt;=4,IF(I374&gt;=6,"H","A"),IF(J374&gt;=2,IF(I374&gt;=20,"H",IF(I374&lt;=5,"L","A")),IF(I374&lt;=19,"L","A"))),IF(OR(G374="ALI",G374="AIE"),IF(J374&gt;=6,IF(I374&gt;=20,"H","A"),IF(J374&gt;=2,IF(I374&gt;=51,"H",IF(I374&lt;=19,"L","A")),IF(I374&lt;=50,"L","A")))))))</f>
        <v/>
      </c>
      <c r="M374" s="22" t="str">
        <f t="shared" ref="M374:M437" si="8">IF(L374="L","Baixa",IF(L374="A","Média",IF(L374="","","Alta")))</f>
        <v/>
      </c>
      <c r="N374" s="23"/>
      <c r="O374" s="24" t="str">
        <f>IF(H374="I",N374*Contagem!$W$11,IF(H374="E",N374*Contagem!$W$13,IF(H374="A",N374*Contagem!$W$12,IF(H374="T",N374*Contagem!$W$14,""))))</f>
        <v/>
      </c>
      <c r="P374" s="19"/>
      <c r="Q374" s="19"/>
      <c r="R374" s="416"/>
      <c r="S374" s="416"/>
      <c r="T374" s="416"/>
    </row>
    <row r="375" spans="1:20" x14ac:dyDescent="0.25">
      <c r="A375" s="415"/>
      <c r="B375" s="416"/>
      <c r="C375" s="416"/>
      <c r="D375" s="416"/>
      <c r="E375" s="416"/>
      <c r="F375" s="417"/>
      <c r="G375" s="20"/>
      <c r="H375" s="20"/>
      <c r="I375" s="20"/>
      <c r="J375" s="20"/>
      <c r="K375" s="20" t="str">
        <f t="shared" si="6"/>
        <v/>
      </c>
      <c r="L375" s="21" t="str">
        <f t="shared" si="7"/>
        <v/>
      </c>
      <c r="M375" s="22" t="str">
        <f t="shared" si="8"/>
        <v/>
      </c>
      <c r="N375" s="23"/>
      <c r="O375" s="24" t="str">
        <f>IF(H375="I",N375*Contagem!$W$11,IF(H375="E",N375*Contagem!$W$13,IF(H375="A",N375*Contagem!$W$12,IF(H375="T",N375*Contagem!$W$14,""))))</f>
        <v/>
      </c>
      <c r="P375" s="19"/>
      <c r="Q375" s="19"/>
      <c r="R375" s="416"/>
      <c r="S375" s="416"/>
      <c r="T375" s="416"/>
    </row>
    <row r="376" spans="1:20" x14ac:dyDescent="0.25">
      <c r="A376" s="415"/>
      <c r="B376" s="416"/>
      <c r="C376" s="416"/>
      <c r="D376" s="416"/>
      <c r="E376" s="416"/>
      <c r="F376" s="417"/>
      <c r="G376" s="20"/>
      <c r="H376" s="20"/>
      <c r="I376" s="20"/>
      <c r="J376" s="20"/>
      <c r="K376" s="20" t="str">
        <f t="shared" si="6"/>
        <v/>
      </c>
      <c r="L376" s="21" t="str">
        <f t="shared" si="7"/>
        <v/>
      </c>
      <c r="M376" s="22" t="str">
        <f t="shared" si="8"/>
        <v/>
      </c>
      <c r="N376" s="23"/>
      <c r="O376" s="24" t="str">
        <f>IF(H376="I",N376*Contagem!$W$11,IF(H376="E",N376*Contagem!$W$13,IF(H376="A",N376*Contagem!$W$12,IF(H376="T",N376*Contagem!$W$14,""))))</f>
        <v/>
      </c>
      <c r="P376" s="19"/>
      <c r="Q376" s="19"/>
      <c r="R376" s="416"/>
      <c r="S376" s="416"/>
      <c r="T376" s="416"/>
    </row>
    <row r="377" spans="1:20" x14ac:dyDescent="0.25">
      <c r="A377" s="415"/>
      <c r="B377" s="416"/>
      <c r="C377" s="416"/>
      <c r="D377" s="416"/>
      <c r="E377" s="416"/>
      <c r="F377" s="417"/>
      <c r="G377" s="20"/>
      <c r="H377" s="20"/>
      <c r="I377" s="20"/>
      <c r="J377" s="20"/>
      <c r="K377" s="20" t="str">
        <f t="shared" si="6"/>
        <v/>
      </c>
      <c r="L377" s="21" t="str">
        <f t="shared" si="7"/>
        <v/>
      </c>
      <c r="M377" s="22" t="str">
        <f t="shared" si="8"/>
        <v/>
      </c>
      <c r="N377" s="23"/>
      <c r="O377" s="24" t="str">
        <f>IF(H377="I",N377*Contagem!$W$11,IF(H377="E",N377*Contagem!$W$13,IF(H377="A",N377*Contagem!$W$12,IF(H377="T",N377*Contagem!$W$14,""))))</f>
        <v/>
      </c>
      <c r="P377" s="19"/>
      <c r="Q377" s="19"/>
      <c r="R377" s="416"/>
      <c r="S377" s="416"/>
      <c r="T377" s="416"/>
    </row>
    <row r="378" spans="1:20" x14ac:dyDescent="0.25">
      <c r="A378" s="415"/>
      <c r="B378" s="416"/>
      <c r="C378" s="416"/>
      <c r="D378" s="416"/>
      <c r="E378" s="416"/>
      <c r="F378" s="417"/>
      <c r="G378" s="20"/>
      <c r="H378" s="20"/>
      <c r="I378" s="20"/>
      <c r="J378" s="20"/>
      <c r="K378" s="20" t="str">
        <f t="shared" si="6"/>
        <v/>
      </c>
      <c r="L378" s="21" t="str">
        <f t="shared" si="7"/>
        <v/>
      </c>
      <c r="M378" s="22" t="str">
        <f t="shared" si="8"/>
        <v/>
      </c>
      <c r="N378" s="23"/>
      <c r="O378" s="24" t="str">
        <f>IF(H378="I",N378*Contagem!$W$11,IF(H378="E",N378*Contagem!$W$13,IF(H378="A",N378*Contagem!$W$12,IF(H378="T",N378*Contagem!$W$14,""))))</f>
        <v/>
      </c>
      <c r="P378" s="19"/>
      <c r="Q378" s="19"/>
      <c r="R378" s="416"/>
      <c r="S378" s="416"/>
      <c r="T378" s="416"/>
    </row>
    <row r="379" spans="1:20" x14ac:dyDescent="0.25">
      <c r="A379" s="415"/>
      <c r="B379" s="416"/>
      <c r="C379" s="416"/>
      <c r="D379" s="416"/>
      <c r="E379" s="416"/>
      <c r="F379" s="417"/>
      <c r="G379" s="20"/>
      <c r="H379" s="20"/>
      <c r="I379" s="20"/>
      <c r="J379" s="20"/>
      <c r="K379" s="20" t="str">
        <f t="shared" si="6"/>
        <v/>
      </c>
      <c r="L379" s="21" t="str">
        <f t="shared" si="7"/>
        <v/>
      </c>
      <c r="M379" s="22" t="str">
        <f t="shared" si="8"/>
        <v/>
      </c>
      <c r="N379" s="23"/>
      <c r="O379" s="24" t="str">
        <f>IF(H379="I",N379*Contagem!$W$11,IF(H379="E",N379*Contagem!$W$13,IF(H379="A",N379*Contagem!$W$12,IF(H379="T",N379*Contagem!$W$14,""))))</f>
        <v/>
      </c>
      <c r="P379" s="19"/>
      <c r="Q379" s="19"/>
      <c r="R379" s="416"/>
      <c r="S379" s="416"/>
      <c r="T379" s="416"/>
    </row>
    <row r="380" spans="1:20" x14ac:dyDescent="0.25">
      <c r="A380" s="415"/>
      <c r="B380" s="416"/>
      <c r="C380" s="416"/>
      <c r="D380" s="416"/>
      <c r="E380" s="416"/>
      <c r="F380" s="417"/>
      <c r="G380" s="20"/>
      <c r="H380" s="20"/>
      <c r="I380" s="20"/>
      <c r="J380" s="20"/>
      <c r="K380" s="20" t="str">
        <f t="shared" si="6"/>
        <v/>
      </c>
      <c r="L380" s="21" t="str">
        <f t="shared" si="7"/>
        <v/>
      </c>
      <c r="M380" s="22" t="str">
        <f t="shared" si="8"/>
        <v/>
      </c>
      <c r="N380" s="23"/>
      <c r="O380" s="24" t="str">
        <f>IF(H380="I",N380*Contagem!$W$11,IF(H380="E",N380*Contagem!$W$13,IF(H380="A",N380*Contagem!$W$12,IF(H380="T",N380*Contagem!$W$14,""))))</f>
        <v/>
      </c>
      <c r="P380" s="19"/>
      <c r="Q380" s="19"/>
      <c r="R380" s="416"/>
      <c r="S380" s="416"/>
      <c r="T380" s="416"/>
    </row>
    <row r="381" spans="1:20" x14ac:dyDescent="0.25">
      <c r="A381" s="415"/>
      <c r="B381" s="416"/>
      <c r="C381" s="416"/>
      <c r="D381" s="416"/>
      <c r="E381" s="416"/>
      <c r="F381" s="417"/>
      <c r="G381" s="20"/>
      <c r="H381" s="20"/>
      <c r="I381" s="20"/>
      <c r="J381" s="20"/>
      <c r="K381" s="20" t="str">
        <f t="shared" si="6"/>
        <v/>
      </c>
      <c r="L381" s="21" t="str">
        <f t="shared" si="7"/>
        <v/>
      </c>
      <c r="M381" s="22" t="str">
        <f t="shared" si="8"/>
        <v/>
      </c>
      <c r="N381" s="23"/>
      <c r="O381" s="24" t="str">
        <f>IF(H381="I",N381*Contagem!$W$11,IF(H381="E",N381*Contagem!$W$13,IF(H381="A",N381*Contagem!$W$12,IF(H381="T",N381*Contagem!$W$14,""))))</f>
        <v/>
      </c>
      <c r="P381" s="19"/>
      <c r="Q381" s="19"/>
      <c r="R381" s="416"/>
      <c r="S381" s="416"/>
      <c r="T381" s="416"/>
    </row>
    <row r="382" spans="1:20" x14ac:dyDescent="0.25">
      <c r="A382" s="415"/>
      <c r="B382" s="416"/>
      <c r="C382" s="416"/>
      <c r="D382" s="416"/>
      <c r="E382" s="416"/>
      <c r="F382" s="417"/>
      <c r="G382" s="20"/>
      <c r="H382" s="20"/>
      <c r="I382" s="20"/>
      <c r="J382" s="20"/>
      <c r="K382" s="20" t="str">
        <f t="shared" si="6"/>
        <v/>
      </c>
      <c r="L382" s="21" t="str">
        <f t="shared" si="7"/>
        <v/>
      </c>
      <c r="M382" s="22" t="str">
        <f t="shared" si="8"/>
        <v/>
      </c>
      <c r="N382" s="23"/>
      <c r="O382" s="24" t="str">
        <f>IF(H382="I",N382*Contagem!$W$11,IF(H382="E",N382*Contagem!$W$13,IF(H382="A",N382*Contagem!$W$12,IF(H382="T",N382*Contagem!$W$14,""))))</f>
        <v/>
      </c>
      <c r="P382" s="19"/>
      <c r="Q382" s="19"/>
      <c r="R382" s="416"/>
      <c r="S382" s="416"/>
      <c r="T382" s="416"/>
    </row>
    <row r="383" spans="1:20" x14ac:dyDescent="0.25">
      <c r="A383" s="415"/>
      <c r="B383" s="416"/>
      <c r="C383" s="416"/>
      <c r="D383" s="416"/>
      <c r="E383" s="416"/>
      <c r="F383" s="417"/>
      <c r="G383" s="20"/>
      <c r="H383" s="20"/>
      <c r="I383" s="20"/>
      <c r="J383" s="20"/>
      <c r="K383" s="20" t="str">
        <f t="shared" si="6"/>
        <v/>
      </c>
      <c r="L383" s="21" t="str">
        <f t="shared" si="7"/>
        <v/>
      </c>
      <c r="M383" s="22" t="str">
        <f t="shared" si="8"/>
        <v/>
      </c>
      <c r="N383" s="23"/>
      <c r="O383" s="24" t="str">
        <f>IF(H383="I",N383*Contagem!$W$11,IF(H383="E",N383*Contagem!$W$13,IF(H383="A",N383*Contagem!$W$12,IF(H383="T",N383*Contagem!$W$14,""))))</f>
        <v/>
      </c>
      <c r="P383" s="19"/>
      <c r="Q383" s="19"/>
      <c r="R383" s="416"/>
      <c r="S383" s="416"/>
      <c r="T383" s="416"/>
    </row>
    <row r="384" spans="1:20" x14ac:dyDescent="0.25">
      <c r="A384" s="415"/>
      <c r="B384" s="416"/>
      <c r="C384" s="416"/>
      <c r="D384" s="416"/>
      <c r="E384" s="416"/>
      <c r="F384" s="417"/>
      <c r="G384" s="20"/>
      <c r="H384" s="20"/>
      <c r="I384" s="20"/>
      <c r="J384" s="20"/>
      <c r="K384" s="20" t="str">
        <f t="shared" si="6"/>
        <v/>
      </c>
      <c r="L384" s="21" t="str">
        <f t="shared" si="7"/>
        <v/>
      </c>
      <c r="M384" s="22" t="str">
        <f t="shared" si="8"/>
        <v/>
      </c>
      <c r="N384" s="23"/>
      <c r="O384" s="24" t="str">
        <f>IF(H384="I",N384*Contagem!$W$11,IF(H384="E",N384*Contagem!$W$13,IF(H384="A",N384*Contagem!$W$12,IF(H384="T",N384*Contagem!$W$14,""))))</f>
        <v/>
      </c>
      <c r="P384" s="19"/>
      <c r="Q384" s="19"/>
      <c r="R384" s="416"/>
      <c r="S384" s="416"/>
      <c r="T384" s="416"/>
    </row>
    <row r="385" spans="1:20" x14ac:dyDescent="0.25">
      <c r="A385" s="415"/>
      <c r="B385" s="416"/>
      <c r="C385" s="416"/>
      <c r="D385" s="416"/>
      <c r="E385" s="416"/>
      <c r="F385" s="417"/>
      <c r="G385" s="20"/>
      <c r="H385" s="20"/>
      <c r="I385" s="20"/>
      <c r="J385" s="20"/>
      <c r="K385" s="20" t="str">
        <f t="shared" si="6"/>
        <v/>
      </c>
      <c r="L385" s="21" t="str">
        <f t="shared" si="7"/>
        <v/>
      </c>
      <c r="M385" s="22" t="str">
        <f t="shared" si="8"/>
        <v/>
      </c>
      <c r="N385" s="23"/>
      <c r="O385" s="24" t="str">
        <f>IF(H385="I",N385*Contagem!$W$11,IF(H385="E",N385*Contagem!$W$13,IF(H385="A",N385*Contagem!$W$12,IF(H385="T",N385*Contagem!$W$14,""))))</f>
        <v/>
      </c>
      <c r="P385" s="19"/>
      <c r="Q385" s="19"/>
      <c r="R385" s="416"/>
      <c r="S385" s="416"/>
      <c r="T385" s="416"/>
    </row>
    <row r="386" spans="1:20" x14ac:dyDescent="0.25">
      <c r="A386" s="415"/>
      <c r="B386" s="416"/>
      <c r="C386" s="416"/>
      <c r="D386" s="416"/>
      <c r="E386" s="416"/>
      <c r="F386" s="417"/>
      <c r="G386" s="20"/>
      <c r="H386" s="20"/>
      <c r="I386" s="20"/>
      <c r="J386" s="20"/>
      <c r="K386" s="20" t="str">
        <f t="shared" si="6"/>
        <v/>
      </c>
      <c r="L386" s="21" t="str">
        <f t="shared" si="7"/>
        <v/>
      </c>
      <c r="M386" s="22" t="str">
        <f t="shared" si="8"/>
        <v/>
      </c>
      <c r="N386" s="23"/>
      <c r="O386" s="24" t="str">
        <f>IF(H386="I",N386*Contagem!$W$11,IF(H386="E",N386*Contagem!$W$13,IF(H386="A",N386*Contagem!$W$12,IF(H386="T",N386*Contagem!$W$14,""))))</f>
        <v/>
      </c>
      <c r="P386" s="19"/>
      <c r="Q386" s="19"/>
      <c r="R386" s="416"/>
      <c r="S386" s="416"/>
      <c r="T386" s="416"/>
    </row>
    <row r="387" spans="1:20" x14ac:dyDescent="0.25">
      <c r="A387" s="415"/>
      <c r="B387" s="416"/>
      <c r="C387" s="416"/>
      <c r="D387" s="416"/>
      <c r="E387" s="416"/>
      <c r="F387" s="417"/>
      <c r="G387" s="20"/>
      <c r="H387" s="20"/>
      <c r="I387" s="20"/>
      <c r="J387" s="20"/>
      <c r="K387" s="20" t="str">
        <f t="shared" si="6"/>
        <v/>
      </c>
      <c r="L387" s="21" t="str">
        <f t="shared" si="7"/>
        <v/>
      </c>
      <c r="M387" s="22" t="str">
        <f t="shared" si="8"/>
        <v/>
      </c>
      <c r="N387" s="23"/>
      <c r="O387" s="24" t="str">
        <f>IF(H387="I",N387*Contagem!$W$11,IF(H387="E",N387*Contagem!$W$13,IF(H387="A",N387*Contagem!$W$12,IF(H387="T",N387*Contagem!$W$14,""))))</f>
        <v/>
      </c>
      <c r="P387" s="19"/>
      <c r="Q387" s="19"/>
      <c r="R387" s="416"/>
      <c r="S387" s="416"/>
      <c r="T387" s="416"/>
    </row>
    <row r="388" spans="1:20" x14ac:dyDescent="0.25">
      <c r="A388" s="415"/>
      <c r="B388" s="416"/>
      <c r="C388" s="416"/>
      <c r="D388" s="416"/>
      <c r="E388" s="416"/>
      <c r="F388" s="417"/>
      <c r="G388" s="20"/>
      <c r="H388" s="20"/>
      <c r="I388" s="20"/>
      <c r="J388" s="20"/>
      <c r="K388" s="20" t="str">
        <f t="shared" si="6"/>
        <v/>
      </c>
      <c r="L388" s="21" t="str">
        <f t="shared" si="7"/>
        <v/>
      </c>
      <c r="M388" s="22" t="str">
        <f t="shared" si="8"/>
        <v/>
      </c>
      <c r="N388" s="23"/>
      <c r="O388" s="24" t="str">
        <f>IF(H388="I",N388*Contagem!$W$11,IF(H388="E",N388*Contagem!$W$13,IF(H388="A",N388*Contagem!$W$12,IF(H388="T",N388*Contagem!$W$14,""))))</f>
        <v/>
      </c>
      <c r="P388" s="19"/>
      <c r="Q388" s="19"/>
      <c r="R388" s="416"/>
      <c r="S388" s="416"/>
      <c r="T388" s="416"/>
    </row>
    <row r="389" spans="1:20" x14ac:dyDescent="0.25">
      <c r="A389" s="415"/>
      <c r="B389" s="416"/>
      <c r="C389" s="416"/>
      <c r="D389" s="416"/>
      <c r="E389" s="416"/>
      <c r="F389" s="417"/>
      <c r="G389" s="20"/>
      <c r="H389" s="20"/>
      <c r="I389" s="20"/>
      <c r="J389" s="20"/>
      <c r="K389" s="20" t="str">
        <f t="shared" si="6"/>
        <v/>
      </c>
      <c r="L389" s="21" t="str">
        <f t="shared" si="7"/>
        <v/>
      </c>
      <c r="M389" s="22" t="str">
        <f t="shared" si="8"/>
        <v/>
      </c>
      <c r="N389" s="23"/>
      <c r="O389" s="24" t="str">
        <f>IF(H389="I",N389*Contagem!$W$11,IF(H389="E",N389*Contagem!$W$13,IF(H389="A",N389*Contagem!$W$12,IF(H389="T",N389*Contagem!$W$14,""))))</f>
        <v/>
      </c>
      <c r="P389" s="19"/>
      <c r="Q389" s="19"/>
      <c r="R389" s="416"/>
      <c r="S389" s="416"/>
      <c r="T389" s="416"/>
    </row>
    <row r="390" spans="1:20" x14ac:dyDescent="0.25">
      <c r="A390" s="415"/>
      <c r="B390" s="416"/>
      <c r="C390" s="416"/>
      <c r="D390" s="416"/>
      <c r="E390" s="416"/>
      <c r="F390" s="417"/>
      <c r="G390" s="20"/>
      <c r="H390" s="20"/>
      <c r="I390" s="20"/>
      <c r="J390" s="20"/>
      <c r="K390" s="20" t="str">
        <f t="shared" si="6"/>
        <v/>
      </c>
      <c r="L390" s="21" t="str">
        <f t="shared" si="7"/>
        <v/>
      </c>
      <c r="M390" s="22" t="str">
        <f t="shared" si="8"/>
        <v/>
      </c>
      <c r="N390" s="23"/>
      <c r="O390" s="24" t="str">
        <f>IF(H390="I",N390*Contagem!$W$11,IF(H390="E",N390*Contagem!$W$13,IF(H390="A",N390*Contagem!$W$12,IF(H390="T",N390*Contagem!$W$14,""))))</f>
        <v/>
      </c>
      <c r="P390" s="19"/>
      <c r="Q390" s="19"/>
      <c r="R390" s="416"/>
      <c r="S390" s="416"/>
      <c r="T390" s="416"/>
    </row>
    <row r="391" spans="1:20" x14ac:dyDescent="0.25">
      <c r="A391" s="415"/>
      <c r="B391" s="416"/>
      <c r="C391" s="416"/>
      <c r="D391" s="416"/>
      <c r="E391" s="416"/>
      <c r="F391" s="417"/>
      <c r="G391" s="20"/>
      <c r="H391" s="20"/>
      <c r="I391" s="20"/>
      <c r="J391" s="20"/>
      <c r="K391" s="20" t="str">
        <f t="shared" si="6"/>
        <v/>
      </c>
      <c r="L391" s="21" t="str">
        <f t="shared" si="7"/>
        <v/>
      </c>
      <c r="M391" s="22" t="str">
        <f t="shared" si="8"/>
        <v/>
      </c>
      <c r="N391" s="23"/>
      <c r="O391" s="24" t="str">
        <f>IF(H391="I",N391*Contagem!$W$11,IF(H391="E",N391*Contagem!$W$13,IF(H391="A",N391*Contagem!$W$12,IF(H391="T",N391*Contagem!$W$14,""))))</f>
        <v/>
      </c>
      <c r="P391" s="19"/>
      <c r="Q391" s="19"/>
      <c r="R391" s="416"/>
      <c r="S391" s="416"/>
      <c r="T391" s="416"/>
    </row>
    <row r="392" spans="1:20" x14ac:dyDescent="0.25">
      <c r="A392" s="415"/>
      <c r="B392" s="416"/>
      <c r="C392" s="416"/>
      <c r="D392" s="416"/>
      <c r="E392" s="416"/>
      <c r="F392" s="417"/>
      <c r="G392" s="20"/>
      <c r="H392" s="20"/>
      <c r="I392" s="20"/>
      <c r="J392" s="20"/>
      <c r="K392" s="20" t="str">
        <f t="shared" si="6"/>
        <v/>
      </c>
      <c r="L392" s="21" t="str">
        <f t="shared" si="7"/>
        <v/>
      </c>
      <c r="M392" s="22" t="str">
        <f t="shared" si="8"/>
        <v/>
      </c>
      <c r="N392" s="23"/>
      <c r="O392" s="24" t="str">
        <f>IF(H392="I",N392*Contagem!$W$11,IF(H392="E",N392*Contagem!$W$13,IF(H392="A",N392*Contagem!$W$12,IF(H392="T",N392*Contagem!$W$14,""))))</f>
        <v/>
      </c>
      <c r="P392" s="19"/>
      <c r="Q392" s="19"/>
      <c r="R392" s="416"/>
      <c r="S392" s="416"/>
      <c r="T392" s="416"/>
    </row>
    <row r="393" spans="1:20" x14ac:dyDescent="0.25">
      <c r="A393" s="415"/>
      <c r="B393" s="416"/>
      <c r="C393" s="416"/>
      <c r="D393" s="416"/>
      <c r="E393" s="416"/>
      <c r="F393" s="417"/>
      <c r="G393" s="20"/>
      <c r="H393" s="20"/>
      <c r="I393" s="20"/>
      <c r="J393" s="20"/>
      <c r="K393" s="20" t="str">
        <f t="shared" si="6"/>
        <v/>
      </c>
      <c r="L393" s="21" t="str">
        <f t="shared" si="7"/>
        <v/>
      </c>
      <c r="M393" s="22" t="str">
        <f t="shared" si="8"/>
        <v/>
      </c>
      <c r="N393" s="23"/>
      <c r="O393" s="24" t="str">
        <f>IF(H393="I",N393*Contagem!$W$11,IF(H393="E",N393*Contagem!$W$13,IF(H393="A",N393*Contagem!$W$12,IF(H393="T",N393*Contagem!$W$14,""))))</f>
        <v/>
      </c>
      <c r="P393" s="19"/>
      <c r="Q393" s="19"/>
      <c r="R393" s="416"/>
      <c r="S393" s="416"/>
      <c r="T393" s="416"/>
    </row>
    <row r="394" spans="1:20" x14ac:dyDescent="0.25">
      <c r="A394" s="415"/>
      <c r="B394" s="416"/>
      <c r="C394" s="416"/>
      <c r="D394" s="416"/>
      <c r="E394" s="416"/>
      <c r="F394" s="417"/>
      <c r="G394" s="20"/>
      <c r="H394" s="20"/>
      <c r="I394" s="20"/>
      <c r="J394" s="20"/>
      <c r="K394" s="20" t="str">
        <f t="shared" si="6"/>
        <v/>
      </c>
      <c r="L394" s="21" t="str">
        <f t="shared" si="7"/>
        <v/>
      </c>
      <c r="M394" s="22" t="str">
        <f t="shared" si="8"/>
        <v/>
      </c>
      <c r="N394" s="23"/>
      <c r="O394" s="24" t="str">
        <f>IF(H394="I",N394*Contagem!$W$11,IF(H394="E",N394*Contagem!$W$13,IF(H394="A",N394*Contagem!$W$12,IF(H394="T",N394*Contagem!$W$14,""))))</f>
        <v/>
      </c>
      <c r="P394" s="19"/>
      <c r="Q394" s="19"/>
      <c r="R394" s="416"/>
      <c r="S394" s="416"/>
      <c r="T394" s="416"/>
    </row>
    <row r="395" spans="1:20" x14ac:dyDescent="0.25">
      <c r="A395" s="415"/>
      <c r="B395" s="416"/>
      <c r="C395" s="416"/>
      <c r="D395" s="416"/>
      <c r="E395" s="416"/>
      <c r="F395" s="417"/>
      <c r="G395" s="20"/>
      <c r="H395" s="20"/>
      <c r="I395" s="20"/>
      <c r="J395" s="20"/>
      <c r="K395" s="20" t="str">
        <f t="shared" si="6"/>
        <v/>
      </c>
      <c r="L395" s="21" t="str">
        <f t="shared" si="7"/>
        <v/>
      </c>
      <c r="M395" s="22" t="str">
        <f t="shared" si="8"/>
        <v/>
      </c>
      <c r="N395" s="23"/>
      <c r="O395" s="24" t="str">
        <f>IF(H395="I",N395*Contagem!$W$11,IF(H395="E",N395*Contagem!$W$13,IF(H395="A",N395*Contagem!$W$12,IF(H395="T",N395*Contagem!$W$14,""))))</f>
        <v/>
      </c>
      <c r="P395" s="19"/>
      <c r="Q395" s="19"/>
      <c r="R395" s="416"/>
      <c r="S395" s="416"/>
      <c r="T395" s="416"/>
    </row>
    <row r="396" spans="1:20" x14ac:dyDescent="0.25">
      <c r="A396" s="415"/>
      <c r="B396" s="416"/>
      <c r="C396" s="416"/>
      <c r="D396" s="416"/>
      <c r="E396" s="416"/>
      <c r="F396" s="417"/>
      <c r="G396" s="20"/>
      <c r="H396" s="20"/>
      <c r="I396" s="20"/>
      <c r="J396" s="20"/>
      <c r="K396" s="20" t="str">
        <f t="shared" si="6"/>
        <v/>
      </c>
      <c r="L396" s="21" t="str">
        <f t="shared" si="7"/>
        <v/>
      </c>
      <c r="M396" s="22" t="str">
        <f t="shared" si="8"/>
        <v/>
      </c>
      <c r="N396" s="23"/>
      <c r="O396" s="24" t="str">
        <f>IF(H396="I",N396*Contagem!$W$11,IF(H396="E",N396*Contagem!$W$13,IF(H396="A",N396*Contagem!$W$12,IF(H396="T",N396*Contagem!$W$14,""))))</f>
        <v/>
      </c>
      <c r="P396" s="19"/>
      <c r="Q396" s="19"/>
      <c r="R396" s="416"/>
      <c r="S396" s="416"/>
      <c r="T396" s="416"/>
    </row>
    <row r="397" spans="1:20" x14ac:dyDescent="0.25">
      <c r="A397" s="415"/>
      <c r="B397" s="416"/>
      <c r="C397" s="416"/>
      <c r="D397" s="416"/>
      <c r="E397" s="416"/>
      <c r="F397" s="417"/>
      <c r="G397" s="20"/>
      <c r="H397" s="20"/>
      <c r="I397" s="20"/>
      <c r="J397" s="20"/>
      <c r="K397" s="20" t="str">
        <f t="shared" si="6"/>
        <v/>
      </c>
      <c r="L397" s="21" t="str">
        <f t="shared" si="7"/>
        <v/>
      </c>
      <c r="M397" s="22" t="str">
        <f t="shared" si="8"/>
        <v/>
      </c>
      <c r="N397" s="23"/>
      <c r="O397" s="24" t="str">
        <f>IF(H397="I",N397*Contagem!$W$11,IF(H397="E",N397*Contagem!$W$13,IF(H397="A",N397*Contagem!$W$12,IF(H397="T",N397*Contagem!$W$14,""))))</f>
        <v/>
      </c>
      <c r="P397" s="19"/>
      <c r="Q397" s="19"/>
      <c r="R397" s="416"/>
      <c r="S397" s="416"/>
      <c r="T397" s="416"/>
    </row>
    <row r="398" spans="1:20" x14ac:dyDescent="0.25">
      <c r="A398" s="415"/>
      <c r="B398" s="416"/>
      <c r="C398" s="416"/>
      <c r="D398" s="416"/>
      <c r="E398" s="416"/>
      <c r="F398" s="417"/>
      <c r="G398" s="20"/>
      <c r="H398" s="20"/>
      <c r="I398" s="20"/>
      <c r="J398" s="20"/>
      <c r="K398" s="20" t="str">
        <f t="shared" si="6"/>
        <v/>
      </c>
      <c r="L398" s="21" t="str">
        <f t="shared" si="7"/>
        <v/>
      </c>
      <c r="M398" s="22" t="str">
        <f t="shared" si="8"/>
        <v/>
      </c>
      <c r="N398" s="23"/>
      <c r="O398" s="24" t="str">
        <f>IF(H398="I",N398*Contagem!$W$11,IF(H398="E",N398*Contagem!$W$13,IF(H398="A",N398*Contagem!$W$12,IF(H398="T",N398*Contagem!$W$14,""))))</f>
        <v/>
      </c>
      <c r="P398" s="19"/>
      <c r="Q398" s="19"/>
      <c r="R398" s="416"/>
      <c r="S398" s="416"/>
      <c r="T398" s="416"/>
    </row>
    <row r="399" spans="1:20" x14ac:dyDescent="0.25">
      <c r="A399" s="415"/>
      <c r="B399" s="416"/>
      <c r="C399" s="416"/>
      <c r="D399" s="416"/>
      <c r="E399" s="416"/>
      <c r="F399" s="417"/>
      <c r="G399" s="20"/>
      <c r="H399" s="20"/>
      <c r="I399" s="20"/>
      <c r="J399" s="20"/>
      <c r="K399" s="20" t="str">
        <f t="shared" si="6"/>
        <v/>
      </c>
      <c r="L399" s="21" t="str">
        <f t="shared" si="7"/>
        <v/>
      </c>
      <c r="M399" s="22" t="str">
        <f t="shared" si="8"/>
        <v/>
      </c>
      <c r="N399" s="23"/>
      <c r="O399" s="24" t="str">
        <f>IF(H399="I",N399*Contagem!$W$11,IF(H399="E",N399*Contagem!$W$13,IF(H399="A",N399*Contagem!$W$12,IF(H399="T",N399*Contagem!$W$14,""))))</f>
        <v/>
      </c>
      <c r="P399" s="19"/>
      <c r="Q399" s="19"/>
      <c r="R399" s="416"/>
      <c r="S399" s="416"/>
      <c r="T399" s="416"/>
    </row>
    <row r="400" spans="1:20" x14ac:dyDescent="0.25">
      <c r="A400" s="415"/>
      <c r="B400" s="416"/>
      <c r="C400" s="416"/>
      <c r="D400" s="416"/>
      <c r="E400" s="416"/>
      <c r="F400" s="417"/>
      <c r="G400" s="20"/>
      <c r="H400" s="20"/>
      <c r="I400" s="20"/>
      <c r="J400" s="20"/>
      <c r="K400" s="20" t="str">
        <f t="shared" si="6"/>
        <v/>
      </c>
      <c r="L400" s="21" t="str">
        <f t="shared" si="7"/>
        <v/>
      </c>
      <c r="M400" s="22" t="str">
        <f t="shared" si="8"/>
        <v/>
      </c>
      <c r="N400" s="23"/>
      <c r="O400" s="24" t="str">
        <f>IF(H400="I",N400*Contagem!$W$11,IF(H400="E",N400*Contagem!$W$13,IF(H400="A",N400*Contagem!$W$12,IF(H400="T",N400*Contagem!$W$14,""))))</f>
        <v/>
      </c>
      <c r="P400" s="19"/>
      <c r="Q400" s="19"/>
      <c r="R400" s="416"/>
      <c r="S400" s="416"/>
      <c r="T400" s="416"/>
    </row>
    <row r="401" spans="1:20" x14ac:dyDescent="0.25">
      <c r="A401" s="415"/>
      <c r="B401" s="416"/>
      <c r="C401" s="416"/>
      <c r="D401" s="416"/>
      <c r="E401" s="416"/>
      <c r="F401" s="417"/>
      <c r="G401" s="20"/>
      <c r="H401" s="20"/>
      <c r="I401" s="20"/>
      <c r="J401" s="20"/>
      <c r="K401" s="20" t="str">
        <f t="shared" si="6"/>
        <v/>
      </c>
      <c r="L401" s="21" t="str">
        <f t="shared" si="7"/>
        <v/>
      </c>
      <c r="M401" s="22" t="str">
        <f t="shared" si="8"/>
        <v/>
      </c>
      <c r="N401" s="23"/>
      <c r="O401" s="24" t="str">
        <f>IF(H401="I",N401*Contagem!$W$11,IF(H401="E",N401*Contagem!$W$13,IF(H401="A",N401*Contagem!$W$12,IF(H401="T",N401*Contagem!$W$14,""))))</f>
        <v/>
      </c>
      <c r="P401" s="19"/>
      <c r="Q401" s="19"/>
      <c r="R401" s="416"/>
      <c r="S401" s="416"/>
      <c r="T401" s="416"/>
    </row>
    <row r="402" spans="1:20" x14ac:dyDescent="0.25">
      <c r="A402" s="415"/>
      <c r="B402" s="416"/>
      <c r="C402" s="416"/>
      <c r="D402" s="416"/>
      <c r="E402" s="416"/>
      <c r="F402" s="417"/>
      <c r="G402" s="20"/>
      <c r="H402" s="20"/>
      <c r="I402" s="20"/>
      <c r="J402" s="20"/>
      <c r="K402" s="20" t="str">
        <f t="shared" si="6"/>
        <v/>
      </c>
      <c r="L402" s="21" t="str">
        <f t="shared" si="7"/>
        <v/>
      </c>
      <c r="M402" s="22" t="str">
        <f t="shared" si="8"/>
        <v/>
      </c>
      <c r="N402" s="23"/>
      <c r="O402" s="24" t="str">
        <f>IF(H402="I",N402*Contagem!$W$11,IF(H402="E",N402*Contagem!$W$13,IF(H402="A",N402*Contagem!$W$12,IF(H402="T",N402*Contagem!$W$14,""))))</f>
        <v/>
      </c>
      <c r="P402" s="19"/>
      <c r="Q402" s="19"/>
      <c r="R402" s="416"/>
      <c r="S402" s="416"/>
      <c r="T402" s="416"/>
    </row>
    <row r="403" spans="1:20" x14ac:dyDescent="0.25">
      <c r="A403" s="415"/>
      <c r="B403" s="416"/>
      <c r="C403" s="416"/>
      <c r="D403" s="416"/>
      <c r="E403" s="416"/>
      <c r="F403" s="417"/>
      <c r="G403" s="20"/>
      <c r="H403" s="20"/>
      <c r="I403" s="20"/>
      <c r="J403" s="20"/>
      <c r="K403" s="20" t="str">
        <f t="shared" si="6"/>
        <v/>
      </c>
      <c r="L403" s="21" t="str">
        <f t="shared" si="7"/>
        <v/>
      </c>
      <c r="M403" s="22" t="str">
        <f t="shared" si="8"/>
        <v/>
      </c>
      <c r="N403" s="23"/>
      <c r="O403" s="24" t="str">
        <f>IF(H403="I",N403*Contagem!$W$11,IF(H403="E",N403*Contagem!$W$13,IF(H403="A",N403*Contagem!$W$12,IF(H403="T",N403*Contagem!$W$14,""))))</f>
        <v/>
      </c>
      <c r="P403" s="19"/>
      <c r="Q403" s="19"/>
      <c r="R403" s="416"/>
      <c r="S403" s="416"/>
      <c r="T403" s="416"/>
    </row>
    <row r="404" spans="1:20" x14ac:dyDescent="0.25">
      <c r="A404" s="415"/>
      <c r="B404" s="416"/>
      <c r="C404" s="416"/>
      <c r="D404" s="416"/>
      <c r="E404" s="416"/>
      <c r="F404" s="417"/>
      <c r="G404" s="20"/>
      <c r="H404" s="20"/>
      <c r="I404" s="20"/>
      <c r="J404" s="20"/>
      <c r="K404" s="20" t="str">
        <f t="shared" si="6"/>
        <v/>
      </c>
      <c r="L404" s="21" t="str">
        <f t="shared" si="7"/>
        <v/>
      </c>
      <c r="M404" s="22" t="str">
        <f t="shared" si="8"/>
        <v/>
      </c>
      <c r="N404" s="23"/>
      <c r="O404" s="24" t="str">
        <f>IF(H404="I",N404*Contagem!$W$11,IF(H404="E",N404*Contagem!$W$13,IF(H404="A",N404*Contagem!$W$12,IF(H404="T",N404*Contagem!$W$14,""))))</f>
        <v/>
      </c>
      <c r="P404" s="19"/>
      <c r="Q404" s="19"/>
      <c r="R404" s="416"/>
      <c r="S404" s="416"/>
      <c r="T404" s="416"/>
    </row>
    <row r="405" spans="1:20" x14ac:dyDescent="0.25">
      <c r="A405" s="415"/>
      <c r="B405" s="416"/>
      <c r="C405" s="416"/>
      <c r="D405" s="416"/>
      <c r="E405" s="416"/>
      <c r="F405" s="417"/>
      <c r="G405" s="20"/>
      <c r="H405" s="20"/>
      <c r="I405" s="20"/>
      <c r="J405" s="20"/>
      <c r="K405" s="20" t="str">
        <f t="shared" si="6"/>
        <v/>
      </c>
      <c r="L405" s="21" t="str">
        <f t="shared" si="7"/>
        <v/>
      </c>
      <c r="M405" s="22" t="str">
        <f t="shared" si="8"/>
        <v/>
      </c>
      <c r="N405" s="23"/>
      <c r="O405" s="24" t="str">
        <f>IF(H405="I",N405*Contagem!$W$11,IF(H405="E",N405*Contagem!$W$13,IF(H405="A",N405*Contagem!$W$12,IF(H405="T",N405*Contagem!$W$14,""))))</f>
        <v/>
      </c>
      <c r="P405" s="19"/>
      <c r="Q405" s="19"/>
      <c r="R405" s="416"/>
      <c r="S405" s="416"/>
      <c r="T405" s="416"/>
    </row>
    <row r="406" spans="1:20" x14ac:dyDescent="0.25">
      <c r="A406" s="415"/>
      <c r="B406" s="416"/>
      <c r="C406" s="416"/>
      <c r="D406" s="416"/>
      <c r="E406" s="416"/>
      <c r="F406" s="417"/>
      <c r="G406" s="20"/>
      <c r="H406" s="20"/>
      <c r="I406" s="20"/>
      <c r="J406" s="20"/>
      <c r="K406" s="20" t="str">
        <f t="shared" si="6"/>
        <v/>
      </c>
      <c r="L406" s="21" t="str">
        <f t="shared" si="7"/>
        <v/>
      </c>
      <c r="M406" s="22" t="str">
        <f t="shared" si="8"/>
        <v/>
      </c>
      <c r="N406" s="23"/>
      <c r="O406" s="24" t="str">
        <f>IF(H406="I",N406*Contagem!$W$11,IF(H406="E",N406*Contagem!$W$13,IF(H406="A",N406*Contagem!$W$12,IF(H406="T",N406*Contagem!$W$14,""))))</f>
        <v/>
      </c>
      <c r="P406" s="19"/>
      <c r="Q406" s="19"/>
      <c r="R406" s="416"/>
      <c r="S406" s="416"/>
      <c r="T406" s="416"/>
    </row>
    <row r="407" spans="1:20" x14ac:dyDescent="0.25">
      <c r="A407" s="415"/>
      <c r="B407" s="416"/>
      <c r="C407" s="416"/>
      <c r="D407" s="416"/>
      <c r="E407" s="416"/>
      <c r="F407" s="417"/>
      <c r="G407" s="20"/>
      <c r="H407" s="20"/>
      <c r="I407" s="20"/>
      <c r="J407" s="20"/>
      <c r="K407" s="20" t="str">
        <f t="shared" si="6"/>
        <v/>
      </c>
      <c r="L407" s="21" t="str">
        <f t="shared" si="7"/>
        <v/>
      </c>
      <c r="M407" s="22" t="str">
        <f t="shared" si="8"/>
        <v/>
      </c>
      <c r="N407" s="23"/>
      <c r="O407" s="24" t="str">
        <f>IF(H407="I",N407*Contagem!$W$11,IF(H407="E",N407*Contagem!$W$13,IF(H407="A",N407*Contagem!$W$12,IF(H407="T",N407*Contagem!$W$14,""))))</f>
        <v/>
      </c>
      <c r="P407" s="19"/>
      <c r="Q407" s="19"/>
      <c r="R407" s="416"/>
      <c r="S407" s="416"/>
      <c r="T407" s="416"/>
    </row>
    <row r="408" spans="1:20" x14ac:dyDescent="0.25">
      <c r="A408" s="415"/>
      <c r="B408" s="416"/>
      <c r="C408" s="416"/>
      <c r="D408" s="416"/>
      <c r="E408" s="416"/>
      <c r="F408" s="417"/>
      <c r="G408" s="20"/>
      <c r="H408" s="20"/>
      <c r="I408" s="20"/>
      <c r="J408" s="20"/>
      <c r="K408" s="20" t="str">
        <f t="shared" si="6"/>
        <v/>
      </c>
      <c r="L408" s="21" t="str">
        <f t="shared" si="7"/>
        <v/>
      </c>
      <c r="M408" s="22" t="str">
        <f t="shared" si="8"/>
        <v/>
      </c>
      <c r="N408" s="23"/>
      <c r="O408" s="24" t="str">
        <f>IF(H408="I",N408*Contagem!$W$11,IF(H408="E",N408*Contagem!$W$13,IF(H408="A",N408*Contagem!$W$12,IF(H408="T",N408*Contagem!$W$14,""))))</f>
        <v/>
      </c>
      <c r="P408" s="19"/>
      <c r="Q408" s="19"/>
      <c r="R408" s="416"/>
      <c r="S408" s="416"/>
      <c r="T408" s="416"/>
    </row>
    <row r="409" spans="1:20" x14ac:dyDescent="0.25">
      <c r="A409" s="415"/>
      <c r="B409" s="416"/>
      <c r="C409" s="416"/>
      <c r="D409" s="416"/>
      <c r="E409" s="416"/>
      <c r="F409" s="417"/>
      <c r="G409" s="20"/>
      <c r="H409" s="20"/>
      <c r="I409" s="20"/>
      <c r="J409" s="20"/>
      <c r="K409" s="20" t="str">
        <f t="shared" si="6"/>
        <v/>
      </c>
      <c r="L409" s="21" t="str">
        <f t="shared" si="7"/>
        <v/>
      </c>
      <c r="M409" s="22" t="str">
        <f t="shared" si="8"/>
        <v/>
      </c>
      <c r="N409" s="23"/>
      <c r="O409" s="24" t="str">
        <f>IF(H409="I",N409*Contagem!$W$11,IF(H409="E",N409*Contagem!$W$13,IF(H409="A",N409*Contagem!$W$12,IF(H409="T",N409*Contagem!$W$14,""))))</f>
        <v/>
      </c>
      <c r="P409" s="19"/>
      <c r="Q409" s="19"/>
      <c r="R409" s="416"/>
      <c r="S409" s="416"/>
      <c r="T409" s="416"/>
    </row>
    <row r="410" spans="1:20" x14ac:dyDescent="0.25">
      <c r="A410" s="415"/>
      <c r="B410" s="416"/>
      <c r="C410" s="416"/>
      <c r="D410" s="416"/>
      <c r="E410" s="416"/>
      <c r="F410" s="417"/>
      <c r="G410" s="20"/>
      <c r="H410" s="20"/>
      <c r="I410" s="20"/>
      <c r="J410" s="20"/>
      <c r="K410" s="20" t="str">
        <f t="shared" si="6"/>
        <v/>
      </c>
      <c r="L410" s="21" t="str">
        <f t="shared" si="7"/>
        <v/>
      </c>
      <c r="M410" s="22" t="str">
        <f t="shared" si="8"/>
        <v/>
      </c>
      <c r="N410" s="23"/>
      <c r="O410" s="24" t="str">
        <f>IF(H410="I",N410*Contagem!$W$11,IF(H410="E",N410*Contagem!$W$13,IF(H410="A",N410*Contagem!$W$12,IF(H410="T",N410*Contagem!$W$14,""))))</f>
        <v/>
      </c>
      <c r="P410" s="19"/>
      <c r="Q410" s="19"/>
      <c r="R410" s="416"/>
      <c r="S410" s="416"/>
      <c r="T410" s="416"/>
    </row>
    <row r="411" spans="1:20" x14ac:dyDescent="0.25">
      <c r="A411" s="415"/>
      <c r="B411" s="416"/>
      <c r="C411" s="416"/>
      <c r="D411" s="416"/>
      <c r="E411" s="416"/>
      <c r="F411" s="417"/>
      <c r="G411" s="20"/>
      <c r="H411" s="20"/>
      <c r="I411" s="20"/>
      <c r="J411" s="20"/>
      <c r="K411" s="20" t="str">
        <f t="shared" si="6"/>
        <v/>
      </c>
      <c r="L411" s="21" t="str">
        <f t="shared" si="7"/>
        <v/>
      </c>
      <c r="M411" s="22" t="str">
        <f t="shared" si="8"/>
        <v/>
      </c>
      <c r="N411" s="23"/>
      <c r="O411" s="24" t="str">
        <f>IF(H411="I",N411*Contagem!$W$11,IF(H411="E",N411*Contagem!$W$13,IF(H411="A",N411*Contagem!$W$12,IF(H411="T",N411*Contagem!$W$14,""))))</f>
        <v/>
      </c>
      <c r="P411" s="19"/>
      <c r="Q411" s="19"/>
      <c r="R411" s="416"/>
      <c r="S411" s="416"/>
      <c r="T411" s="416"/>
    </row>
    <row r="412" spans="1:20" x14ac:dyDescent="0.25">
      <c r="A412" s="415"/>
      <c r="B412" s="416"/>
      <c r="C412" s="416"/>
      <c r="D412" s="416"/>
      <c r="E412" s="416"/>
      <c r="F412" s="417"/>
      <c r="G412" s="20"/>
      <c r="H412" s="20"/>
      <c r="I412" s="20"/>
      <c r="J412" s="20"/>
      <c r="K412" s="20" t="str">
        <f t="shared" si="6"/>
        <v/>
      </c>
      <c r="L412" s="21" t="str">
        <f t="shared" si="7"/>
        <v/>
      </c>
      <c r="M412" s="22" t="str">
        <f t="shared" si="8"/>
        <v/>
      </c>
      <c r="N412" s="23"/>
      <c r="O412" s="24" t="str">
        <f>IF(H412="I",N412*Contagem!$W$11,IF(H412="E",N412*Contagem!$W$13,IF(H412="A",N412*Contagem!$W$12,IF(H412="T",N412*Contagem!$W$14,""))))</f>
        <v/>
      </c>
      <c r="P412" s="19"/>
      <c r="Q412" s="19"/>
      <c r="R412" s="416"/>
      <c r="S412" s="416"/>
      <c r="T412" s="416"/>
    </row>
    <row r="413" spans="1:20" x14ac:dyDescent="0.25">
      <c r="A413" s="415"/>
      <c r="B413" s="416"/>
      <c r="C413" s="416"/>
      <c r="D413" s="416"/>
      <c r="E413" s="416"/>
      <c r="F413" s="417"/>
      <c r="G413" s="20"/>
      <c r="H413" s="20"/>
      <c r="I413" s="20"/>
      <c r="J413" s="20"/>
      <c r="K413" s="20" t="str">
        <f t="shared" si="6"/>
        <v/>
      </c>
      <c r="L413" s="21" t="str">
        <f t="shared" si="7"/>
        <v/>
      </c>
      <c r="M413" s="22" t="str">
        <f t="shared" si="8"/>
        <v/>
      </c>
      <c r="N413" s="23"/>
      <c r="O413" s="24" t="str">
        <f>IF(H413="I",N413*Contagem!$W$11,IF(H413="E",N413*Contagem!$W$13,IF(H413="A",N413*Contagem!$W$12,IF(H413="T",N413*Contagem!$W$14,""))))</f>
        <v/>
      </c>
      <c r="P413" s="19"/>
      <c r="Q413" s="19"/>
      <c r="R413" s="416"/>
      <c r="S413" s="416"/>
      <c r="T413" s="416"/>
    </row>
    <row r="414" spans="1:20" x14ac:dyDescent="0.25">
      <c r="A414" s="415"/>
      <c r="B414" s="416"/>
      <c r="C414" s="416"/>
      <c r="D414" s="416"/>
      <c r="E414" s="416"/>
      <c r="F414" s="417"/>
      <c r="G414" s="20"/>
      <c r="H414" s="20"/>
      <c r="I414" s="20"/>
      <c r="J414" s="20"/>
      <c r="K414" s="20" t="str">
        <f t="shared" si="6"/>
        <v/>
      </c>
      <c r="L414" s="21" t="str">
        <f t="shared" si="7"/>
        <v/>
      </c>
      <c r="M414" s="22" t="str">
        <f t="shared" si="8"/>
        <v/>
      </c>
      <c r="N414" s="23"/>
      <c r="O414" s="24" t="str">
        <f>IF(H414="I",N414*Contagem!$W$11,IF(H414="E",N414*Contagem!$W$13,IF(H414="A",N414*Contagem!$W$12,IF(H414="T",N414*Contagem!$W$14,""))))</f>
        <v/>
      </c>
      <c r="P414" s="19"/>
      <c r="Q414" s="19"/>
      <c r="R414" s="416"/>
      <c r="S414" s="416"/>
      <c r="T414" s="416"/>
    </row>
    <row r="415" spans="1:20" x14ac:dyDescent="0.25">
      <c r="A415" s="415"/>
      <c r="B415" s="416"/>
      <c r="C415" s="416"/>
      <c r="D415" s="416"/>
      <c r="E415" s="416"/>
      <c r="F415" s="417"/>
      <c r="G415" s="20"/>
      <c r="H415" s="20"/>
      <c r="I415" s="20"/>
      <c r="J415" s="20"/>
      <c r="K415" s="20" t="str">
        <f t="shared" si="6"/>
        <v/>
      </c>
      <c r="L415" s="21" t="str">
        <f t="shared" si="7"/>
        <v/>
      </c>
      <c r="M415" s="22" t="str">
        <f t="shared" si="8"/>
        <v/>
      </c>
      <c r="N415" s="23"/>
      <c r="O415" s="24" t="str">
        <f>IF(H415="I",N415*Contagem!$W$11,IF(H415="E",N415*Contagem!$W$13,IF(H415="A",N415*Contagem!$W$12,IF(H415="T",N415*Contagem!$W$14,""))))</f>
        <v/>
      </c>
      <c r="P415" s="19"/>
      <c r="Q415" s="19"/>
      <c r="R415" s="416"/>
      <c r="S415" s="416"/>
      <c r="T415" s="416"/>
    </row>
    <row r="416" spans="1:20" x14ac:dyDescent="0.25">
      <c r="A416" s="415"/>
      <c r="B416" s="416"/>
      <c r="C416" s="416"/>
      <c r="D416" s="416"/>
      <c r="E416" s="416"/>
      <c r="F416" s="417"/>
      <c r="G416" s="20"/>
      <c r="H416" s="20"/>
      <c r="I416" s="20"/>
      <c r="J416" s="20"/>
      <c r="K416" s="20" t="str">
        <f t="shared" si="6"/>
        <v/>
      </c>
      <c r="L416" s="21" t="str">
        <f t="shared" si="7"/>
        <v/>
      </c>
      <c r="M416" s="22" t="str">
        <f t="shared" si="8"/>
        <v/>
      </c>
      <c r="N416" s="23"/>
      <c r="O416" s="24" t="str">
        <f>IF(H416="I",N416*Contagem!$W$11,IF(H416="E",N416*Contagem!$W$13,IF(H416="A",N416*Contagem!$W$12,IF(H416="T",N416*Contagem!$W$14,""))))</f>
        <v/>
      </c>
      <c r="P416" s="19"/>
      <c r="Q416" s="19"/>
      <c r="R416" s="416"/>
      <c r="S416" s="416"/>
      <c r="T416" s="416"/>
    </row>
    <row r="417" spans="1:20" x14ac:dyDescent="0.25">
      <c r="A417" s="415"/>
      <c r="B417" s="416"/>
      <c r="C417" s="416"/>
      <c r="D417" s="416"/>
      <c r="E417" s="416"/>
      <c r="F417" s="417"/>
      <c r="G417" s="20"/>
      <c r="H417" s="20"/>
      <c r="I417" s="20"/>
      <c r="J417" s="20"/>
      <c r="K417" s="20" t="str">
        <f t="shared" si="6"/>
        <v/>
      </c>
      <c r="L417" s="21" t="str">
        <f t="shared" si="7"/>
        <v/>
      </c>
      <c r="M417" s="22" t="str">
        <f t="shared" si="8"/>
        <v/>
      </c>
      <c r="N417" s="23"/>
      <c r="O417" s="24" t="str">
        <f>IF(H417="I",N417*Contagem!$W$11,IF(H417="E",N417*Contagem!$W$13,IF(H417="A",N417*Contagem!$W$12,IF(H417="T",N417*Contagem!$W$14,""))))</f>
        <v/>
      </c>
      <c r="P417" s="19"/>
      <c r="Q417" s="19"/>
      <c r="R417" s="416"/>
      <c r="S417" s="416"/>
      <c r="T417" s="416"/>
    </row>
    <row r="418" spans="1:20" x14ac:dyDescent="0.25">
      <c r="A418" s="415"/>
      <c r="B418" s="416"/>
      <c r="C418" s="416"/>
      <c r="D418" s="416"/>
      <c r="E418" s="416"/>
      <c r="F418" s="417"/>
      <c r="G418" s="20"/>
      <c r="H418" s="20"/>
      <c r="I418" s="20"/>
      <c r="J418" s="20"/>
      <c r="K418" s="20" t="str">
        <f t="shared" si="6"/>
        <v/>
      </c>
      <c r="L418" s="21" t="str">
        <f t="shared" si="7"/>
        <v/>
      </c>
      <c r="M418" s="22" t="str">
        <f t="shared" si="8"/>
        <v/>
      </c>
      <c r="N418" s="23"/>
      <c r="O418" s="24" t="str">
        <f>IF(H418="I",N418*Contagem!$W$11,IF(H418="E",N418*Contagem!$W$13,IF(H418="A",N418*Contagem!$W$12,IF(H418="T",N418*Contagem!$W$14,""))))</f>
        <v/>
      </c>
      <c r="P418" s="19"/>
      <c r="Q418" s="19"/>
      <c r="R418" s="416"/>
      <c r="S418" s="416"/>
      <c r="T418" s="416"/>
    </row>
    <row r="419" spans="1:20" x14ac:dyDescent="0.25">
      <c r="A419" s="415"/>
      <c r="B419" s="416"/>
      <c r="C419" s="416"/>
      <c r="D419" s="416"/>
      <c r="E419" s="416"/>
      <c r="F419" s="417"/>
      <c r="G419" s="20"/>
      <c r="H419" s="20"/>
      <c r="I419" s="20"/>
      <c r="J419" s="20"/>
      <c r="K419" s="20" t="str">
        <f t="shared" si="6"/>
        <v/>
      </c>
      <c r="L419" s="21" t="str">
        <f t="shared" si="7"/>
        <v/>
      </c>
      <c r="M419" s="22" t="str">
        <f t="shared" si="8"/>
        <v/>
      </c>
      <c r="N419" s="23"/>
      <c r="O419" s="24" t="str">
        <f>IF(H419="I",N419*Contagem!$W$11,IF(H419="E",N419*Contagem!$W$13,IF(H419="A",N419*Contagem!$W$12,IF(H419="T",N419*Contagem!$W$14,""))))</f>
        <v/>
      </c>
      <c r="P419" s="19"/>
      <c r="Q419" s="19"/>
      <c r="R419" s="416"/>
      <c r="S419" s="416"/>
      <c r="T419" s="416"/>
    </row>
    <row r="420" spans="1:20" x14ac:dyDescent="0.25">
      <c r="A420" s="415"/>
      <c r="B420" s="416"/>
      <c r="C420" s="416"/>
      <c r="D420" s="416"/>
      <c r="E420" s="416"/>
      <c r="F420" s="417"/>
      <c r="G420" s="20"/>
      <c r="H420" s="20"/>
      <c r="I420" s="20"/>
      <c r="J420" s="20"/>
      <c r="K420" s="20" t="str">
        <f t="shared" si="6"/>
        <v/>
      </c>
      <c r="L420" s="21" t="str">
        <f t="shared" si="7"/>
        <v/>
      </c>
      <c r="M420" s="22" t="str">
        <f t="shared" si="8"/>
        <v/>
      </c>
      <c r="N420" s="23"/>
      <c r="O420" s="24" t="str">
        <f>IF(H420="I",N420*Contagem!$W$11,IF(H420="E",N420*Contagem!$W$13,IF(H420="A",N420*Contagem!$W$12,IF(H420="T",N420*Contagem!$W$14,""))))</f>
        <v/>
      </c>
      <c r="P420" s="19"/>
      <c r="Q420" s="19"/>
      <c r="R420" s="416"/>
      <c r="S420" s="416"/>
      <c r="T420" s="416"/>
    </row>
    <row r="421" spans="1:20" x14ac:dyDescent="0.25">
      <c r="A421" s="415"/>
      <c r="B421" s="416"/>
      <c r="C421" s="416"/>
      <c r="D421" s="416"/>
      <c r="E421" s="416"/>
      <c r="F421" s="417"/>
      <c r="G421" s="20"/>
      <c r="H421" s="20"/>
      <c r="I421" s="20"/>
      <c r="J421" s="20"/>
      <c r="K421" s="20" t="str">
        <f t="shared" si="6"/>
        <v/>
      </c>
      <c r="L421" s="21" t="str">
        <f t="shared" si="7"/>
        <v/>
      </c>
      <c r="M421" s="22" t="str">
        <f t="shared" si="8"/>
        <v/>
      </c>
      <c r="N421" s="23"/>
      <c r="O421" s="24" t="str">
        <f>IF(H421="I",N421*Contagem!$W$11,IF(H421="E",N421*Contagem!$W$13,IF(H421="A",N421*Contagem!$W$12,IF(H421="T",N421*Contagem!$W$14,""))))</f>
        <v/>
      </c>
      <c r="P421" s="19"/>
      <c r="Q421" s="19"/>
      <c r="R421" s="416"/>
      <c r="S421" s="416"/>
      <c r="T421" s="416"/>
    </row>
    <row r="422" spans="1:20" x14ac:dyDescent="0.25">
      <c r="A422" s="415"/>
      <c r="B422" s="416"/>
      <c r="C422" s="416"/>
      <c r="D422" s="416"/>
      <c r="E422" s="416"/>
      <c r="F422" s="417"/>
      <c r="G422" s="20"/>
      <c r="H422" s="20"/>
      <c r="I422" s="20"/>
      <c r="J422" s="20"/>
      <c r="K422" s="20" t="str">
        <f t="shared" si="6"/>
        <v/>
      </c>
      <c r="L422" s="21" t="str">
        <f t="shared" si="7"/>
        <v/>
      </c>
      <c r="M422" s="22" t="str">
        <f t="shared" si="8"/>
        <v/>
      </c>
      <c r="N422" s="23"/>
      <c r="O422" s="24" t="str">
        <f>IF(H422="I",N422*Contagem!$W$11,IF(H422="E",N422*Contagem!$W$13,IF(H422="A",N422*Contagem!$W$12,IF(H422="T",N422*Contagem!$W$14,""))))</f>
        <v/>
      </c>
      <c r="P422" s="19"/>
      <c r="Q422" s="19"/>
      <c r="R422" s="416"/>
      <c r="S422" s="416"/>
      <c r="T422" s="416"/>
    </row>
    <row r="423" spans="1:20" x14ac:dyDescent="0.25">
      <c r="A423" s="415"/>
      <c r="B423" s="416"/>
      <c r="C423" s="416"/>
      <c r="D423" s="416"/>
      <c r="E423" s="416"/>
      <c r="F423" s="417"/>
      <c r="G423" s="20"/>
      <c r="H423" s="20"/>
      <c r="I423" s="20"/>
      <c r="J423" s="20"/>
      <c r="K423" s="20" t="str">
        <f t="shared" si="6"/>
        <v/>
      </c>
      <c r="L423" s="21" t="str">
        <f t="shared" si="7"/>
        <v/>
      </c>
      <c r="M423" s="22" t="str">
        <f t="shared" si="8"/>
        <v/>
      </c>
      <c r="N423" s="23"/>
      <c r="O423" s="24" t="str">
        <f>IF(H423="I",N423*Contagem!$W$11,IF(H423="E",N423*Contagem!$W$13,IF(H423="A",N423*Contagem!$W$12,IF(H423="T",N423*Contagem!$W$14,""))))</f>
        <v/>
      </c>
      <c r="P423" s="19"/>
      <c r="Q423" s="19"/>
      <c r="R423" s="416"/>
      <c r="S423" s="416"/>
      <c r="T423" s="416"/>
    </row>
    <row r="424" spans="1:20" x14ac:dyDescent="0.25">
      <c r="A424" s="415"/>
      <c r="B424" s="416"/>
      <c r="C424" s="416"/>
      <c r="D424" s="416"/>
      <c r="E424" s="416"/>
      <c r="F424" s="417"/>
      <c r="G424" s="20"/>
      <c r="H424" s="20"/>
      <c r="I424" s="20"/>
      <c r="J424" s="20"/>
      <c r="K424" s="20" t="str">
        <f t="shared" si="6"/>
        <v/>
      </c>
      <c r="L424" s="21" t="str">
        <f t="shared" si="7"/>
        <v/>
      </c>
      <c r="M424" s="22" t="str">
        <f t="shared" si="8"/>
        <v/>
      </c>
      <c r="N424" s="23"/>
      <c r="O424" s="24" t="str">
        <f>IF(H424="I",N424*Contagem!$W$11,IF(H424="E",N424*Contagem!$W$13,IF(H424="A",N424*Contagem!$W$12,IF(H424="T",N424*Contagem!$W$14,""))))</f>
        <v/>
      </c>
      <c r="P424" s="19"/>
      <c r="Q424" s="19"/>
      <c r="R424" s="416"/>
      <c r="S424" s="416"/>
      <c r="T424" s="416"/>
    </row>
    <row r="425" spans="1:20" x14ac:dyDescent="0.25">
      <c r="A425" s="415"/>
      <c r="B425" s="416"/>
      <c r="C425" s="416"/>
      <c r="D425" s="416"/>
      <c r="E425" s="416"/>
      <c r="F425" s="417"/>
      <c r="G425" s="20"/>
      <c r="H425" s="20"/>
      <c r="I425" s="20"/>
      <c r="J425" s="20"/>
      <c r="K425" s="20" t="str">
        <f t="shared" si="6"/>
        <v/>
      </c>
      <c r="L425" s="21" t="str">
        <f t="shared" si="7"/>
        <v/>
      </c>
      <c r="M425" s="22" t="str">
        <f t="shared" si="8"/>
        <v/>
      </c>
      <c r="N425" s="23"/>
      <c r="O425" s="24" t="str">
        <f>IF(H425="I",N425*Contagem!$W$11,IF(H425="E",N425*Contagem!$W$13,IF(H425="A",N425*Contagem!$W$12,IF(H425="T",N425*Contagem!$W$14,""))))</f>
        <v/>
      </c>
      <c r="P425" s="19"/>
      <c r="Q425" s="19"/>
      <c r="R425" s="416"/>
      <c r="S425" s="416"/>
      <c r="T425" s="416"/>
    </row>
    <row r="426" spans="1:20" x14ac:dyDescent="0.25">
      <c r="A426" s="415"/>
      <c r="B426" s="416"/>
      <c r="C426" s="416"/>
      <c r="D426" s="416"/>
      <c r="E426" s="416"/>
      <c r="F426" s="417"/>
      <c r="G426" s="20"/>
      <c r="H426" s="20"/>
      <c r="I426" s="20"/>
      <c r="J426" s="20"/>
      <c r="K426" s="20" t="str">
        <f t="shared" si="6"/>
        <v/>
      </c>
      <c r="L426" s="21" t="str">
        <f t="shared" si="7"/>
        <v/>
      </c>
      <c r="M426" s="22" t="str">
        <f t="shared" si="8"/>
        <v/>
      </c>
      <c r="N426" s="23"/>
      <c r="O426" s="24" t="str">
        <f>IF(H426="I",N426*Contagem!$W$11,IF(H426="E",N426*Contagem!$W$13,IF(H426="A",N426*Contagem!$W$12,IF(H426="T",N426*Contagem!$W$14,""))))</f>
        <v/>
      </c>
      <c r="P426" s="19"/>
      <c r="Q426" s="19"/>
      <c r="R426" s="416"/>
      <c r="S426" s="416"/>
      <c r="T426" s="416"/>
    </row>
    <row r="427" spans="1:20" x14ac:dyDescent="0.25">
      <c r="A427" s="415"/>
      <c r="B427" s="416"/>
      <c r="C427" s="416"/>
      <c r="D427" s="416"/>
      <c r="E427" s="416"/>
      <c r="F427" s="417"/>
      <c r="G427" s="20"/>
      <c r="H427" s="20"/>
      <c r="I427" s="20"/>
      <c r="J427" s="20"/>
      <c r="K427" s="20" t="str">
        <f t="shared" si="6"/>
        <v/>
      </c>
      <c r="L427" s="21" t="str">
        <f t="shared" si="7"/>
        <v/>
      </c>
      <c r="M427" s="22" t="str">
        <f t="shared" si="8"/>
        <v/>
      </c>
      <c r="N427" s="23"/>
      <c r="O427" s="24" t="str">
        <f>IF(H427="I",N427*Contagem!$W$11,IF(H427="E",N427*Contagem!$W$13,IF(H427="A",N427*Contagem!$W$12,IF(H427="T",N427*Contagem!$W$14,""))))</f>
        <v/>
      </c>
      <c r="P427" s="19"/>
      <c r="Q427" s="19"/>
      <c r="R427" s="416"/>
      <c r="S427" s="416"/>
      <c r="T427" s="416"/>
    </row>
    <row r="428" spans="1:20" x14ac:dyDescent="0.25">
      <c r="A428" s="415"/>
      <c r="B428" s="416"/>
      <c r="C428" s="416"/>
      <c r="D428" s="416"/>
      <c r="E428" s="416"/>
      <c r="F428" s="417"/>
      <c r="G428" s="20"/>
      <c r="H428" s="20"/>
      <c r="I428" s="20"/>
      <c r="J428" s="20"/>
      <c r="K428" s="20" t="str">
        <f t="shared" si="6"/>
        <v/>
      </c>
      <c r="L428" s="21" t="str">
        <f t="shared" si="7"/>
        <v/>
      </c>
      <c r="M428" s="22" t="str">
        <f t="shared" si="8"/>
        <v/>
      </c>
      <c r="N428" s="23"/>
      <c r="O428" s="24" t="str">
        <f>IF(H428="I",N428*Contagem!$W$11,IF(H428="E",N428*Contagem!$W$13,IF(H428="A",N428*Contagem!$W$12,IF(H428="T",N428*Contagem!$W$14,""))))</f>
        <v/>
      </c>
      <c r="P428" s="19"/>
      <c r="Q428" s="19"/>
      <c r="R428" s="416"/>
      <c r="S428" s="416"/>
      <c r="T428" s="416"/>
    </row>
    <row r="429" spans="1:20" x14ac:dyDescent="0.25">
      <c r="A429" s="415"/>
      <c r="B429" s="416"/>
      <c r="C429" s="416"/>
      <c r="D429" s="416"/>
      <c r="E429" s="416"/>
      <c r="F429" s="417"/>
      <c r="G429" s="20"/>
      <c r="H429" s="20"/>
      <c r="I429" s="20"/>
      <c r="J429" s="20"/>
      <c r="K429" s="20" t="str">
        <f t="shared" si="6"/>
        <v/>
      </c>
      <c r="L429" s="21" t="str">
        <f t="shared" si="7"/>
        <v/>
      </c>
      <c r="M429" s="22" t="str">
        <f t="shared" si="8"/>
        <v/>
      </c>
      <c r="N429" s="23"/>
      <c r="O429" s="24" t="str">
        <f>IF(H429="I",N429*Contagem!$W$11,IF(H429="E",N429*Contagem!$W$13,IF(H429="A",N429*Contagem!$W$12,IF(H429="T",N429*Contagem!$W$14,""))))</f>
        <v/>
      </c>
      <c r="P429" s="19"/>
      <c r="Q429" s="19"/>
      <c r="R429" s="416"/>
      <c r="S429" s="416"/>
      <c r="T429" s="416"/>
    </row>
    <row r="430" spans="1:20" x14ac:dyDescent="0.25">
      <c r="A430" s="415"/>
      <c r="B430" s="416"/>
      <c r="C430" s="416"/>
      <c r="D430" s="416"/>
      <c r="E430" s="416"/>
      <c r="F430" s="417"/>
      <c r="G430" s="20"/>
      <c r="H430" s="20"/>
      <c r="I430" s="20"/>
      <c r="J430" s="20"/>
      <c r="K430" s="20" t="str">
        <f t="shared" si="6"/>
        <v/>
      </c>
      <c r="L430" s="21" t="str">
        <f t="shared" si="7"/>
        <v/>
      </c>
      <c r="M430" s="22" t="str">
        <f t="shared" si="8"/>
        <v/>
      </c>
      <c r="N430" s="23"/>
      <c r="O430" s="24" t="str">
        <f>IF(H430="I",N430*Contagem!$W$11,IF(H430="E",N430*Contagem!$W$13,IF(H430="A",N430*Contagem!$W$12,IF(H430="T",N430*Contagem!$W$14,""))))</f>
        <v/>
      </c>
      <c r="P430" s="19"/>
      <c r="Q430" s="19"/>
      <c r="R430" s="416"/>
      <c r="S430" s="416"/>
      <c r="T430" s="416"/>
    </row>
    <row r="431" spans="1:20" x14ac:dyDescent="0.25">
      <c r="A431" s="415"/>
      <c r="B431" s="416"/>
      <c r="C431" s="416"/>
      <c r="D431" s="416"/>
      <c r="E431" s="416"/>
      <c r="F431" s="417"/>
      <c r="G431" s="20"/>
      <c r="H431" s="20"/>
      <c r="I431" s="20"/>
      <c r="J431" s="20"/>
      <c r="K431" s="20" t="str">
        <f t="shared" si="6"/>
        <v/>
      </c>
      <c r="L431" s="21" t="str">
        <f t="shared" si="7"/>
        <v/>
      </c>
      <c r="M431" s="22" t="str">
        <f t="shared" si="8"/>
        <v/>
      </c>
      <c r="N431" s="23"/>
      <c r="O431" s="24" t="str">
        <f>IF(H431="I",N431*Contagem!$W$11,IF(H431="E",N431*Contagem!$W$13,IF(H431="A",N431*Contagem!$W$12,IF(H431="T",N431*Contagem!$W$14,""))))</f>
        <v/>
      </c>
      <c r="P431" s="19"/>
      <c r="Q431" s="19"/>
      <c r="R431" s="416"/>
      <c r="S431" s="416"/>
      <c r="T431" s="416"/>
    </row>
    <row r="432" spans="1:20" x14ac:dyDescent="0.25">
      <c r="A432" s="415"/>
      <c r="B432" s="416"/>
      <c r="C432" s="416"/>
      <c r="D432" s="416"/>
      <c r="E432" s="416"/>
      <c r="F432" s="417"/>
      <c r="G432" s="20"/>
      <c r="H432" s="20"/>
      <c r="I432" s="20"/>
      <c r="J432" s="20"/>
      <c r="K432" s="20" t="str">
        <f t="shared" si="6"/>
        <v/>
      </c>
      <c r="L432" s="21" t="str">
        <f t="shared" si="7"/>
        <v/>
      </c>
      <c r="M432" s="22" t="str">
        <f t="shared" si="8"/>
        <v/>
      </c>
      <c r="N432" s="23"/>
      <c r="O432" s="24" t="str">
        <f>IF(H432="I",N432*Contagem!$W$11,IF(H432="E",N432*Contagem!$W$13,IF(H432="A",N432*Contagem!$W$12,IF(H432="T",N432*Contagem!$W$14,""))))</f>
        <v/>
      </c>
      <c r="P432" s="19"/>
      <c r="Q432" s="19"/>
      <c r="R432" s="416"/>
      <c r="S432" s="416"/>
      <c r="T432" s="416"/>
    </row>
    <row r="433" spans="1:20" x14ac:dyDescent="0.25">
      <c r="A433" s="415"/>
      <c r="B433" s="416"/>
      <c r="C433" s="416"/>
      <c r="D433" s="416"/>
      <c r="E433" s="416"/>
      <c r="F433" s="417"/>
      <c r="G433" s="20"/>
      <c r="H433" s="20"/>
      <c r="I433" s="20"/>
      <c r="J433" s="20"/>
      <c r="K433" s="20" t="str">
        <f t="shared" si="6"/>
        <v/>
      </c>
      <c r="L433" s="21" t="str">
        <f t="shared" si="7"/>
        <v/>
      </c>
      <c r="M433" s="22" t="str">
        <f t="shared" si="8"/>
        <v/>
      </c>
      <c r="N433" s="23"/>
      <c r="O433" s="24" t="str">
        <f>IF(H433="I",N433*Contagem!$W$11,IF(H433="E",N433*Contagem!$W$13,IF(H433="A",N433*Contagem!$W$12,IF(H433="T",N433*Contagem!$W$14,""))))</f>
        <v/>
      </c>
      <c r="P433" s="19"/>
      <c r="Q433" s="19"/>
      <c r="R433" s="416"/>
      <c r="S433" s="416"/>
      <c r="T433" s="416"/>
    </row>
    <row r="434" spans="1:20" x14ac:dyDescent="0.25">
      <c r="A434" s="415"/>
      <c r="B434" s="416"/>
      <c r="C434" s="416"/>
      <c r="D434" s="416"/>
      <c r="E434" s="416"/>
      <c r="F434" s="417"/>
      <c r="G434" s="20"/>
      <c r="H434" s="20"/>
      <c r="I434" s="20"/>
      <c r="J434" s="20"/>
      <c r="K434" s="20" t="str">
        <f t="shared" si="6"/>
        <v/>
      </c>
      <c r="L434" s="21" t="str">
        <f t="shared" si="7"/>
        <v/>
      </c>
      <c r="M434" s="22" t="str">
        <f t="shared" si="8"/>
        <v/>
      </c>
      <c r="N434" s="23"/>
      <c r="O434" s="24" t="str">
        <f>IF(H434="I",N434*Contagem!$W$11,IF(H434="E",N434*Contagem!$W$13,IF(H434="A",N434*Contagem!$W$12,IF(H434="T",N434*Contagem!$W$14,""))))</f>
        <v/>
      </c>
      <c r="P434" s="19"/>
      <c r="Q434" s="19"/>
      <c r="R434" s="416"/>
      <c r="S434" s="416"/>
      <c r="T434" s="416"/>
    </row>
    <row r="435" spans="1:20" x14ac:dyDescent="0.25">
      <c r="A435" s="415"/>
      <c r="B435" s="416"/>
      <c r="C435" s="416"/>
      <c r="D435" s="416"/>
      <c r="E435" s="416"/>
      <c r="F435" s="417"/>
      <c r="G435" s="20"/>
      <c r="H435" s="20"/>
      <c r="I435" s="20"/>
      <c r="J435" s="20"/>
      <c r="K435" s="20" t="str">
        <f t="shared" si="6"/>
        <v/>
      </c>
      <c r="L435" s="21" t="str">
        <f t="shared" si="7"/>
        <v/>
      </c>
      <c r="M435" s="22" t="str">
        <f t="shared" si="8"/>
        <v/>
      </c>
      <c r="N435" s="23"/>
      <c r="O435" s="24" t="str">
        <f>IF(H435="I",N435*Contagem!$W$11,IF(H435="E",N435*Contagem!$W$13,IF(H435="A",N435*Contagem!$W$12,IF(H435="T",N435*Contagem!$W$14,""))))</f>
        <v/>
      </c>
      <c r="P435" s="19"/>
      <c r="Q435" s="19"/>
      <c r="R435" s="416"/>
      <c r="S435" s="416"/>
      <c r="T435" s="416"/>
    </row>
    <row r="436" spans="1:20" x14ac:dyDescent="0.25">
      <c r="A436" s="415"/>
      <c r="B436" s="416"/>
      <c r="C436" s="416"/>
      <c r="D436" s="416"/>
      <c r="E436" s="416"/>
      <c r="F436" s="417"/>
      <c r="G436" s="20"/>
      <c r="H436" s="20"/>
      <c r="I436" s="20"/>
      <c r="J436" s="20"/>
      <c r="K436" s="20" t="s">
        <v>44</v>
      </c>
      <c r="L436" s="21" t="str">
        <f t="shared" si="7"/>
        <v/>
      </c>
      <c r="M436" s="22" t="str">
        <f t="shared" si="8"/>
        <v/>
      </c>
      <c r="N436" s="23"/>
      <c r="O436" s="24" t="str">
        <f>IF(H436="I",N436*Contagem!$W$11,IF(H436="E",N436*Contagem!$W$13,IF(H436="A",N436*Contagem!$W$12,IF(H436="T",N436*Contagem!$W$14,""))))</f>
        <v/>
      </c>
      <c r="P436" s="19"/>
      <c r="Q436" s="19"/>
      <c r="R436" s="416"/>
      <c r="S436" s="416"/>
      <c r="T436" s="416"/>
    </row>
    <row r="437" spans="1:20" x14ac:dyDescent="0.25">
      <c r="A437" s="415"/>
      <c r="B437" s="416"/>
      <c r="C437" s="416"/>
      <c r="D437" s="416"/>
      <c r="E437" s="416"/>
      <c r="F437" s="417"/>
      <c r="G437" s="20"/>
      <c r="H437" s="20"/>
      <c r="I437" s="20"/>
      <c r="J437" s="20"/>
      <c r="K437" s="20" t="str">
        <f t="shared" si="6"/>
        <v/>
      </c>
      <c r="L437" s="21" t="str">
        <f t="shared" si="7"/>
        <v/>
      </c>
      <c r="M437" s="22" t="str">
        <f t="shared" si="8"/>
        <v/>
      </c>
      <c r="N437" s="23"/>
      <c r="O437" s="24" t="str">
        <f>IF(H437="I",N437*Contagem!$W$11,IF(H437="E",N437*Contagem!$W$13,IF(H437="A",N437*Contagem!$W$12,IF(H437="T",N437*Contagem!$W$14,""))))</f>
        <v/>
      </c>
      <c r="P437" s="19"/>
      <c r="Q437" s="19"/>
      <c r="R437" s="416"/>
      <c r="S437" s="416"/>
      <c r="T437" s="416"/>
    </row>
    <row r="438" spans="1:20" x14ac:dyDescent="0.25">
      <c r="A438" s="415"/>
      <c r="B438" s="416"/>
      <c r="C438" s="416"/>
      <c r="D438" s="416"/>
      <c r="E438" s="416"/>
      <c r="F438" s="417"/>
      <c r="G438" s="20"/>
      <c r="H438" s="20"/>
      <c r="I438" s="20"/>
      <c r="J438" s="20"/>
      <c r="K438" s="20" t="str">
        <f t="shared" ref="K438:K500" si="9">CONCATENATE(G438,L438)</f>
        <v/>
      </c>
      <c r="L438" s="21" t="str">
        <f t="shared" ref="L438:L500" si="10">IF(OR(ISBLANK(I438),ISBLANK(J438)),IF(OR(G438="ALI",G438="AIE"),"L",IF(ISBLANK(G438),"","A")),IF(G438="EE",IF(J438&gt;=3,IF(I438&gt;=5,"H","A"),IF(J438&gt;=2,IF(I438&gt;=16,"H",IF(I438&lt;=4,"L","A")),IF(I438&lt;=15,"L","A"))),IF(OR(G438="SE",G438="CE"),IF(J438&gt;=4,IF(I438&gt;=6,"H","A"),IF(J438&gt;=2,IF(I438&gt;=20,"H",IF(I438&lt;=5,"L","A")),IF(I438&lt;=19,"L","A"))),IF(OR(G438="ALI",G438="AIE"),IF(J438&gt;=6,IF(I438&gt;=20,"H","A"),IF(J438&gt;=2,IF(I438&gt;=51,"H",IF(I438&lt;=19,"L","A")),IF(I438&lt;=50,"L","A")))))))</f>
        <v/>
      </c>
      <c r="M438" s="22" t="str">
        <f t="shared" ref="M438:M500" si="11">IF(L438="L","Baixa",IF(L438="A","Média",IF(L438="","","Alta")))</f>
        <v/>
      </c>
      <c r="N438" s="23"/>
      <c r="O438" s="24" t="str">
        <f>IF(H438="I",N438*Contagem!$W$11,IF(H438="E",N438*Contagem!$W$13,IF(H438="A",N438*Contagem!$W$12,IF(H438="T",N438*Contagem!$W$14,""))))</f>
        <v/>
      </c>
      <c r="P438" s="19"/>
      <c r="Q438" s="19"/>
      <c r="R438" s="416"/>
      <c r="S438" s="416"/>
      <c r="T438" s="416"/>
    </row>
    <row r="439" spans="1:20" x14ac:dyDescent="0.25">
      <c r="A439" s="415"/>
      <c r="B439" s="416"/>
      <c r="C439" s="416"/>
      <c r="D439" s="416"/>
      <c r="E439" s="416"/>
      <c r="F439" s="417"/>
      <c r="G439" s="20"/>
      <c r="H439" s="20"/>
      <c r="I439" s="20"/>
      <c r="J439" s="20"/>
      <c r="K439" s="20" t="str">
        <f t="shared" si="9"/>
        <v/>
      </c>
      <c r="L439" s="21" t="str">
        <f t="shared" si="10"/>
        <v/>
      </c>
      <c r="M439" s="22" t="str">
        <f t="shared" si="11"/>
        <v/>
      </c>
      <c r="N439" s="23"/>
      <c r="O439" s="24" t="str">
        <f>IF(H439="I",N439*Contagem!$W$11,IF(H439="E",N439*Contagem!$W$13,IF(H439="A",N439*Contagem!$W$12,IF(H439="T",N439*Contagem!$W$14,""))))</f>
        <v/>
      </c>
      <c r="P439" s="19"/>
      <c r="Q439" s="19"/>
      <c r="R439" s="416"/>
      <c r="S439" s="416"/>
      <c r="T439" s="416"/>
    </row>
    <row r="440" spans="1:20" x14ac:dyDescent="0.25">
      <c r="A440" s="415"/>
      <c r="B440" s="416"/>
      <c r="C440" s="416"/>
      <c r="D440" s="416"/>
      <c r="E440" s="416"/>
      <c r="F440" s="417"/>
      <c r="G440" s="20"/>
      <c r="H440" s="20"/>
      <c r="I440" s="20"/>
      <c r="J440" s="20"/>
      <c r="K440" s="20" t="str">
        <f t="shared" si="9"/>
        <v/>
      </c>
      <c r="L440" s="21" t="str">
        <f t="shared" si="10"/>
        <v/>
      </c>
      <c r="M440" s="22" t="str">
        <f t="shared" si="11"/>
        <v/>
      </c>
      <c r="N440" s="23"/>
      <c r="O440" s="24" t="str">
        <f>IF(H440="I",N440*Contagem!$W$11,IF(H440="E",N440*Contagem!$W$13,IF(H440="A",N440*Contagem!$W$12,IF(H440="T",N440*Contagem!$W$14,""))))</f>
        <v/>
      </c>
      <c r="P440" s="19"/>
      <c r="Q440" s="19"/>
      <c r="R440" s="416"/>
      <c r="S440" s="416"/>
      <c r="T440" s="416"/>
    </row>
    <row r="441" spans="1:20" x14ac:dyDescent="0.25">
      <c r="A441" s="415"/>
      <c r="B441" s="416"/>
      <c r="C441" s="416"/>
      <c r="D441" s="416"/>
      <c r="E441" s="416"/>
      <c r="F441" s="417"/>
      <c r="G441" s="20"/>
      <c r="H441" s="20"/>
      <c r="I441" s="20"/>
      <c r="J441" s="20"/>
      <c r="K441" s="20" t="str">
        <f t="shared" si="9"/>
        <v/>
      </c>
      <c r="L441" s="21" t="str">
        <f t="shared" si="10"/>
        <v/>
      </c>
      <c r="M441" s="22" t="str">
        <f t="shared" si="11"/>
        <v/>
      </c>
      <c r="N441" s="23"/>
      <c r="O441" s="24" t="str">
        <f>IF(H441="I",N441*Contagem!$W$11,IF(H441="E",N441*Contagem!$W$13,IF(H441="A",N441*Contagem!$W$12,IF(H441="T",N441*Contagem!$W$14,""))))</f>
        <v/>
      </c>
      <c r="P441" s="19"/>
      <c r="Q441" s="19"/>
      <c r="R441" s="416"/>
      <c r="S441" s="416"/>
      <c r="T441" s="416"/>
    </row>
    <row r="442" spans="1:20" x14ac:dyDescent="0.25">
      <c r="A442" s="415"/>
      <c r="B442" s="416"/>
      <c r="C442" s="416"/>
      <c r="D442" s="416"/>
      <c r="E442" s="416"/>
      <c r="F442" s="417"/>
      <c r="G442" s="20"/>
      <c r="H442" s="20"/>
      <c r="I442" s="20"/>
      <c r="J442" s="20"/>
      <c r="K442" s="20" t="str">
        <f t="shared" si="9"/>
        <v/>
      </c>
      <c r="L442" s="21" t="str">
        <f t="shared" si="10"/>
        <v/>
      </c>
      <c r="M442" s="22" t="str">
        <f t="shared" si="11"/>
        <v/>
      </c>
      <c r="N442" s="23"/>
      <c r="O442" s="24" t="str">
        <f>IF(H442="I",N442*Contagem!$W$11,IF(H442="E",N442*Contagem!$W$13,IF(H442="A",N442*Contagem!$W$12,IF(H442="T",N442*Contagem!$W$14,""))))</f>
        <v/>
      </c>
      <c r="P442" s="19"/>
      <c r="Q442" s="19"/>
      <c r="R442" s="416"/>
      <c r="S442" s="416"/>
      <c r="T442" s="416"/>
    </row>
    <row r="443" spans="1:20" x14ac:dyDescent="0.25">
      <c r="A443" s="415"/>
      <c r="B443" s="416"/>
      <c r="C443" s="416"/>
      <c r="D443" s="416"/>
      <c r="E443" s="416"/>
      <c r="F443" s="417"/>
      <c r="G443" s="20"/>
      <c r="H443" s="20"/>
      <c r="I443" s="20"/>
      <c r="J443" s="20"/>
      <c r="K443" s="20" t="str">
        <f t="shared" si="9"/>
        <v/>
      </c>
      <c r="L443" s="21" t="str">
        <f t="shared" si="10"/>
        <v/>
      </c>
      <c r="M443" s="22" t="str">
        <f t="shared" si="11"/>
        <v/>
      </c>
      <c r="N443" s="23"/>
      <c r="O443" s="24" t="str">
        <f>IF(H443="I",N443*Contagem!$W$11,IF(H443="E",N443*Contagem!$W$13,IF(H443="A",N443*Contagem!$W$12,IF(H443="T",N443*Contagem!$W$14,""))))</f>
        <v/>
      </c>
      <c r="P443" s="19"/>
      <c r="Q443" s="19"/>
      <c r="R443" s="416"/>
      <c r="S443" s="416"/>
      <c r="T443" s="416"/>
    </row>
    <row r="444" spans="1:20" x14ac:dyDescent="0.25">
      <c r="A444" s="415"/>
      <c r="B444" s="416"/>
      <c r="C444" s="416"/>
      <c r="D444" s="416"/>
      <c r="E444" s="416"/>
      <c r="F444" s="417"/>
      <c r="G444" s="20"/>
      <c r="H444" s="20"/>
      <c r="I444" s="20"/>
      <c r="J444" s="20"/>
      <c r="K444" s="20" t="str">
        <f t="shared" si="9"/>
        <v/>
      </c>
      <c r="L444" s="21" t="str">
        <f t="shared" si="10"/>
        <v/>
      </c>
      <c r="M444" s="22" t="str">
        <f t="shared" si="11"/>
        <v/>
      </c>
      <c r="N444" s="23"/>
      <c r="O444" s="24" t="str">
        <f>IF(H444="I",N444*Contagem!$W$11,IF(H444="E",N444*Contagem!$W$13,IF(H444="A",N444*Contagem!$W$12,IF(H444="T",N444*Contagem!$W$14,""))))</f>
        <v/>
      </c>
      <c r="P444" s="19"/>
      <c r="Q444" s="19"/>
      <c r="R444" s="416"/>
      <c r="S444" s="416"/>
      <c r="T444" s="416"/>
    </row>
    <row r="445" spans="1:20" x14ac:dyDescent="0.25">
      <c r="A445" s="415"/>
      <c r="B445" s="416"/>
      <c r="C445" s="416"/>
      <c r="D445" s="416"/>
      <c r="E445" s="416"/>
      <c r="F445" s="417"/>
      <c r="G445" s="20"/>
      <c r="H445" s="20"/>
      <c r="I445" s="20"/>
      <c r="J445" s="20"/>
      <c r="K445" s="20" t="str">
        <f t="shared" si="9"/>
        <v/>
      </c>
      <c r="L445" s="21" t="str">
        <f t="shared" si="10"/>
        <v/>
      </c>
      <c r="M445" s="22" t="str">
        <f t="shared" si="11"/>
        <v/>
      </c>
      <c r="N445" s="23"/>
      <c r="O445" s="24" t="str">
        <f>IF(H445="I",N445*Contagem!$W$11,IF(H445="E",N445*Contagem!$W$13,IF(H445="A",N445*Contagem!$W$12,IF(H445="T",N445*Contagem!$W$14,""))))</f>
        <v/>
      </c>
      <c r="P445" s="19"/>
      <c r="Q445" s="19"/>
      <c r="R445" s="416"/>
      <c r="S445" s="416"/>
      <c r="T445" s="416"/>
    </row>
    <row r="446" spans="1:20" x14ac:dyDescent="0.25">
      <c r="A446" s="415"/>
      <c r="B446" s="416"/>
      <c r="C446" s="416"/>
      <c r="D446" s="416"/>
      <c r="E446" s="416"/>
      <c r="F446" s="417"/>
      <c r="G446" s="20"/>
      <c r="H446" s="20"/>
      <c r="I446" s="20"/>
      <c r="J446" s="20"/>
      <c r="K446" s="20" t="str">
        <f t="shared" si="9"/>
        <v/>
      </c>
      <c r="L446" s="21" t="str">
        <f t="shared" si="10"/>
        <v/>
      </c>
      <c r="M446" s="22" t="str">
        <f t="shared" si="11"/>
        <v/>
      </c>
      <c r="N446" s="23"/>
      <c r="O446" s="24" t="str">
        <f>IF(H446="I",N446*Contagem!$W$11,IF(H446="E",N446*Contagem!$W$13,IF(H446="A",N446*Contagem!$W$12,IF(H446="T",N446*Contagem!$W$14,""))))</f>
        <v/>
      </c>
      <c r="P446" s="19"/>
      <c r="Q446" s="19"/>
      <c r="R446" s="416"/>
      <c r="S446" s="416"/>
      <c r="T446" s="416"/>
    </row>
    <row r="447" spans="1:20" x14ac:dyDescent="0.25">
      <c r="A447" s="415"/>
      <c r="B447" s="416"/>
      <c r="C447" s="416"/>
      <c r="D447" s="416"/>
      <c r="E447" s="416"/>
      <c r="F447" s="417"/>
      <c r="G447" s="20"/>
      <c r="H447" s="20"/>
      <c r="I447" s="20"/>
      <c r="J447" s="20"/>
      <c r="K447" s="20" t="str">
        <f t="shared" si="9"/>
        <v/>
      </c>
      <c r="L447" s="21" t="str">
        <f t="shared" si="10"/>
        <v/>
      </c>
      <c r="M447" s="22" t="str">
        <f t="shared" si="11"/>
        <v/>
      </c>
      <c r="N447" s="23"/>
      <c r="O447" s="24" t="str">
        <f>IF(H447="I",N447*Contagem!$W$11,IF(H447="E",N447*Contagem!$W$13,IF(H447="A",N447*Contagem!$W$12,IF(H447="T",N447*Contagem!$W$14,""))))</f>
        <v/>
      </c>
      <c r="P447" s="19"/>
      <c r="Q447" s="19"/>
      <c r="R447" s="416"/>
      <c r="S447" s="416"/>
      <c r="T447" s="416"/>
    </row>
    <row r="448" spans="1:20" x14ac:dyDescent="0.25">
      <c r="A448" s="415"/>
      <c r="B448" s="416"/>
      <c r="C448" s="416"/>
      <c r="D448" s="416"/>
      <c r="E448" s="416"/>
      <c r="F448" s="417"/>
      <c r="G448" s="20"/>
      <c r="H448" s="20"/>
      <c r="I448" s="20"/>
      <c r="J448" s="20"/>
      <c r="K448" s="20" t="str">
        <f t="shared" si="9"/>
        <v/>
      </c>
      <c r="L448" s="21" t="str">
        <f t="shared" si="10"/>
        <v/>
      </c>
      <c r="M448" s="22" t="str">
        <f t="shared" si="11"/>
        <v/>
      </c>
      <c r="N448" s="23"/>
      <c r="O448" s="24" t="str">
        <f>IF(H448="I",N448*Contagem!$W$11,IF(H448="E",N448*Contagem!$W$13,IF(H448="A",N448*Contagem!$W$12,IF(H448="T",N448*Contagem!$W$14,""))))</f>
        <v/>
      </c>
      <c r="P448" s="19"/>
      <c r="Q448" s="19"/>
      <c r="R448" s="416"/>
      <c r="S448" s="416"/>
      <c r="T448" s="416"/>
    </row>
    <row r="449" spans="1:20" x14ac:dyDescent="0.25">
      <c r="A449" s="415"/>
      <c r="B449" s="416"/>
      <c r="C449" s="416"/>
      <c r="D449" s="416"/>
      <c r="E449" s="416"/>
      <c r="F449" s="417"/>
      <c r="G449" s="20"/>
      <c r="H449" s="20"/>
      <c r="I449" s="20"/>
      <c r="J449" s="20"/>
      <c r="K449" s="20" t="str">
        <f t="shared" si="9"/>
        <v/>
      </c>
      <c r="L449" s="21" t="str">
        <f t="shared" si="10"/>
        <v/>
      </c>
      <c r="M449" s="22" t="str">
        <f t="shared" si="11"/>
        <v/>
      </c>
      <c r="N449" s="23"/>
      <c r="O449" s="24" t="str">
        <f>IF(H449="I",N449*Contagem!$W$11,IF(H449="E",N449*Contagem!$W$13,IF(H449="A",N449*Contagem!$W$12,IF(H449="T",N449*Contagem!$W$14,""))))</f>
        <v/>
      </c>
      <c r="P449" s="19"/>
      <c r="Q449" s="19"/>
      <c r="R449" s="416"/>
      <c r="S449" s="416"/>
      <c r="T449" s="416"/>
    </row>
    <row r="450" spans="1:20" x14ac:dyDescent="0.25">
      <c r="A450" s="415"/>
      <c r="B450" s="416"/>
      <c r="C450" s="416"/>
      <c r="D450" s="416"/>
      <c r="E450" s="416"/>
      <c r="F450" s="417"/>
      <c r="G450" s="20"/>
      <c r="H450" s="20"/>
      <c r="I450" s="20"/>
      <c r="J450" s="20"/>
      <c r="K450" s="20" t="str">
        <f t="shared" si="9"/>
        <v/>
      </c>
      <c r="L450" s="21" t="str">
        <f t="shared" si="10"/>
        <v/>
      </c>
      <c r="M450" s="22" t="str">
        <f t="shared" si="11"/>
        <v/>
      </c>
      <c r="N450" s="23"/>
      <c r="O450" s="24" t="str">
        <f>IF(H450="I",N450*Contagem!$W$11,IF(H450="E",N450*Contagem!$W$13,IF(H450="A",N450*Contagem!$W$12,IF(H450="T",N450*Contagem!$W$14,""))))</f>
        <v/>
      </c>
      <c r="P450" s="19"/>
      <c r="Q450" s="19"/>
      <c r="R450" s="416"/>
      <c r="S450" s="416"/>
      <c r="T450" s="416"/>
    </row>
    <row r="451" spans="1:20" x14ac:dyDescent="0.25">
      <c r="A451" s="415"/>
      <c r="B451" s="416"/>
      <c r="C451" s="416"/>
      <c r="D451" s="416"/>
      <c r="E451" s="416"/>
      <c r="F451" s="417"/>
      <c r="G451" s="20"/>
      <c r="H451" s="20"/>
      <c r="I451" s="20"/>
      <c r="J451" s="20"/>
      <c r="K451" s="20" t="str">
        <f t="shared" si="9"/>
        <v/>
      </c>
      <c r="L451" s="21" t="str">
        <f t="shared" si="10"/>
        <v/>
      </c>
      <c r="M451" s="22" t="str">
        <f t="shared" si="11"/>
        <v/>
      </c>
      <c r="N451" s="23"/>
      <c r="O451" s="24" t="str">
        <f>IF(H451="I",N451*Contagem!$W$11,IF(H451="E",N451*Contagem!$W$13,IF(H451="A",N451*Contagem!$W$12,IF(H451="T",N451*Contagem!$W$14,""))))</f>
        <v/>
      </c>
      <c r="P451" s="19"/>
      <c r="Q451" s="19"/>
      <c r="R451" s="416"/>
      <c r="S451" s="416"/>
      <c r="T451" s="416"/>
    </row>
    <row r="452" spans="1:20" x14ac:dyDescent="0.25">
      <c r="A452" s="415"/>
      <c r="B452" s="416"/>
      <c r="C452" s="416"/>
      <c r="D452" s="416"/>
      <c r="E452" s="416"/>
      <c r="F452" s="417"/>
      <c r="G452" s="20"/>
      <c r="H452" s="20"/>
      <c r="I452" s="20"/>
      <c r="J452" s="20"/>
      <c r="K452" s="20" t="str">
        <f t="shared" si="9"/>
        <v/>
      </c>
      <c r="L452" s="21" t="str">
        <f t="shared" si="10"/>
        <v/>
      </c>
      <c r="M452" s="22" t="str">
        <f t="shared" si="11"/>
        <v/>
      </c>
      <c r="N452" s="23"/>
      <c r="O452" s="24" t="str">
        <f>IF(H452="I",N452*Contagem!$W$11,IF(H452="E",N452*Contagem!$W$13,IF(H452="A",N452*Contagem!$W$12,IF(H452="T",N452*Contagem!$W$14,""))))</f>
        <v/>
      </c>
      <c r="P452" s="19"/>
      <c r="Q452" s="19"/>
      <c r="R452" s="416"/>
      <c r="S452" s="416"/>
      <c r="T452" s="416"/>
    </row>
    <row r="453" spans="1:20" x14ac:dyDescent="0.25">
      <c r="A453" s="415"/>
      <c r="B453" s="416"/>
      <c r="C453" s="416"/>
      <c r="D453" s="416"/>
      <c r="E453" s="416"/>
      <c r="F453" s="417"/>
      <c r="G453" s="20"/>
      <c r="H453" s="20"/>
      <c r="I453" s="20"/>
      <c r="J453" s="20"/>
      <c r="K453" s="20" t="str">
        <f t="shared" si="9"/>
        <v/>
      </c>
      <c r="L453" s="21" t="str">
        <f t="shared" si="10"/>
        <v/>
      </c>
      <c r="M453" s="22" t="str">
        <f t="shared" si="11"/>
        <v/>
      </c>
      <c r="N453" s="23"/>
      <c r="O453" s="24" t="str">
        <f>IF(H453="I",N453*Contagem!$W$11,IF(H453="E",N453*Contagem!$W$13,IF(H453="A",N453*Contagem!$W$12,IF(H453="T",N453*Contagem!$W$14,""))))</f>
        <v/>
      </c>
      <c r="P453" s="19"/>
      <c r="Q453" s="19"/>
      <c r="R453" s="416"/>
      <c r="S453" s="416"/>
      <c r="T453" s="416"/>
    </row>
    <row r="454" spans="1:20" x14ac:dyDescent="0.25">
      <c r="A454" s="415"/>
      <c r="B454" s="416"/>
      <c r="C454" s="416"/>
      <c r="D454" s="416"/>
      <c r="E454" s="416"/>
      <c r="F454" s="417"/>
      <c r="G454" s="20"/>
      <c r="H454" s="20"/>
      <c r="I454" s="20"/>
      <c r="J454" s="20"/>
      <c r="K454" s="20" t="str">
        <f t="shared" si="9"/>
        <v/>
      </c>
      <c r="L454" s="21" t="str">
        <f t="shared" si="10"/>
        <v/>
      </c>
      <c r="M454" s="22" t="str">
        <f t="shared" si="11"/>
        <v/>
      </c>
      <c r="N454" s="23"/>
      <c r="O454" s="24" t="str">
        <f>IF(H454="I",N454*Contagem!$W$11,IF(H454="E",N454*Contagem!$W$13,IF(H454="A",N454*Contagem!$W$12,IF(H454="T",N454*Contagem!$W$14,""))))</f>
        <v/>
      </c>
      <c r="P454" s="19"/>
      <c r="Q454" s="19"/>
      <c r="R454" s="416"/>
      <c r="S454" s="416"/>
      <c r="T454" s="416"/>
    </row>
    <row r="455" spans="1:20" x14ac:dyDescent="0.25">
      <c r="A455" s="415"/>
      <c r="B455" s="416"/>
      <c r="C455" s="416"/>
      <c r="D455" s="416"/>
      <c r="E455" s="416"/>
      <c r="F455" s="417"/>
      <c r="G455" s="20"/>
      <c r="H455" s="20"/>
      <c r="I455" s="20"/>
      <c r="J455" s="20"/>
      <c r="K455" s="20" t="str">
        <f t="shared" si="9"/>
        <v/>
      </c>
      <c r="L455" s="21" t="str">
        <f t="shared" si="10"/>
        <v/>
      </c>
      <c r="M455" s="22" t="str">
        <f t="shared" si="11"/>
        <v/>
      </c>
      <c r="N455" s="23"/>
      <c r="O455" s="24" t="str">
        <f>IF(H455="I",N455*Contagem!$W$11,IF(H455="E",N455*Contagem!$W$13,IF(H455="A",N455*Contagem!$W$12,IF(H455="T",N455*Contagem!$W$14,""))))</f>
        <v/>
      </c>
      <c r="P455" s="19"/>
      <c r="Q455" s="19"/>
      <c r="R455" s="416"/>
      <c r="S455" s="416"/>
      <c r="T455" s="416"/>
    </row>
    <row r="456" spans="1:20" x14ac:dyDescent="0.25">
      <c r="A456" s="415"/>
      <c r="B456" s="416"/>
      <c r="C456" s="416"/>
      <c r="D456" s="416"/>
      <c r="E456" s="416"/>
      <c r="F456" s="417"/>
      <c r="G456" s="20"/>
      <c r="H456" s="20"/>
      <c r="I456" s="20"/>
      <c r="J456" s="20"/>
      <c r="K456" s="20" t="str">
        <f t="shared" si="9"/>
        <v/>
      </c>
      <c r="L456" s="21" t="str">
        <f t="shared" si="10"/>
        <v/>
      </c>
      <c r="M456" s="22" t="str">
        <f t="shared" si="11"/>
        <v/>
      </c>
      <c r="N456" s="23"/>
      <c r="O456" s="24" t="str">
        <f>IF(H456="I",N456*Contagem!$W$11,IF(H456="E",N456*Contagem!$W$13,IF(H456="A",N456*Contagem!$W$12,IF(H456="T",N456*Contagem!$W$14,""))))</f>
        <v/>
      </c>
      <c r="P456" s="19"/>
      <c r="Q456" s="19"/>
      <c r="R456" s="416"/>
      <c r="S456" s="416"/>
      <c r="T456" s="416"/>
    </row>
    <row r="457" spans="1:20" x14ac:dyDescent="0.25">
      <c r="A457" s="415"/>
      <c r="B457" s="416"/>
      <c r="C457" s="416"/>
      <c r="D457" s="416"/>
      <c r="E457" s="416"/>
      <c r="F457" s="417"/>
      <c r="G457" s="20"/>
      <c r="H457" s="20"/>
      <c r="I457" s="20"/>
      <c r="J457" s="20"/>
      <c r="K457" s="20" t="str">
        <f t="shared" si="9"/>
        <v/>
      </c>
      <c r="L457" s="21" t="str">
        <f t="shared" si="10"/>
        <v/>
      </c>
      <c r="M457" s="22" t="str">
        <f t="shared" si="11"/>
        <v/>
      </c>
      <c r="N457" s="23"/>
      <c r="O457" s="24" t="str">
        <f>IF(H457="I",N457*Contagem!$W$11,IF(H457="E",N457*Contagem!$W$13,IF(H457="A",N457*Contagem!$W$12,IF(H457="T",N457*Contagem!$W$14,""))))</f>
        <v/>
      </c>
      <c r="P457" s="19"/>
      <c r="Q457" s="19"/>
      <c r="R457" s="416"/>
      <c r="S457" s="416"/>
      <c r="T457" s="416"/>
    </row>
    <row r="458" spans="1:20" x14ac:dyDescent="0.25">
      <c r="A458" s="415"/>
      <c r="B458" s="416"/>
      <c r="C458" s="416"/>
      <c r="D458" s="416"/>
      <c r="E458" s="416"/>
      <c r="F458" s="417"/>
      <c r="G458" s="20"/>
      <c r="H458" s="20"/>
      <c r="I458" s="20"/>
      <c r="J458" s="20"/>
      <c r="K458" s="20" t="str">
        <f t="shared" si="9"/>
        <v/>
      </c>
      <c r="L458" s="21" t="str">
        <f t="shared" si="10"/>
        <v/>
      </c>
      <c r="M458" s="22" t="str">
        <f t="shared" si="11"/>
        <v/>
      </c>
      <c r="N458" s="23"/>
      <c r="O458" s="24" t="str">
        <f>IF(H458="I",N458*Contagem!$W$11,IF(H458="E",N458*Contagem!$W$13,IF(H458="A",N458*Contagem!$W$12,IF(H458="T",N458*Contagem!$W$14,""))))</f>
        <v/>
      </c>
      <c r="P458" s="19"/>
      <c r="Q458" s="19"/>
      <c r="R458" s="416"/>
      <c r="S458" s="416"/>
      <c r="T458" s="416"/>
    </row>
    <row r="459" spans="1:20" x14ac:dyDescent="0.25">
      <c r="A459" s="415"/>
      <c r="B459" s="416"/>
      <c r="C459" s="416"/>
      <c r="D459" s="416"/>
      <c r="E459" s="416"/>
      <c r="F459" s="417"/>
      <c r="G459" s="20"/>
      <c r="H459" s="20"/>
      <c r="I459" s="20"/>
      <c r="J459" s="20"/>
      <c r="K459" s="20" t="str">
        <f t="shared" si="9"/>
        <v/>
      </c>
      <c r="L459" s="21" t="str">
        <f t="shared" si="10"/>
        <v/>
      </c>
      <c r="M459" s="22" t="str">
        <f t="shared" si="11"/>
        <v/>
      </c>
      <c r="N459" s="23"/>
      <c r="O459" s="24" t="str">
        <f>IF(H459="I",N459*Contagem!$W$11,IF(H459="E",N459*Contagem!$W$13,IF(H459="A",N459*Contagem!$W$12,IF(H459="T",N459*Contagem!$W$14,""))))</f>
        <v/>
      </c>
      <c r="P459" s="19"/>
      <c r="Q459" s="19"/>
      <c r="R459" s="416"/>
      <c r="S459" s="416"/>
      <c r="T459" s="416"/>
    </row>
    <row r="460" spans="1:20" x14ac:dyDescent="0.25">
      <c r="A460" s="415"/>
      <c r="B460" s="416"/>
      <c r="C460" s="416"/>
      <c r="D460" s="416"/>
      <c r="E460" s="416"/>
      <c r="F460" s="417"/>
      <c r="G460" s="20"/>
      <c r="H460" s="20"/>
      <c r="I460" s="20"/>
      <c r="J460" s="20"/>
      <c r="K460" s="20" t="str">
        <f t="shared" si="9"/>
        <v/>
      </c>
      <c r="L460" s="21" t="str">
        <f t="shared" si="10"/>
        <v/>
      </c>
      <c r="M460" s="22" t="str">
        <f t="shared" si="11"/>
        <v/>
      </c>
      <c r="N460" s="23"/>
      <c r="O460" s="24" t="str">
        <f>IF(H460="I",N460*Contagem!$W$11,IF(H460="E",N460*Contagem!$W$13,IF(H460="A",N460*Contagem!$W$12,IF(H460="T",N460*Contagem!$W$14,""))))</f>
        <v/>
      </c>
      <c r="P460" s="19"/>
      <c r="Q460" s="19"/>
      <c r="R460" s="416"/>
      <c r="S460" s="416"/>
      <c r="T460" s="416"/>
    </row>
    <row r="461" spans="1:20" x14ac:dyDescent="0.25">
      <c r="A461" s="415"/>
      <c r="B461" s="416"/>
      <c r="C461" s="416"/>
      <c r="D461" s="416"/>
      <c r="E461" s="416"/>
      <c r="F461" s="417"/>
      <c r="G461" s="20"/>
      <c r="H461" s="20"/>
      <c r="I461" s="20"/>
      <c r="J461" s="20"/>
      <c r="K461" s="20" t="str">
        <f t="shared" si="9"/>
        <v/>
      </c>
      <c r="L461" s="21" t="str">
        <f t="shared" si="10"/>
        <v/>
      </c>
      <c r="M461" s="22" t="str">
        <f t="shared" si="11"/>
        <v/>
      </c>
      <c r="N461" s="23"/>
      <c r="O461" s="24" t="str">
        <f>IF(H461="I",N461*Contagem!$W$11,IF(H461="E",N461*Contagem!$W$13,IF(H461="A",N461*Contagem!$W$12,IF(H461="T",N461*Contagem!$W$14,""))))</f>
        <v/>
      </c>
      <c r="P461" s="19"/>
      <c r="Q461" s="19"/>
      <c r="R461" s="416"/>
      <c r="S461" s="416"/>
      <c r="T461" s="416"/>
    </row>
    <row r="462" spans="1:20" x14ac:dyDescent="0.25">
      <c r="A462" s="415"/>
      <c r="B462" s="416"/>
      <c r="C462" s="416"/>
      <c r="D462" s="416"/>
      <c r="E462" s="416"/>
      <c r="F462" s="417"/>
      <c r="G462" s="20"/>
      <c r="H462" s="20"/>
      <c r="I462" s="20"/>
      <c r="J462" s="20"/>
      <c r="K462" s="20" t="str">
        <f t="shared" si="9"/>
        <v/>
      </c>
      <c r="L462" s="21" t="str">
        <f t="shared" si="10"/>
        <v/>
      </c>
      <c r="M462" s="22" t="str">
        <f t="shared" si="11"/>
        <v/>
      </c>
      <c r="N462" s="23"/>
      <c r="O462" s="24" t="str">
        <f>IF(H462="I",N462*Contagem!$W$11,IF(H462="E",N462*Contagem!$W$13,IF(H462="A",N462*Contagem!$W$12,IF(H462="T",N462*Contagem!$W$14,""))))</f>
        <v/>
      </c>
      <c r="P462" s="19"/>
      <c r="Q462" s="19"/>
      <c r="R462" s="416"/>
      <c r="S462" s="416"/>
      <c r="T462" s="416"/>
    </row>
    <row r="463" spans="1:20" x14ac:dyDescent="0.25">
      <c r="A463" s="415"/>
      <c r="B463" s="416"/>
      <c r="C463" s="416"/>
      <c r="D463" s="416"/>
      <c r="E463" s="416"/>
      <c r="F463" s="417"/>
      <c r="G463" s="20"/>
      <c r="H463" s="20"/>
      <c r="I463" s="20"/>
      <c r="J463" s="20"/>
      <c r="K463" s="20" t="str">
        <f t="shared" si="9"/>
        <v/>
      </c>
      <c r="L463" s="21" t="str">
        <f t="shared" si="10"/>
        <v/>
      </c>
      <c r="M463" s="22" t="str">
        <f t="shared" si="11"/>
        <v/>
      </c>
      <c r="N463" s="23"/>
      <c r="O463" s="24" t="str">
        <f>IF(H463="I",N463*Contagem!$W$11,IF(H463="E",N463*Contagem!$W$13,IF(H463="A",N463*Contagem!$W$12,IF(H463="T",N463*Contagem!$W$14,""))))</f>
        <v/>
      </c>
      <c r="P463" s="19"/>
      <c r="Q463" s="19"/>
      <c r="R463" s="416"/>
      <c r="S463" s="416"/>
      <c r="T463" s="416"/>
    </row>
    <row r="464" spans="1:20" x14ac:dyDescent="0.25">
      <c r="A464" s="415"/>
      <c r="B464" s="416"/>
      <c r="C464" s="416"/>
      <c r="D464" s="416"/>
      <c r="E464" s="416"/>
      <c r="F464" s="417"/>
      <c r="G464" s="20"/>
      <c r="H464" s="20"/>
      <c r="I464" s="20"/>
      <c r="J464" s="20"/>
      <c r="K464" s="20" t="str">
        <f t="shared" si="9"/>
        <v/>
      </c>
      <c r="L464" s="21" t="str">
        <f t="shared" si="10"/>
        <v/>
      </c>
      <c r="M464" s="22" t="str">
        <f t="shared" si="11"/>
        <v/>
      </c>
      <c r="N464" s="23"/>
      <c r="O464" s="24" t="str">
        <f>IF(H464="I",N464*Contagem!$W$11,IF(H464="E",N464*Contagem!$W$13,IF(H464="A",N464*Contagem!$W$12,IF(H464="T",N464*Contagem!$W$14,""))))</f>
        <v/>
      </c>
      <c r="P464" s="19"/>
      <c r="Q464" s="19"/>
      <c r="R464" s="416"/>
      <c r="S464" s="416"/>
      <c r="T464" s="416"/>
    </row>
    <row r="465" spans="1:20" x14ac:dyDescent="0.25">
      <c r="A465" s="415"/>
      <c r="B465" s="416"/>
      <c r="C465" s="416"/>
      <c r="D465" s="416"/>
      <c r="E465" s="416"/>
      <c r="F465" s="417"/>
      <c r="G465" s="20"/>
      <c r="H465" s="20"/>
      <c r="I465" s="20"/>
      <c r="J465" s="20"/>
      <c r="K465" s="20" t="str">
        <f t="shared" si="9"/>
        <v/>
      </c>
      <c r="L465" s="21" t="str">
        <f t="shared" si="10"/>
        <v/>
      </c>
      <c r="M465" s="22" t="str">
        <f t="shared" si="11"/>
        <v/>
      </c>
      <c r="N465" s="23"/>
      <c r="O465" s="24" t="str">
        <f>IF(H465="I",N465*Contagem!$W$11,IF(H465="E",N465*Contagem!$W$13,IF(H465="A",N465*Contagem!$W$12,IF(H465="T",N465*Contagem!$W$14,""))))</f>
        <v/>
      </c>
      <c r="P465" s="19"/>
      <c r="Q465" s="19"/>
      <c r="R465" s="416"/>
      <c r="S465" s="416"/>
      <c r="T465" s="416"/>
    </row>
    <row r="466" spans="1:20" x14ac:dyDescent="0.25">
      <c r="A466" s="415"/>
      <c r="B466" s="416"/>
      <c r="C466" s="416"/>
      <c r="D466" s="416"/>
      <c r="E466" s="416"/>
      <c r="F466" s="417"/>
      <c r="G466" s="20"/>
      <c r="H466" s="20"/>
      <c r="I466" s="20"/>
      <c r="J466" s="20"/>
      <c r="K466" s="20" t="str">
        <f t="shared" si="9"/>
        <v/>
      </c>
      <c r="L466" s="21" t="str">
        <f t="shared" si="10"/>
        <v/>
      </c>
      <c r="M466" s="22" t="str">
        <f t="shared" si="11"/>
        <v/>
      </c>
      <c r="N466" s="23"/>
      <c r="O466" s="24" t="str">
        <f>IF(H466="I",N466*Contagem!$W$11,IF(H466="E",N466*Contagem!$W$13,IF(H466="A",N466*Contagem!$W$12,IF(H466="T",N466*Contagem!$W$14,""))))</f>
        <v/>
      </c>
      <c r="P466" s="19"/>
      <c r="Q466" s="19"/>
      <c r="R466" s="416"/>
      <c r="S466" s="416"/>
      <c r="T466" s="416"/>
    </row>
    <row r="467" spans="1:20" x14ac:dyDescent="0.25">
      <c r="A467" s="415"/>
      <c r="B467" s="416"/>
      <c r="C467" s="416"/>
      <c r="D467" s="416"/>
      <c r="E467" s="416"/>
      <c r="F467" s="417"/>
      <c r="G467" s="20"/>
      <c r="H467" s="20"/>
      <c r="I467" s="20"/>
      <c r="J467" s="20"/>
      <c r="K467" s="20" t="str">
        <f t="shared" si="9"/>
        <v/>
      </c>
      <c r="L467" s="21" t="str">
        <f t="shared" si="10"/>
        <v/>
      </c>
      <c r="M467" s="22" t="str">
        <f t="shared" si="11"/>
        <v/>
      </c>
      <c r="N467" s="23"/>
      <c r="O467" s="24" t="str">
        <f>IF(H467="I",N467*Contagem!$W$11,IF(H467="E",N467*Contagem!$W$13,IF(H467="A",N467*Contagem!$W$12,IF(H467="T",N467*Contagem!$W$14,""))))</f>
        <v/>
      </c>
      <c r="P467" s="19"/>
      <c r="Q467" s="19"/>
      <c r="R467" s="416"/>
      <c r="S467" s="416"/>
      <c r="T467" s="416"/>
    </row>
    <row r="468" spans="1:20" x14ac:dyDescent="0.25">
      <c r="A468" s="415"/>
      <c r="B468" s="416"/>
      <c r="C468" s="416"/>
      <c r="D468" s="416"/>
      <c r="E468" s="416"/>
      <c r="F468" s="417"/>
      <c r="G468" s="20"/>
      <c r="H468" s="20"/>
      <c r="I468" s="20"/>
      <c r="J468" s="20"/>
      <c r="K468" s="20" t="str">
        <f t="shared" si="9"/>
        <v/>
      </c>
      <c r="L468" s="21" t="str">
        <f t="shared" si="10"/>
        <v/>
      </c>
      <c r="M468" s="22" t="str">
        <f t="shared" si="11"/>
        <v/>
      </c>
      <c r="N468" s="23"/>
      <c r="O468" s="24" t="str">
        <f>IF(H468="I",N468*Contagem!$W$11,IF(H468="E",N468*Contagem!$W$13,IF(H468="A",N468*Contagem!$W$12,IF(H468="T",N468*Contagem!$W$14,""))))</f>
        <v/>
      </c>
      <c r="P468" s="19"/>
      <c r="Q468" s="19"/>
      <c r="R468" s="416"/>
      <c r="S468" s="416"/>
      <c r="T468" s="416"/>
    </row>
    <row r="469" spans="1:20" x14ac:dyDescent="0.25">
      <c r="A469" s="415"/>
      <c r="B469" s="416"/>
      <c r="C469" s="416"/>
      <c r="D469" s="416"/>
      <c r="E469" s="416"/>
      <c r="F469" s="417"/>
      <c r="G469" s="20"/>
      <c r="H469" s="20"/>
      <c r="I469" s="20"/>
      <c r="J469" s="20"/>
      <c r="K469" s="20" t="str">
        <f t="shared" si="9"/>
        <v/>
      </c>
      <c r="L469" s="21" t="str">
        <f t="shared" si="10"/>
        <v/>
      </c>
      <c r="M469" s="22" t="str">
        <f t="shared" si="11"/>
        <v/>
      </c>
      <c r="N469" s="23"/>
      <c r="O469" s="24" t="str">
        <f>IF(H469="I",N469*Contagem!$W$11,IF(H469="E",N469*Contagem!$W$13,IF(H469="A",N469*Contagem!$W$12,IF(H469="T",N469*Contagem!$W$14,""))))</f>
        <v/>
      </c>
      <c r="P469" s="19"/>
      <c r="Q469" s="19"/>
      <c r="R469" s="416"/>
      <c r="S469" s="416"/>
      <c r="T469" s="416"/>
    </row>
    <row r="470" spans="1:20" x14ac:dyDescent="0.25">
      <c r="A470" s="415"/>
      <c r="B470" s="416"/>
      <c r="C470" s="416"/>
      <c r="D470" s="416"/>
      <c r="E470" s="416"/>
      <c r="F470" s="417"/>
      <c r="G470" s="20"/>
      <c r="H470" s="20"/>
      <c r="I470" s="20"/>
      <c r="J470" s="20"/>
      <c r="K470" s="20" t="str">
        <f t="shared" si="9"/>
        <v/>
      </c>
      <c r="L470" s="21" t="str">
        <f t="shared" si="10"/>
        <v/>
      </c>
      <c r="M470" s="22" t="str">
        <f t="shared" si="11"/>
        <v/>
      </c>
      <c r="N470" s="23"/>
      <c r="O470" s="24" t="str">
        <f>IF(H470="I",N470*Contagem!$W$11,IF(H470="E",N470*Contagem!$W$13,IF(H470="A",N470*Contagem!$W$12,IF(H470="T",N470*Contagem!$W$14,""))))</f>
        <v/>
      </c>
      <c r="P470" s="19"/>
      <c r="Q470" s="19"/>
      <c r="R470" s="416"/>
      <c r="S470" s="416"/>
      <c r="T470" s="416"/>
    </row>
    <row r="471" spans="1:20" x14ac:dyDescent="0.25">
      <c r="A471" s="415"/>
      <c r="B471" s="416"/>
      <c r="C471" s="416"/>
      <c r="D471" s="416"/>
      <c r="E471" s="416"/>
      <c r="F471" s="417"/>
      <c r="G471" s="20"/>
      <c r="H471" s="20"/>
      <c r="I471" s="20"/>
      <c r="J471" s="20"/>
      <c r="K471" s="20" t="str">
        <f t="shared" si="9"/>
        <v/>
      </c>
      <c r="L471" s="21" t="str">
        <f t="shared" si="10"/>
        <v/>
      </c>
      <c r="M471" s="22" t="str">
        <f t="shared" si="11"/>
        <v/>
      </c>
      <c r="N471" s="23"/>
      <c r="O471" s="24" t="str">
        <f>IF(H471="I",N471*Contagem!$W$11,IF(H471="E",N471*Contagem!$W$13,IF(H471="A",N471*Contagem!$W$12,IF(H471="T",N471*Contagem!$W$14,""))))</f>
        <v/>
      </c>
      <c r="P471" s="19"/>
      <c r="Q471" s="19"/>
      <c r="R471" s="416"/>
      <c r="S471" s="416"/>
      <c r="T471" s="416"/>
    </row>
    <row r="472" spans="1:20" x14ac:dyDescent="0.25">
      <c r="A472" s="415"/>
      <c r="B472" s="416"/>
      <c r="C472" s="416"/>
      <c r="D472" s="416"/>
      <c r="E472" s="416"/>
      <c r="F472" s="417"/>
      <c r="G472" s="20"/>
      <c r="H472" s="20"/>
      <c r="I472" s="20"/>
      <c r="J472" s="20"/>
      <c r="K472" s="20" t="str">
        <f t="shared" si="9"/>
        <v/>
      </c>
      <c r="L472" s="21" t="str">
        <f t="shared" si="10"/>
        <v/>
      </c>
      <c r="M472" s="22" t="str">
        <f t="shared" si="11"/>
        <v/>
      </c>
      <c r="N472" s="23"/>
      <c r="O472" s="24" t="str">
        <f>IF(H472="I",N472*Contagem!$W$11,IF(H472="E",N472*Contagem!$W$13,IF(H472="A",N472*Contagem!$W$12,IF(H472="T",N472*Contagem!$W$14,""))))</f>
        <v/>
      </c>
      <c r="P472" s="19"/>
      <c r="Q472" s="19"/>
      <c r="R472" s="416"/>
      <c r="S472" s="416"/>
      <c r="T472" s="416"/>
    </row>
    <row r="473" spans="1:20" x14ac:dyDescent="0.25">
      <c r="A473" s="415"/>
      <c r="B473" s="416"/>
      <c r="C473" s="416"/>
      <c r="D473" s="416"/>
      <c r="E473" s="416"/>
      <c r="F473" s="417"/>
      <c r="G473" s="20"/>
      <c r="H473" s="20"/>
      <c r="I473" s="20"/>
      <c r="J473" s="20"/>
      <c r="K473" s="20" t="str">
        <f t="shared" si="9"/>
        <v/>
      </c>
      <c r="L473" s="21" t="str">
        <f t="shared" si="10"/>
        <v/>
      </c>
      <c r="M473" s="22" t="str">
        <f t="shared" si="11"/>
        <v/>
      </c>
      <c r="N473" s="23"/>
      <c r="O473" s="24" t="str">
        <f>IF(H473="I",N473*Contagem!$W$11,IF(H473="E",N473*Contagem!$W$13,IF(H473="A",N473*Contagem!$W$12,IF(H473="T",N473*Contagem!$W$14,""))))</f>
        <v/>
      </c>
      <c r="P473" s="19"/>
      <c r="Q473" s="19"/>
      <c r="R473" s="416"/>
      <c r="S473" s="416"/>
      <c r="T473" s="416"/>
    </row>
    <row r="474" spans="1:20" x14ac:dyDescent="0.25">
      <c r="A474" s="415"/>
      <c r="B474" s="416"/>
      <c r="C474" s="416"/>
      <c r="D474" s="416"/>
      <c r="E474" s="416"/>
      <c r="F474" s="417"/>
      <c r="G474" s="20"/>
      <c r="H474" s="20"/>
      <c r="I474" s="20"/>
      <c r="J474" s="20"/>
      <c r="K474" s="20" t="str">
        <f t="shared" si="9"/>
        <v/>
      </c>
      <c r="L474" s="21" t="str">
        <f t="shared" si="10"/>
        <v/>
      </c>
      <c r="M474" s="22" t="str">
        <f t="shared" si="11"/>
        <v/>
      </c>
      <c r="N474" s="23"/>
      <c r="O474" s="24" t="str">
        <f>IF(H474="I",N474*Contagem!$W$11,IF(H474="E",N474*Contagem!$W$13,IF(H474="A",N474*Contagem!$W$12,IF(H474="T",N474*Contagem!$W$14,""))))</f>
        <v/>
      </c>
      <c r="P474" s="19"/>
      <c r="Q474" s="19"/>
      <c r="R474" s="416"/>
      <c r="S474" s="416"/>
      <c r="T474" s="416"/>
    </row>
    <row r="475" spans="1:20" x14ac:dyDescent="0.25">
      <c r="A475" s="415"/>
      <c r="B475" s="416"/>
      <c r="C475" s="416"/>
      <c r="D475" s="416"/>
      <c r="E475" s="416"/>
      <c r="F475" s="417"/>
      <c r="G475" s="20"/>
      <c r="H475" s="20"/>
      <c r="I475" s="20"/>
      <c r="J475" s="20"/>
      <c r="K475" s="20" t="str">
        <f t="shared" si="9"/>
        <v/>
      </c>
      <c r="L475" s="21" t="str">
        <f t="shared" si="10"/>
        <v/>
      </c>
      <c r="M475" s="22" t="str">
        <f t="shared" si="11"/>
        <v/>
      </c>
      <c r="N475" s="23"/>
      <c r="O475" s="24" t="str">
        <f>IF(H475="I",N475*Contagem!$W$11,IF(H475="E",N475*Contagem!$W$13,IF(H475="A",N475*Contagem!$W$12,IF(H475="T",N475*Contagem!$W$14,""))))</f>
        <v/>
      </c>
      <c r="P475" s="19"/>
      <c r="Q475" s="19"/>
      <c r="R475" s="416"/>
      <c r="S475" s="416"/>
      <c r="T475" s="416"/>
    </row>
    <row r="476" spans="1:20" x14ac:dyDescent="0.25">
      <c r="A476" s="415"/>
      <c r="B476" s="416"/>
      <c r="C476" s="416"/>
      <c r="D476" s="416"/>
      <c r="E476" s="416"/>
      <c r="F476" s="417"/>
      <c r="G476" s="20"/>
      <c r="H476" s="20"/>
      <c r="I476" s="20"/>
      <c r="J476" s="20"/>
      <c r="K476" s="20" t="str">
        <f t="shared" si="9"/>
        <v/>
      </c>
      <c r="L476" s="21" t="str">
        <f t="shared" si="10"/>
        <v/>
      </c>
      <c r="M476" s="22" t="str">
        <f t="shared" si="11"/>
        <v/>
      </c>
      <c r="N476" s="23"/>
      <c r="O476" s="24" t="str">
        <f>IF(H476="I",N476*Contagem!$W$11,IF(H476="E",N476*Contagem!$W$13,IF(H476="A",N476*Contagem!$W$12,IF(H476="T",N476*Contagem!$W$14,""))))</f>
        <v/>
      </c>
      <c r="P476" s="19"/>
      <c r="Q476" s="19"/>
      <c r="R476" s="416"/>
      <c r="S476" s="416"/>
      <c r="T476" s="416"/>
    </row>
    <row r="477" spans="1:20" x14ac:dyDescent="0.25">
      <c r="A477" s="415"/>
      <c r="B477" s="416"/>
      <c r="C477" s="416"/>
      <c r="D477" s="416"/>
      <c r="E477" s="416"/>
      <c r="F477" s="417"/>
      <c r="G477" s="20"/>
      <c r="H477" s="20"/>
      <c r="I477" s="20"/>
      <c r="J477" s="20"/>
      <c r="K477" s="20" t="str">
        <f t="shared" si="9"/>
        <v/>
      </c>
      <c r="L477" s="21" t="str">
        <f t="shared" si="10"/>
        <v/>
      </c>
      <c r="M477" s="22" t="str">
        <f t="shared" si="11"/>
        <v/>
      </c>
      <c r="N477" s="23"/>
      <c r="O477" s="24" t="str">
        <f>IF(H477="I",N477*Contagem!$W$11,IF(H477="E",N477*Contagem!$W$13,IF(H477="A",N477*Contagem!$W$12,IF(H477="T",N477*Contagem!$W$14,""))))</f>
        <v/>
      </c>
      <c r="P477" s="19"/>
      <c r="Q477" s="19"/>
      <c r="R477" s="416"/>
      <c r="S477" s="416"/>
      <c r="T477" s="416"/>
    </row>
    <row r="478" spans="1:20" x14ac:dyDescent="0.25">
      <c r="A478" s="415"/>
      <c r="B478" s="416"/>
      <c r="C478" s="416"/>
      <c r="D478" s="416"/>
      <c r="E478" s="416"/>
      <c r="F478" s="417"/>
      <c r="G478" s="20"/>
      <c r="H478" s="20"/>
      <c r="I478" s="20"/>
      <c r="J478" s="20"/>
      <c r="K478" s="20" t="str">
        <f t="shared" si="9"/>
        <v/>
      </c>
      <c r="L478" s="21" t="str">
        <f t="shared" si="10"/>
        <v/>
      </c>
      <c r="M478" s="22" t="str">
        <f t="shared" si="11"/>
        <v/>
      </c>
      <c r="N478" s="23"/>
      <c r="O478" s="24" t="str">
        <f>IF(H478="I",N478*Contagem!$W$11,IF(H478="E",N478*Contagem!$W$13,IF(H478="A",N478*Contagem!$W$12,IF(H478="T",N478*Contagem!$W$14,""))))</f>
        <v/>
      </c>
      <c r="P478" s="19"/>
      <c r="Q478" s="19"/>
      <c r="R478" s="416"/>
      <c r="S478" s="416"/>
      <c r="T478" s="416"/>
    </row>
    <row r="479" spans="1:20" x14ac:dyDescent="0.25">
      <c r="A479" s="415"/>
      <c r="B479" s="416"/>
      <c r="C479" s="416"/>
      <c r="D479" s="416"/>
      <c r="E479" s="416"/>
      <c r="F479" s="417"/>
      <c r="G479" s="20"/>
      <c r="H479" s="20"/>
      <c r="I479" s="20"/>
      <c r="J479" s="20"/>
      <c r="K479" s="20" t="str">
        <f t="shared" si="9"/>
        <v/>
      </c>
      <c r="L479" s="21" t="str">
        <f t="shared" si="10"/>
        <v/>
      </c>
      <c r="M479" s="22" t="str">
        <f t="shared" si="11"/>
        <v/>
      </c>
      <c r="N479" s="23"/>
      <c r="O479" s="24" t="str">
        <f>IF(H479="I",N479*Contagem!$W$11,IF(H479="E",N479*Contagem!$W$13,IF(H479="A",N479*Contagem!$W$12,IF(H479="T",N479*Contagem!$W$14,""))))</f>
        <v/>
      </c>
      <c r="P479" s="19"/>
      <c r="Q479" s="19"/>
      <c r="R479" s="416"/>
      <c r="S479" s="416"/>
      <c r="T479" s="416"/>
    </row>
    <row r="480" spans="1:20" x14ac:dyDescent="0.25">
      <c r="A480" s="415"/>
      <c r="B480" s="416"/>
      <c r="C480" s="416"/>
      <c r="D480" s="416"/>
      <c r="E480" s="416"/>
      <c r="F480" s="417"/>
      <c r="G480" s="20"/>
      <c r="H480" s="20"/>
      <c r="I480" s="20"/>
      <c r="J480" s="20"/>
      <c r="K480" s="20" t="str">
        <f t="shared" si="9"/>
        <v/>
      </c>
      <c r="L480" s="21" t="str">
        <f t="shared" si="10"/>
        <v/>
      </c>
      <c r="M480" s="22" t="str">
        <f t="shared" si="11"/>
        <v/>
      </c>
      <c r="N480" s="23"/>
      <c r="O480" s="24" t="str">
        <f>IF(H480="I",N480*Contagem!$W$11,IF(H480="E",N480*Contagem!$W$13,IF(H480="A",N480*Contagem!$W$12,IF(H480="T",N480*Contagem!$W$14,""))))</f>
        <v/>
      </c>
      <c r="P480" s="19"/>
      <c r="Q480" s="19"/>
      <c r="R480" s="416"/>
      <c r="S480" s="416"/>
      <c r="T480" s="416"/>
    </row>
    <row r="481" spans="1:20" x14ac:dyDescent="0.25">
      <c r="A481" s="415"/>
      <c r="B481" s="416"/>
      <c r="C481" s="416"/>
      <c r="D481" s="416"/>
      <c r="E481" s="416"/>
      <c r="F481" s="417"/>
      <c r="G481" s="20"/>
      <c r="H481" s="20"/>
      <c r="I481" s="20"/>
      <c r="J481" s="20"/>
      <c r="K481" s="20" t="str">
        <f t="shared" si="9"/>
        <v/>
      </c>
      <c r="L481" s="21" t="str">
        <f t="shared" si="10"/>
        <v/>
      </c>
      <c r="M481" s="22" t="str">
        <f t="shared" si="11"/>
        <v/>
      </c>
      <c r="N481" s="23"/>
      <c r="O481" s="24" t="str">
        <f>IF(H481="I",N481*Contagem!$W$11,IF(H481="E",N481*Contagem!$W$13,IF(H481="A",N481*Contagem!$W$12,IF(H481="T",N481*Contagem!$W$14,""))))</f>
        <v/>
      </c>
      <c r="P481" s="19"/>
      <c r="Q481" s="19"/>
      <c r="R481" s="416"/>
      <c r="S481" s="416"/>
      <c r="T481" s="416"/>
    </row>
    <row r="482" spans="1:20" x14ac:dyDescent="0.25">
      <c r="A482" s="415"/>
      <c r="B482" s="416"/>
      <c r="C482" s="416"/>
      <c r="D482" s="416"/>
      <c r="E482" s="416"/>
      <c r="F482" s="417"/>
      <c r="G482" s="20"/>
      <c r="H482" s="20"/>
      <c r="I482" s="20"/>
      <c r="J482" s="20"/>
      <c r="K482" s="20" t="str">
        <f t="shared" si="9"/>
        <v/>
      </c>
      <c r="L482" s="21" t="str">
        <f t="shared" si="10"/>
        <v/>
      </c>
      <c r="M482" s="22" t="str">
        <f t="shared" si="11"/>
        <v/>
      </c>
      <c r="N482" s="23"/>
      <c r="O482" s="24" t="str">
        <f>IF(H482="I",N482*Contagem!$W$11,IF(H482="E",N482*Contagem!$W$13,IF(H482="A",N482*Contagem!$W$12,IF(H482="T",N482*Contagem!$W$14,""))))</f>
        <v/>
      </c>
      <c r="P482" s="19"/>
      <c r="Q482" s="19"/>
      <c r="R482" s="416"/>
      <c r="S482" s="416"/>
      <c r="T482" s="416"/>
    </row>
    <row r="483" spans="1:20" x14ac:dyDescent="0.25">
      <c r="A483" s="415"/>
      <c r="B483" s="416"/>
      <c r="C483" s="416"/>
      <c r="D483" s="416"/>
      <c r="E483" s="416"/>
      <c r="F483" s="417"/>
      <c r="G483" s="20"/>
      <c r="H483" s="20"/>
      <c r="I483" s="20"/>
      <c r="J483" s="20"/>
      <c r="K483" s="20" t="str">
        <f t="shared" si="9"/>
        <v/>
      </c>
      <c r="L483" s="21" t="str">
        <f t="shared" si="10"/>
        <v/>
      </c>
      <c r="M483" s="22" t="str">
        <f t="shared" si="11"/>
        <v/>
      </c>
      <c r="N483" s="23"/>
      <c r="O483" s="24" t="str">
        <f>IF(H483="I",N483*Contagem!$W$11,IF(H483="E",N483*Contagem!$W$13,IF(H483="A",N483*Contagem!$W$12,IF(H483="T",N483*Contagem!$W$14,""))))</f>
        <v/>
      </c>
      <c r="P483" s="19"/>
      <c r="Q483" s="19"/>
      <c r="R483" s="416"/>
      <c r="S483" s="416"/>
      <c r="T483" s="416"/>
    </row>
    <row r="484" spans="1:20" x14ac:dyDescent="0.25">
      <c r="A484" s="415"/>
      <c r="B484" s="416"/>
      <c r="C484" s="416"/>
      <c r="D484" s="416"/>
      <c r="E484" s="416"/>
      <c r="F484" s="417"/>
      <c r="G484" s="20"/>
      <c r="H484" s="20"/>
      <c r="I484" s="20"/>
      <c r="J484" s="20"/>
      <c r="K484" s="20" t="str">
        <f t="shared" si="9"/>
        <v/>
      </c>
      <c r="L484" s="21" t="str">
        <f t="shared" si="10"/>
        <v/>
      </c>
      <c r="M484" s="22" t="str">
        <f t="shared" si="11"/>
        <v/>
      </c>
      <c r="N484" s="23"/>
      <c r="O484" s="24" t="str">
        <f>IF(H484="I",N484*Contagem!$W$11,IF(H484="E",N484*Contagem!$W$13,IF(H484="A",N484*Contagem!$W$12,IF(H484="T",N484*Contagem!$W$14,""))))</f>
        <v/>
      </c>
      <c r="P484" s="19"/>
      <c r="Q484" s="19"/>
      <c r="R484" s="416"/>
      <c r="S484" s="416"/>
      <c r="T484" s="416"/>
    </row>
    <row r="485" spans="1:20" x14ac:dyDescent="0.25">
      <c r="A485" s="415"/>
      <c r="B485" s="416"/>
      <c r="C485" s="416"/>
      <c r="D485" s="416"/>
      <c r="E485" s="416"/>
      <c r="F485" s="417"/>
      <c r="G485" s="20"/>
      <c r="H485" s="20"/>
      <c r="I485" s="20"/>
      <c r="J485" s="20"/>
      <c r="K485" s="20" t="str">
        <f t="shared" si="9"/>
        <v/>
      </c>
      <c r="L485" s="21" t="str">
        <f t="shared" si="10"/>
        <v/>
      </c>
      <c r="M485" s="22" t="str">
        <f t="shared" si="11"/>
        <v/>
      </c>
      <c r="N485" s="23"/>
      <c r="O485" s="24" t="str">
        <f>IF(H485="I",N485*Contagem!$W$11,IF(H485="E",N485*Contagem!$W$13,IF(H485="A",N485*Contagem!$W$12,IF(H485="T",N485*Contagem!$W$14,""))))</f>
        <v/>
      </c>
      <c r="P485" s="19"/>
      <c r="Q485" s="19"/>
      <c r="R485" s="416"/>
      <c r="S485" s="416"/>
      <c r="T485" s="416"/>
    </row>
    <row r="486" spans="1:20" x14ac:dyDescent="0.25">
      <c r="A486" s="415"/>
      <c r="B486" s="416"/>
      <c r="C486" s="416"/>
      <c r="D486" s="416"/>
      <c r="E486" s="416"/>
      <c r="F486" s="417"/>
      <c r="G486" s="20"/>
      <c r="H486" s="20"/>
      <c r="I486" s="20"/>
      <c r="J486" s="20"/>
      <c r="K486" s="20" t="str">
        <f t="shared" si="9"/>
        <v/>
      </c>
      <c r="L486" s="21" t="str">
        <f t="shared" si="10"/>
        <v/>
      </c>
      <c r="M486" s="22" t="str">
        <f t="shared" si="11"/>
        <v/>
      </c>
      <c r="N486" s="23"/>
      <c r="O486" s="24" t="str">
        <f>IF(H486="I",N486*Contagem!$W$11,IF(H486="E",N486*Contagem!$W$13,IF(H486="A",N486*Contagem!$W$12,IF(H486="T",N486*Contagem!$W$14,""))))</f>
        <v/>
      </c>
      <c r="P486" s="19"/>
      <c r="Q486" s="19"/>
      <c r="R486" s="416"/>
      <c r="S486" s="416"/>
      <c r="T486" s="416"/>
    </row>
    <row r="487" spans="1:20" x14ac:dyDescent="0.25">
      <c r="A487" s="415"/>
      <c r="B487" s="416"/>
      <c r="C487" s="416"/>
      <c r="D487" s="416"/>
      <c r="E487" s="416"/>
      <c r="F487" s="417"/>
      <c r="G487" s="20"/>
      <c r="H487" s="20"/>
      <c r="I487" s="20"/>
      <c r="J487" s="20"/>
      <c r="K487" s="20" t="str">
        <f t="shared" si="9"/>
        <v/>
      </c>
      <c r="L487" s="21" t="str">
        <f t="shared" si="10"/>
        <v/>
      </c>
      <c r="M487" s="22" t="str">
        <f t="shared" si="11"/>
        <v/>
      </c>
      <c r="N487" s="23"/>
      <c r="O487" s="24" t="str">
        <f>IF(H487="I",N487*Contagem!$W$11,IF(H487="E",N487*Contagem!$W$13,IF(H487="A",N487*Contagem!$W$12,IF(H487="T",N487*Contagem!$W$14,""))))</f>
        <v/>
      </c>
      <c r="P487" s="19"/>
      <c r="Q487" s="19"/>
      <c r="R487" s="416"/>
      <c r="S487" s="416"/>
      <c r="T487" s="416"/>
    </row>
    <row r="488" spans="1:20" x14ac:dyDescent="0.25">
      <c r="A488" s="415"/>
      <c r="B488" s="416"/>
      <c r="C488" s="416"/>
      <c r="D488" s="416"/>
      <c r="E488" s="416"/>
      <c r="F488" s="417"/>
      <c r="G488" s="20"/>
      <c r="H488" s="20"/>
      <c r="I488" s="20"/>
      <c r="J488" s="20"/>
      <c r="K488" s="20" t="str">
        <f t="shared" si="9"/>
        <v/>
      </c>
      <c r="L488" s="21" t="str">
        <f t="shared" si="10"/>
        <v/>
      </c>
      <c r="M488" s="22" t="str">
        <f t="shared" si="11"/>
        <v/>
      </c>
      <c r="N488" s="23"/>
      <c r="O488" s="24" t="str">
        <f>IF(H488="I",N488*Contagem!$W$11,IF(H488="E",N488*Contagem!$W$13,IF(H488="A",N488*Contagem!$W$12,IF(H488="T",N488*Contagem!$W$14,""))))</f>
        <v/>
      </c>
      <c r="P488" s="19"/>
      <c r="Q488" s="19"/>
      <c r="R488" s="416"/>
      <c r="S488" s="416"/>
      <c r="T488" s="416"/>
    </row>
    <row r="489" spans="1:20" x14ac:dyDescent="0.25">
      <c r="A489" s="415"/>
      <c r="B489" s="416"/>
      <c r="C489" s="416"/>
      <c r="D489" s="416"/>
      <c r="E489" s="416"/>
      <c r="F489" s="417"/>
      <c r="G489" s="20"/>
      <c r="H489" s="20"/>
      <c r="I489" s="20"/>
      <c r="J489" s="20"/>
      <c r="K489" s="20" t="str">
        <f t="shared" si="9"/>
        <v/>
      </c>
      <c r="L489" s="21" t="str">
        <f t="shared" si="10"/>
        <v/>
      </c>
      <c r="M489" s="22" t="str">
        <f t="shared" si="11"/>
        <v/>
      </c>
      <c r="N489" s="23"/>
      <c r="O489" s="24" t="str">
        <f>IF(H489="I",N489*Contagem!$W$11,IF(H489="E",N489*Contagem!$W$13,IF(H489="A",N489*Contagem!$W$12,IF(H489="T",N489*Contagem!$W$14,""))))</f>
        <v/>
      </c>
      <c r="P489" s="19"/>
      <c r="Q489" s="19"/>
      <c r="R489" s="416"/>
      <c r="S489" s="416"/>
      <c r="T489" s="416"/>
    </row>
    <row r="490" spans="1:20" x14ac:dyDescent="0.25">
      <c r="A490" s="415"/>
      <c r="B490" s="416"/>
      <c r="C490" s="416"/>
      <c r="D490" s="416"/>
      <c r="E490" s="416"/>
      <c r="F490" s="417"/>
      <c r="G490" s="20"/>
      <c r="H490" s="20"/>
      <c r="I490" s="20"/>
      <c r="J490" s="20"/>
      <c r="K490" s="20" t="str">
        <f t="shared" si="9"/>
        <v/>
      </c>
      <c r="L490" s="21" t="str">
        <f t="shared" si="10"/>
        <v/>
      </c>
      <c r="M490" s="22" t="str">
        <f t="shared" si="11"/>
        <v/>
      </c>
      <c r="N490" s="23"/>
      <c r="O490" s="24" t="str">
        <f>IF(H490="I",N490*Contagem!$W$11,IF(H490="E",N490*Contagem!$W$13,IF(H490="A",N490*Contagem!$W$12,IF(H490="T",N490*Contagem!$W$14,""))))</f>
        <v/>
      </c>
      <c r="P490" s="19"/>
      <c r="Q490" s="19"/>
      <c r="R490" s="416"/>
      <c r="S490" s="416"/>
      <c r="T490" s="416"/>
    </row>
    <row r="491" spans="1:20" x14ac:dyDescent="0.25">
      <c r="A491" s="415"/>
      <c r="B491" s="416"/>
      <c r="C491" s="416"/>
      <c r="D491" s="416"/>
      <c r="E491" s="416"/>
      <c r="F491" s="417"/>
      <c r="G491" s="20"/>
      <c r="H491" s="20"/>
      <c r="I491" s="20"/>
      <c r="J491" s="20"/>
      <c r="K491" s="20" t="str">
        <f t="shared" si="9"/>
        <v/>
      </c>
      <c r="L491" s="21" t="str">
        <f t="shared" si="10"/>
        <v/>
      </c>
      <c r="M491" s="22" t="str">
        <f t="shared" si="11"/>
        <v/>
      </c>
      <c r="N491" s="23"/>
      <c r="O491" s="24" t="str">
        <f>IF(H491="I",N491*Contagem!$W$11,IF(H491="E",N491*Contagem!$W$13,IF(H491="A",N491*Contagem!$W$12,IF(H491="T",N491*Contagem!$W$14,""))))</f>
        <v/>
      </c>
      <c r="P491" s="19"/>
      <c r="Q491" s="19"/>
      <c r="R491" s="416"/>
      <c r="S491" s="416"/>
      <c r="T491" s="416"/>
    </row>
    <row r="492" spans="1:20" x14ac:dyDescent="0.25">
      <c r="A492" s="415"/>
      <c r="B492" s="416"/>
      <c r="C492" s="416"/>
      <c r="D492" s="416"/>
      <c r="E492" s="416"/>
      <c r="F492" s="417"/>
      <c r="G492" s="20"/>
      <c r="H492" s="20"/>
      <c r="I492" s="20"/>
      <c r="J492" s="20"/>
      <c r="K492" s="20" t="str">
        <f t="shared" si="9"/>
        <v/>
      </c>
      <c r="L492" s="21" t="str">
        <f t="shared" si="10"/>
        <v/>
      </c>
      <c r="M492" s="22" t="str">
        <f t="shared" si="11"/>
        <v/>
      </c>
      <c r="N492" s="23"/>
      <c r="O492" s="24" t="str">
        <f>IF(H492="I",N492*Contagem!$W$11,IF(H492="E",N492*Contagem!$W$13,IF(H492="A",N492*Contagem!$W$12,IF(H492="T",N492*Contagem!$W$14,""))))</f>
        <v/>
      </c>
      <c r="P492" s="19"/>
      <c r="Q492" s="19"/>
      <c r="R492" s="416"/>
      <c r="S492" s="416"/>
      <c r="T492" s="416"/>
    </row>
    <row r="493" spans="1:20" x14ac:dyDescent="0.25">
      <c r="A493" s="415"/>
      <c r="B493" s="416"/>
      <c r="C493" s="416"/>
      <c r="D493" s="416"/>
      <c r="E493" s="416"/>
      <c r="F493" s="417"/>
      <c r="G493" s="20"/>
      <c r="H493" s="20"/>
      <c r="I493" s="20"/>
      <c r="J493" s="20"/>
      <c r="K493" s="20" t="str">
        <f t="shared" si="9"/>
        <v/>
      </c>
      <c r="L493" s="21" t="str">
        <f t="shared" si="10"/>
        <v/>
      </c>
      <c r="M493" s="22" t="str">
        <f t="shared" si="11"/>
        <v/>
      </c>
      <c r="N493" s="23"/>
      <c r="O493" s="24" t="str">
        <f>IF(H493="I",N493*Contagem!$W$11,IF(H493="E",N493*Contagem!$W$13,IF(H493="A",N493*Contagem!$W$12,IF(H493="T",N493*Contagem!$W$14,""))))</f>
        <v/>
      </c>
      <c r="P493" s="19"/>
      <c r="Q493" s="19"/>
      <c r="R493" s="416"/>
      <c r="S493" s="416"/>
      <c r="T493" s="416"/>
    </row>
    <row r="494" spans="1:20" x14ac:dyDescent="0.25">
      <c r="A494" s="415"/>
      <c r="B494" s="416"/>
      <c r="C494" s="416"/>
      <c r="D494" s="416"/>
      <c r="E494" s="416"/>
      <c r="F494" s="417"/>
      <c r="G494" s="20"/>
      <c r="H494" s="20"/>
      <c r="I494" s="20"/>
      <c r="J494" s="20"/>
      <c r="K494" s="20" t="str">
        <f t="shared" si="9"/>
        <v/>
      </c>
      <c r="L494" s="21" t="str">
        <f t="shared" si="10"/>
        <v/>
      </c>
      <c r="M494" s="22" t="str">
        <f t="shared" si="11"/>
        <v/>
      </c>
      <c r="N494" s="23"/>
      <c r="O494" s="24" t="str">
        <f>IF(H494="I",N494*Contagem!$W$11,IF(H494="E",N494*Contagem!$W$13,IF(H494="A",N494*Contagem!$W$12,IF(H494="T",N494*Contagem!$W$14,""))))</f>
        <v/>
      </c>
      <c r="P494" s="19"/>
      <c r="Q494" s="19"/>
      <c r="R494" s="416"/>
      <c r="S494" s="416"/>
      <c r="T494" s="416"/>
    </row>
    <row r="495" spans="1:20" x14ac:dyDescent="0.25">
      <c r="A495" s="415"/>
      <c r="B495" s="416"/>
      <c r="C495" s="416"/>
      <c r="D495" s="416"/>
      <c r="E495" s="416"/>
      <c r="F495" s="417"/>
      <c r="G495" s="20"/>
      <c r="H495" s="20"/>
      <c r="I495" s="20"/>
      <c r="J495" s="20"/>
      <c r="K495" s="20" t="str">
        <f t="shared" si="9"/>
        <v/>
      </c>
      <c r="L495" s="21" t="str">
        <f t="shared" si="10"/>
        <v/>
      </c>
      <c r="M495" s="22" t="str">
        <f t="shared" si="11"/>
        <v/>
      </c>
      <c r="N495" s="23"/>
      <c r="O495" s="24" t="str">
        <f>IF(H495="I",N495*Contagem!$W$11,IF(H495="E",N495*Contagem!$W$13,IF(H495="A",N495*Contagem!$W$12,IF(H495="T",N495*Contagem!$W$14,""))))</f>
        <v/>
      </c>
      <c r="P495" s="19"/>
      <c r="Q495" s="19"/>
      <c r="R495" s="416"/>
      <c r="S495" s="416"/>
      <c r="T495" s="416"/>
    </row>
    <row r="496" spans="1:20" x14ac:dyDescent="0.25">
      <c r="A496" s="415"/>
      <c r="B496" s="416"/>
      <c r="C496" s="416"/>
      <c r="D496" s="416"/>
      <c r="E496" s="416"/>
      <c r="F496" s="417"/>
      <c r="G496" s="20"/>
      <c r="H496" s="20"/>
      <c r="I496" s="20"/>
      <c r="J496" s="20"/>
      <c r="K496" s="20" t="str">
        <f t="shared" si="9"/>
        <v/>
      </c>
      <c r="L496" s="21" t="str">
        <f t="shared" si="10"/>
        <v/>
      </c>
      <c r="M496" s="22" t="str">
        <f t="shared" si="11"/>
        <v/>
      </c>
      <c r="N496" s="23"/>
      <c r="O496" s="24" t="str">
        <f>IF(H496="I",N496*Contagem!$W$11,IF(H496="E",N496*Contagem!$W$13,IF(H496="A",N496*Contagem!$W$12,IF(H496="T",N496*Contagem!$W$14,""))))</f>
        <v/>
      </c>
      <c r="P496" s="19"/>
      <c r="Q496" s="19"/>
      <c r="R496" s="416"/>
      <c r="S496" s="416"/>
      <c r="T496" s="416"/>
    </row>
    <row r="497" spans="1:20" x14ac:dyDescent="0.25">
      <c r="A497" s="415"/>
      <c r="B497" s="416"/>
      <c r="C497" s="416"/>
      <c r="D497" s="416"/>
      <c r="E497" s="416"/>
      <c r="F497" s="417"/>
      <c r="G497" s="20"/>
      <c r="H497" s="20"/>
      <c r="I497" s="20"/>
      <c r="J497" s="20"/>
      <c r="K497" s="20" t="str">
        <f t="shared" si="9"/>
        <v/>
      </c>
      <c r="L497" s="21" t="str">
        <f t="shared" si="10"/>
        <v/>
      </c>
      <c r="M497" s="22" t="str">
        <f t="shared" si="11"/>
        <v/>
      </c>
      <c r="N497" s="23"/>
      <c r="O497" s="24" t="str">
        <f>IF(H497="I",N497*Contagem!$W$11,IF(H497="E",N497*Contagem!$W$13,IF(H497="A",N497*Contagem!$W$12,IF(H497="T",N497*Contagem!$W$14,""))))</f>
        <v/>
      </c>
      <c r="P497" s="19"/>
      <c r="Q497" s="19"/>
      <c r="R497" s="416"/>
      <c r="S497" s="416"/>
      <c r="T497" s="416"/>
    </row>
    <row r="498" spans="1:20" x14ac:dyDescent="0.25">
      <c r="A498" s="415"/>
      <c r="B498" s="416"/>
      <c r="C498" s="416"/>
      <c r="D498" s="416"/>
      <c r="E498" s="416"/>
      <c r="F498" s="417"/>
      <c r="G498" s="20"/>
      <c r="H498" s="20"/>
      <c r="I498" s="20"/>
      <c r="J498" s="20"/>
      <c r="K498" s="20" t="str">
        <f t="shared" si="9"/>
        <v/>
      </c>
      <c r="L498" s="21" t="str">
        <f t="shared" si="10"/>
        <v/>
      </c>
      <c r="M498" s="22" t="str">
        <f t="shared" si="11"/>
        <v/>
      </c>
      <c r="N498" s="23"/>
      <c r="O498" s="24" t="str">
        <f>IF(H498="I",N498*Contagem!$W$11,IF(H498="E",N498*Contagem!$W$13,IF(H498="A",N498*Contagem!$W$12,IF(H498="T",N498*Contagem!$W$14,""))))</f>
        <v/>
      </c>
      <c r="P498" s="19"/>
      <c r="Q498" s="19"/>
      <c r="R498" s="416"/>
      <c r="S498" s="416"/>
      <c r="T498" s="416"/>
    </row>
    <row r="499" spans="1:20" x14ac:dyDescent="0.25">
      <c r="A499" s="415"/>
      <c r="B499" s="416"/>
      <c r="C499" s="416"/>
      <c r="D499" s="416"/>
      <c r="E499" s="416"/>
      <c r="F499" s="417"/>
      <c r="G499" s="20"/>
      <c r="H499" s="20"/>
      <c r="I499" s="20"/>
      <c r="J499" s="20"/>
      <c r="K499" s="20" t="str">
        <f t="shared" si="9"/>
        <v/>
      </c>
      <c r="L499" s="21" t="str">
        <f t="shared" si="10"/>
        <v/>
      </c>
      <c r="M499" s="22" t="str">
        <f t="shared" si="11"/>
        <v/>
      </c>
      <c r="N499" s="23"/>
      <c r="O499" s="24" t="str">
        <f>IF(H499="I",N499*Contagem!$W$11,IF(H499="E",N499*Contagem!$W$13,IF(H499="A",N499*Contagem!$W$12,IF(H499="T",N499*Contagem!$W$14,""))))</f>
        <v/>
      </c>
      <c r="P499" s="19"/>
      <c r="Q499" s="19"/>
      <c r="R499" s="416"/>
      <c r="S499" s="416"/>
      <c r="T499" s="416"/>
    </row>
    <row r="500" spans="1:20" x14ac:dyDescent="0.25">
      <c r="A500" s="415"/>
      <c r="B500" s="416"/>
      <c r="C500" s="416"/>
      <c r="D500" s="416"/>
      <c r="E500" s="416"/>
      <c r="F500" s="417"/>
      <c r="G500" s="20"/>
      <c r="H500" s="20"/>
      <c r="I500" s="20"/>
      <c r="J500" s="20"/>
      <c r="K500" s="20" t="str">
        <f t="shared" si="9"/>
        <v/>
      </c>
      <c r="L500" s="21" t="str">
        <f t="shared" si="10"/>
        <v/>
      </c>
      <c r="M500" s="22" t="str">
        <f t="shared" si="11"/>
        <v/>
      </c>
      <c r="N500" s="23"/>
      <c r="O500" s="24" t="str">
        <f>IF(H500="I",N500*Contagem!$W$11,IF(H500="E",N500*Contagem!$W$13,IF(H500="A",N500*Contagem!$W$12,IF(H500="T",N500*Contagem!$W$14,""))))</f>
        <v/>
      </c>
      <c r="P500" s="19"/>
      <c r="Q500" s="19"/>
      <c r="R500" s="416"/>
      <c r="S500" s="416"/>
      <c r="T500" s="416"/>
    </row>
  </sheetData>
  <mergeCells count="997">
    <mergeCell ref="R496:T496"/>
    <mergeCell ref="R497:T497"/>
    <mergeCell ref="R498:T498"/>
    <mergeCell ref="R499:T499"/>
    <mergeCell ref="R500:T500"/>
    <mergeCell ref="R491:T491"/>
    <mergeCell ref="R492:T492"/>
    <mergeCell ref="R493:T493"/>
    <mergeCell ref="R494:T494"/>
    <mergeCell ref="R495:T495"/>
    <mergeCell ref="R486:T486"/>
    <mergeCell ref="R487:T487"/>
    <mergeCell ref="R488:T488"/>
    <mergeCell ref="R489:T489"/>
    <mergeCell ref="R490:T490"/>
    <mergeCell ref="R481:T481"/>
    <mergeCell ref="R482:T482"/>
    <mergeCell ref="R483:T483"/>
    <mergeCell ref="R484:T484"/>
    <mergeCell ref="R485:T485"/>
    <mergeCell ref="R476:T476"/>
    <mergeCell ref="R477:T477"/>
    <mergeCell ref="R478:T478"/>
    <mergeCell ref="R479:T479"/>
    <mergeCell ref="R480:T480"/>
    <mergeCell ref="R471:T471"/>
    <mergeCell ref="R472:T472"/>
    <mergeCell ref="R473:T473"/>
    <mergeCell ref="R474:T474"/>
    <mergeCell ref="R475:T475"/>
    <mergeCell ref="R466:T466"/>
    <mergeCell ref="R467:T467"/>
    <mergeCell ref="R468:T468"/>
    <mergeCell ref="R469:T469"/>
    <mergeCell ref="R470:T470"/>
    <mergeCell ref="R461:T461"/>
    <mergeCell ref="R462:T462"/>
    <mergeCell ref="R463:T463"/>
    <mergeCell ref="R464:T464"/>
    <mergeCell ref="R465:T465"/>
    <mergeCell ref="R456:T456"/>
    <mergeCell ref="R457:T457"/>
    <mergeCell ref="R458:T458"/>
    <mergeCell ref="R459:T459"/>
    <mergeCell ref="R460:T460"/>
    <mergeCell ref="R451:T451"/>
    <mergeCell ref="R452:T452"/>
    <mergeCell ref="R453:T453"/>
    <mergeCell ref="R454:T454"/>
    <mergeCell ref="R455:T455"/>
    <mergeCell ref="R446:T446"/>
    <mergeCell ref="R447:T447"/>
    <mergeCell ref="R448:T448"/>
    <mergeCell ref="R449:T449"/>
    <mergeCell ref="R450:T450"/>
    <mergeCell ref="R441:T441"/>
    <mergeCell ref="R442:T442"/>
    <mergeCell ref="R443:T443"/>
    <mergeCell ref="R444:T444"/>
    <mergeCell ref="R445:T445"/>
    <mergeCell ref="R436:T436"/>
    <mergeCell ref="R437:T437"/>
    <mergeCell ref="R438:T438"/>
    <mergeCell ref="R439:T439"/>
    <mergeCell ref="R440:T440"/>
    <mergeCell ref="R431:T431"/>
    <mergeCell ref="R432:T432"/>
    <mergeCell ref="R433:T433"/>
    <mergeCell ref="R434:T434"/>
    <mergeCell ref="R435:T435"/>
    <mergeCell ref="R426:T426"/>
    <mergeCell ref="R427:T427"/>
    <mergeCell ref="R428:T428"/>
    <mergeCell ref="R429:T429"/>
    <mergeCell ref="R430:T430"/>
    <mergeCell ref="R421:T421"/>
    <mergeCell ref="R422:T422"/>
    <mergeCell ref="R423:T423"/>
    <mergeCell ref="R424:T424"/>
    <mergeCell ref="R425:T425"/>
    <mergeCell ref="R416:T416"/>
    <mergeCell ref="R417:T417"/>
    <mergeCell ref="R418:T418"/>
    <mergeCell ref="R419:T419"/>
    <mergeCell ref="R420:T420"/>
    <mergeCell ref="R411:T411"/>
    <mergeCell ref="R412:T412"/>
    <mergeCell ref="R413:T413"/>
    <mergeCell ref="R414:T414"/>
    <mergeCell ref="R415:T415"/>
    <mergeCell ref="R406:T406"/>
    <mergeCell ref="R407:T407"/>
    <mergeCell ref="R408:T408"/>
    <mergeCell ref="R409:T409"/>
    <mergeCell ref="R410:T410"/>
    <mergeCell ref="R401:T401"/>
    <mergeCell ref="R402:T402"/>
    <mergeCell ref="R403:T403"/>
    <mergeCell ref="R404:T404"/>
    <mergeCell ref="R405:T405"/>
    <mergeCell ref="R396:T396"/>
    <mergeCell ref="R397:T397"/>
    <mergeCell ref="R398:T398"/>
    <mergeCell ref="R399:T399"/>
    <mergeCell ref="R400:T400"/>
    <mergeCell ref="R391:T391"/>
    <mergeCell ref="R392:T392"/>
    <mergeCell ref="R393:T393"/>
    <mergeCell ref="R394:T394"/>
    <mergeCell ref="R395:T395"/>
    <mergeCell ref="R386:T386"/>
    <mergeCell ref="R387:T387"/>
    <mergeCell ref="R388:T388"/>
    <mergeCell ref="R389:T389"/>
    <mergeCell ref="R390:T390"/>
    <mergeCell ref="R381:T381"/>
    <mergeCell ref="R382:T382"/>
    <mergeCell ref="R383:T383"/>
    <mergeCell ref="R384:T384"/>
    <mergeCell ref="R385:T385"/>
    <mergeCell ref="R376:T376"/>
    <mergeCell ref="R377:T377"/>
    <mergeCell ref="R378:T378"/>
    <mergeCell ref="R379:T379"/>
    <mergeCell ref="R380:T380"/>
    <mergeCell ref="R371:T371"/>
    <mergeCell ref="R372:T372"/>
    <mergeCell ref="R373:T373"/>
    <mergeCell ref="R374:T374"/>
    <mergeCell ref="R375:T375"/>
    <mergeCell ref="R366:T366"/>
    <mergeCell ref="R367:T367"/>
    <mergeCell ref="R368:T368"/>
    <mergeCell ref="R369:T369"/>
    <mergeCell ref="R370:T370"/>
    <mergeCell ref="R361:T361"/>
    <mergeCell ref="R362:T362"/>
    <mergeCell ref="R363:T363"/>
    <mergeCell ref="R364:T364"/>
    <mergeCell ref="R365:T365"/>
    <mergeCell ref="R356:T356"/>
    <mergeCell ref="R357:T357"/>
    <mergeCell ref="R358:T358"/>
    <mergeCell ref="R359:T359"/>
    <mergeCell ref="R360:T360"/>
    <mergeCell ref="R351:T351"/>
    <mergeCell ref="R352:T352"/>
    <mergeCell ref="R353:T353"/>
    <mergeCell ref="R354:T354"/>
    <mergeCell ref="R355:T355"/>
    <mergeCell ref="R346:T346"/>
    <mergeCell ref="R347:T347"/>
    <mergeCell ref="R348:T348"/>
    <mergeCell ref="R349:T349"/>
    <mergeCell ref="R350:T350"/>
    <mergeCell ref="R341:T341"/>
    <mergeCell ref="R342:T342"/>
    <mergeCell ref="R343:T343"/>
    <mergeCell ref="R344:T344"/>
    <mergeCell ref="R345:T345"/>
    <mergeCell ref="R336:T336"/>
    <mergeCell ref="R337:T337"/>
    <mergeCell ref="R338:T338"/>
    <mergeCell ref="R339:T339"/>
    <mergeCell ref="R340:T340"/>
    <mergeCell ref="R331:T331"/>
    <mergeCell ref="R332:T332"/>
    <mergeCell ref="R333:T333"/>
    <mergeCell ref="R334:T334"/>
    <mergeCell ref="R335:T335"/>
    <mergeCell ref="R326:T326"/>
    <mergeCell ref="R327:T327"/>
    <mergeCell ref="R328:T328"/>
    <mergeCell ref="R329:T329"/>
    <mergeCell ref="R330:T330"/>
    <mergeCell ref="R321:T321"/>
    <mergeCell ref="R322:T322"/>
    <mergeCell ref="R323:T323"/>
    <mergeCell ref="R324:T324"/>
    <mergeCell ref="R325:T325"/>
    <mergeCell ref="R316:T316"/>
    <mergeCell ref="R317:T317"/>
    <mergeCell ref="R318:T318"/>
    <mergeCell ref="R319:T319"/>
    <mergeCell ref="R320:T320"/>
    <mergeCell ref="R311:T311"/>
    <mergeCell ref="R312:T312"/>
    <mergeCell ref="R313:T313"/>
    <mergeCell ref="R314:T314"/>
    <mergeCell ref="R315:T315"/>
    <mergeCell ref="R306:T306"/>
    <mergeCell ref="R307:T307"/>
    <mergeCell ref="R308:T308"/>
    <mergeCell ref="R309:T309"/>
    <mergeCell ref="R310:T310"/>
    <mergeCell ref="R301:T301"/>
    <mergeCell ref="R302:T302"/>
    <mergeCell ref="R303:T303"/>
    <mergeCell ref="R304:T304"/>
    <mergeCell ref="R305:T305"/>
    <mergeCell ref="R296:T296"/>
    <mergeCell ref="R297:T297"/>
    <mergeCell ref="R298:T298"/>
    <mergeCell ref="R299:T299"/>
    <mergeCell ref="R300:T300"/>
    <mergeCell ref="R291:T291"/>
    <mergeCell ref="R292:T292"/>
    <mergeCell ref="R293:T293"/>
    <mergeCell ref="R294:T294"/>
    <mergeCell ref="R295:T295"/>
    <mergeCell ref="R286:T286"/>
    <mergeCell ref="R287:T287"/>
    <mergeCell ref="R288:T288"/>
    <mergeCell ref="R289:T289"/>
    <mergeCell ref="R290:T290"/>
    <mergeCell ref="R281:T281"/>
    <mergeCell ref="R282:T282"/>
    <mergeCell ref="R283:T283"/>
    <mergeCell ref="R284:T284"/>
    <mergeCell ref="R285:T285"/>
    <mergeCell ref="R276:T276"/>
    <mergeCell ref="R277:T277"/>
    <mergeCell ref="R278:T278"/>
    <mergeCell ref="R279:T279"/>
    <mergeCell ref="R280:T280"/>
    <mergeCell ref="R271:T271"/>
    <mergeCell ref="R272:T272"/>
    <mergeCell ref="R273:T273"/>
    <mergeCell ref="R274:T274"/>
    <mergeCell ref="R275:T275"/>
    <mergeCell ref="R266:T266"/>
    <mergeCell ref="R267:T267"/>
    <mergeCell ref="R268:T268"/>
    <mergeCell ref="R269:T269"/>
    <mergeCell ref="R270:T270"/>
    <mergeCell ref="R261:T261"/>
    <mergeCell ref="R262:T262"/>
    <mergeCell ref="R263:T263"/>
    <mergeCell ref="R264:T264"/>
    <mergeCell ref="R265:T265"/>
    <mergeCell ref="R256:T256"/>
    <mergeCell ref="R257:T257"/>
    <mergeCell ref="R258:T258"/>
    <mergeCell ref="R259:T259"/>
    <mergeCell ref="R260:T260"/>
    <mergeCell ref="R251:T251"/>
    <mergeCell ref="R252:T252"/>
    <mergeCell ref="R253:T253"/>
    <mergeCell ref="R254:T254"/>
    <mergeCell ref="R255:T255"/>
    <mergeCell ref="R246:T246"/>
    <mergeCell ref="R247:T247"/>
    <mergeCell ref="R248:T248"/>
    <mergeCell ref="R249:T249"/>
    <mergeCell ref="R250:T250"/>
    <mergeCell ref="R241:T241"/>
    <mergeCell ref="R242:T242"/>
    <mergeCell ref="R243:T243"/>
    <mergeCell ref="R244:T244"/>
    <mergeCell ref="R245:T245"/>
    <mergeCell ref="R236:T236"/>
    <mergeCell ref="R237:T237"/>
    <mergeCell ref="R238:T238"/>
    <mergeCell ref="R239:T239"/>
    <mergeCell ref="R240:T240"/>
    <mergeCell ref="R231:T231"/>
    <mergeCell ref="R232:T232"/>
    <mergeCell ref="R233:T233"/>
    <mergeCell ref="R234:T234"/>
    <mergeCell ref="R235:T235"/>
    <mergeCell ref="R226:T226"/>
    <mergeCell ref="R227:T227"/>
    <mergeCell ref="R228:T228"/>
    <mergeCell ref="R229:T229"/>
    <mergeCell ref="R230:T230"/>
    <mergeCell ref="R221:T221"/>
    <mergeCell ref="R222:T222"/>
    <mergeCell ref="R223:T223"/>
    <mergeCell ref="R224:T224"/>
    <mergeCell ref="R225:T225"/>
    <mergeCell ref="R216:T216"/>
    <mergeCell ref="R217:T217"/>
    <mergeCell ref="R218:T218"/>
    <mergeCell ref="R219:T219"/>
    <mergeCell ref="R220:T220"/>
    <mergeCell ref="R211:T211"/>
    <mergeCell ref="R212:T212"/>
    <mergeCell ref="R213:T213"/>
    <mergeCell ref="R214:T214"/>
    <mergeCell ref="R215:T215"/>
    <mergeCell ref="R206:T206"/>
    <mergeCell ref="R207:T207"/>
    <mergeCell ref="R208:T208"/>
    <mergeCell ref="R209:T209"/>
    <mergeCell ref="R210:T210"/>
    <mergeCell ref="R201:T201"/>
    <mergeCell ref="R202:T202"/>
    <mergeCell ref="R203:T203"/>
    <mergeCell ref="R204:T204"/>
    <mergeCell ref="R205:T205"/>
    <mergeCell ref="R196:T196"/>
    <mergeCell ref="R197:T197"/>
    <mergeCell ref="R198:T198"/>
    <mergeCell ref="R199:T199"/>
    <mergeCell ref="R200:T200"/>
    <mergeCell ref="R191:T191"/>
    <mergeCell ref="R192:T192"/>
    <mergeCell ref="R193:T193"/>
    <mergeCell ref="R194:T194"/>
    <mergeCell ref="R195:T195"/>
    <mergeCell ref="R186:T186"/>
    <mergeCell ref="R187:T187"/>
    <mergeCell ref="R188:T188"/>
    <mergeCell ref="R189:T189"/>
    <mergeCell ref="R190:T190"/>
    <mergeCell ref="R181:T181"/>
    <mergeCell ref="R182:T182"/>
    <mergeCell ref="R183:T183"/>
    <mergeCell ref="R184:T184"/>
    <mergeCell ref="R185:T185"/>
    <mergeCell ref="R176:T176"/>
    <mergeCell ref="R177:T177"/>
    <mergeCell ref="R178:T178"/>
    <mergeCell ref="R179:T179"/>
    <mergeCell ref="R180:T180"/>
    <mergeCell ref="R171:T171"/>
    <mergeCell ref="R172:T172"/>
    <mergeCell ref="R173:T173"/>
    <mergeCell ref="R174:T174"/>
    <mergeCell ref="R175:T175"/>
    <mergeCell ref="R166:T166"/>
    <mergeCell ref="R167:T167"/>
    <mergeCell ref="R168:T168"/>
    <mergeCell ref="R169:T169"/>
    <mergeCell ref="R170:T170"/>
    <mergeCell ref="R161:T161"/>
    <mergeCell ref="R162:T162"/>
    <mergeCell ref="R163:T163"/>
    <mergeCell ref="R164:T164"/>
    <mergeCell ref="R165:T165"/>
    <mergeCell ref="R156:T156"/>
    <mergeCell ref="R157:T157"/>
    <mergeCell ref="R158:T158"/>
    <mergeCell ref="R159:T159"/>
    <mergeCell ref="R160:T160"/>
    <mergeCell ref="R151:T151"/>
    <mergeCell ref="R152:T152"/>
    <mergeCell ref="R153:T153"/>
    <mergeCell ref="R154:T154"/>
    <mergeCell ref="R155:T155"/>
    <mergeCell ref="R146:T146"/>
    <mergeCell ref="R147:T147"/>
    <mergeCell ref="R148:T148"/>
    <mergeCell ref="R149:T149"/>
    <mergeCell ref="R150:T150"/>
    <mergeCell ref="R141:T141"/>
    <mergeCell ref="R142:T142"/>
    <mergeCell ref="R143:T143"/>
    <mergeCell ref="R144:T144"/>
    <mergeCell ref="R145:T145"/>
    <mergeCell ref="R136:T136"/>
    <mergeCell ref="R137:T137"/>
    <mergeCell ref="R138:T138"/>
    <mergeCell ref="R139:T139"/>
    <mergeCell ref="R140:T140"/>
    <mergeCell ref="R131:T131"/>
    <mergeCell ref="R132:T132"/>
    <mergeCell ref="R133:T133"/>
    <mergeCell ref="R134:T134"/>
    <mergeCell ref="R135:T135"/>
    <mergeCell ref="R126:T126"/>
    <mergeCell ref="R127:T127"/>
    <mergeCell ref="R128:T128"/>
    <mergeCell ref="R129:T129"/>
    <mergeCell ref="R130:T130"/>
    <mergeCell ref="R121:T121"/>
    <mergeCell ref="R122:T122"/>
    <mergeCell ref="R123:T123"/>
    <mergeCell ref="R124:T124"/>
    <mergeCell ref="R125:T125"/>
    <mergeCell ref="R116:T116"/>
    <mergeCell ref="R117:T117"/>
    <mergeCell ref="R118:T118"/>
    <mergeCell ref="R119:T119"/>
    <mergeCell ref="R120:T120"/>
    <mergeCell ref="R111:T111"/>
    <mergeCell ref="R112:T112"/>
    <mergeCell ref="R113:T113"/>
    <mergeCell ref="R114:T114"/>
    <mergeCell ref="R115:T115"/>
    <mergeCell ref="R106:T106"/>
    <mergeCell ref="R107:T107"/>
    <mergeCell ref="R108:T108"/>
    <mergeCell ref="R109:T109"/>
    <mergeCell ref="R110:T110"/>
    <mergeCell ref="R101:T101"/>
    <mergeCell ref="R102:T102"/>
    <mergeCell ref="R103:T103"/>
    <mergeCell ref="R104:T104"/>
    <mergeCell ref="R105:T105"/>
    <mergeCell ref="R96:T96"/>
    <mergeCell ref="R97:T97"/>
    <mergeCell ref="R98:T98"/>
    <mergeCell ref="R99:T99"/>
    <mergeCell ref="R100:T100"/>
    <mergeCell ref="R91:T91"/>
    <mergeCell ref="R92:T92"/>
    <mergeCell ref="R93:T93"/>
    <mergeCell ref="R94:T94"/>
    <mergeCell ref="R95:T95"/>
    <mergeCell ref="R86:T86"/>
    <mergeCell ref="R87:T87"/>
    <mergeCell ref="R88:T88"/>
    <mergeCell ref="R89:T89"/>
    <mergeCell ref="R90:T90"/>
    <mergeCell ref="R81:T81"/>
    <mergeCell ref="R82:T82"/>
    <mergeCell ref="R83:T83"/>
    <mergeCell ref="R84:T84"/>
    <mergeCell ref="R85:T85"/>
    <mergeCell ref="R76:T76"/>
    <mergeCell ref="R77:T77"/>
    <mergeCell ref="R78:T78"/>
    <mergeCell ref="R79:T79"/>
    <mergeCell ref="R80:T80"/>
    <mergeCell ref="R71:T71"/>
    <mergeCell ref="R72:T72"/>
    <mergeCell ref="R73:T73"/>
    <mergeCell ref="R74:T74"/>
    <mergeCell ref="R75:T75"/>
    <mergeCell ref="R66:T66"/>
    <mergeCell ref="R67:T67"/>
    <mergeCell ref="R68:T68"/>
    <mergeCell ref="R69:T69"/>
    <mergeCell ref="R70:T70"/>
    <mergeCell ref="R61:T61"/>
    <mergeCell ref="R62:T62"/>
    <mergeCell ref="R63:T63"/>
    <mergeCell ref="R64:T64"/>
    <mergeCell ref="R65:T65"/>
    <mergeCell ref="R56:T56"/>
    <mergeCell ref="R57:T57"/>
    <mergeCell ref="R58:T58"/>
    <mergeCell ref="R59:T59"/>
    <mergeCell ref="R60:T60"/>
    <mergeCell ref="R51:T51"/>
    <mergeCell ref="R52:T52"/>
    <mergeCell ref="R53:T53"/>
    <mergeCell ref="R54:T54"/>
    <mergeCell ref="R55:T55"/>
    <mergeCell ref="R46:T46"/>
    <mergeCell ref="R47:T47"/>
    <mergeCell ref="R48:T48"/>
    <mergeCell ref="R49:T49"/>
    <mergeCell ref="R50:T50"/>
    <mergeCell ref="R41:T41"/>
    <mergeCell ref="R42:T42"/>
    <mergeCell ref="R43:T43"/>
    <mergeCell ref="R44:T44"/>
    <mergeCell ref="R45:T45"/>
    <mergeCell ref="R36:T36"/>
    <mergeCell ref="R37:T37"/>
    <mergeCell ref="R38:T38"/>
    <mergeCell ref="R39:T39"/>
    <mergeCell ref="R40:T40"/>
    <mergeCell ref="R31:T31"/>
    <mergeCell ref="R32:T32"/>
    <mergeCell ref="R33:T33"/>
    <mergeCell ref="R34:T34"/>
    <mergeCell ref="R35:T35"/>
    <mergeCell ref="R26:T26"/>
    <mergeCell ref="R27:T27"/>
    <mergeCell ref="R28:T28"/>
    <mergeCell ref="R29:T29"/>
    <mergeCell ref="R30:T30"/>
    <mergeCell ref="R21:T21"/>
    <mergeCell ref="R22:T22"/>
    <mergeCell ref="R23:T23"/>
    <mergeCell ref="R24:T24"/>
    <mergeCell ref="R25:T25"/>
    <mergeCell ref="A498:F498"/>
    <mergeCell ref="A499:F499"/>
    <mergeCell ref="A500:F500"/>
    <mergeCell ref="R8:T8"/>
    <mergeCell ref="R9:T9"/>
    <mergeCell ref="R10:T10"/>
    <mergeCell ref="R11:T11"/>
    <mergeCell ref="R12:T12"/>
    <mergeCell ref="R13:T13"/>
    <mergeCell ref="R14:T14"/>
    <mergeCell ref="R15:T15"/>
    <mergeCell ref="R16:T16"/>
    <mergeCell ref="R17:T17"/>
    <mergeCell ref="R18:T18"/>
    <mergeCell ref="R19:T19"/>
    <mergeCell ref="R20:T20"/>
    <mergeCell ref="A493:F493"/>
    <mergeCell ref="A494:F494"/>
    <mergeCell ref="A495:F495"/>
    <mergeCell ref="A496:F496"/>
    <mergeCell ref="A497:F497"/>
    <mergeCell ref="A488:F488"/>
    <mergeCell ref="A489:F489"/>
    <mergeCell ref="A490:F490"/>
    <mergeCell ref="A491:F491"/>
    <mergeCell ref="A492:F492"/>
    <mergeCell ref="A483:F483"/>
    <mergeCell ref="A484:F484"/>
    <mergeCell ref="A485:F485"/>
    <mergeCell ref="A486:F486"/>
    <mergeCell ref="A487:F487"/>
    <mergeCell ref="A478:F478"/>
    <mergeCell ref="A479:F479"/>
    <mergeCell ref="A480:F480"/>
    <mergeCell ref="A481:F481"/>
    <mergeCell ref="A482:F482"/>
    <mergeCell ref="A473:F473"/>
    <mergeCell ref="A474:F474"/>
    <mergeCell ref="A475:F475"/>
    <mergeCell ref="A476:F476"/>
    <mergeCell ref="A477:F477"/>
    <mergeCell ref="A468:F468"/>
    <mergeCell ref="A469:F469"/>
    <mergeCell ref="A470:F470"/>
    <mergeCell ref="A471:F471"/>
    <mergeCell ref="A472:F472"/>
    <mergeCell ref="A463:F463"/>
    <mergeCell ref="A464:F464"/>
    <mergeCell ref="A465:F465"/>
    <mergeCell ref="A466:F466"/>
    <mergeCell ref="A467:F467"/>
    <mergeCell ref="A458:F458"/>
    <mergeCell ref="A459:F459"/>
    <mergeCell ref="A460:F460"/>
    <mergeCell ref="A461:F461"/>
    <mergeCell ref="A462:F462"/>
    <mergeCell ref="A453:F453"/>
    <mergeCell ref="A454:F454"/>
    <mergeCell ref="A455:F455"/>
    <mergeCell ref="A456:F456"/>
    <mergeCell ref="A457:F457"/>
    <mergeCell ref="A448:F448"/>
    <mergeCell ref="A449:F449"/>
    <mergeCell ref="A450:F450"/>
    <mergeCell ref="A451:F451"/>
    <mergeCell ref="A452:F452"/>
    <mergeCell ref="A443:F443"/>
    <mergeCell ref="A444:F444"/>
    <mergeCell ref="A445:F445"/>
    <mergeCell ref="A446:F446"/>
    <mergeCell ref="A447:F447"/>
    <mergeCell ref="A438:F438"/>
    <mergeCell ref="A439:F439"/>
    <mergeCell ref="A440:F440"/>
    <mergeCell ref="A441:F441"/>
    <mergeCell ref="A442:F442"/>
    <mergeCell ref="A433:F433"/>
    <mergeCell ref="A434:F434"/>
    <mergeCell ref="A435:F435"/>
    <mergeCell ref="A436:F436"/>
    <mergeCell ref="A437:F437"/>
    <mergeCell ref="A428:F428"/>
    <mergeCell ref="A429:F429"/>
    <mergeCell ref="A430:F430"/>
    <mergeCell ref="A431:F431"/>
    <mergeCell ref="A432:F432"/>
    <mergeCell ref="A423:F423"/>
    <mergeCell ref="A424:F424"/>
    <mergeCell ref="A425:F425"/>
    <mergeCell ref="A426:F426"/>
    <mergeCell ref="A427:F427"/>
    <mergeCell ref="A418:F418"/>
    <mergeCell ref="A419:F419"/>
    <mergeCell ref="A420:F420"/>
    <mergeCell ref="A421:F421"/>
    <mergeCell ref="A422:F422"/>
    <mergeCell ref="A413:F413"/>
    <mergeCell ref="A414:F414"/>
    <mergeCell ref="A415:F415"/>
    <mergeCell ref="A416:F416"/>
    <mergeCell ref="A417:F417"/>
    <mergeCell ref="A408:F408"/>
    <mergeCell ref="A409:F409"/>
    <mergeCell ref="A410:F410"/>
    <mergeCell ref="A411:F411"/>
    <mergeCell ref="A412:F412"/>
    <mergeCell ref="A403:F403"/>
    <mergeCell ref="A404:F404"/>
    <mergeCell ref="A405:F405"/>
    <mergeCell ref="A406:F406"/>
    <mergeCell ref="A407:F407"/>
    <mergeCell ref="A398:F398"/>
    <mergeCell ref="A399:F399"/>
    <mergeCell ref="A400:F400"/>
    <mergeCell ref="A401:F401"/>
    <mergeCell ref="A402:F402"/>
    <mergeCell ref="A393:F393"/>
    <mergeCell ref="A394:F394"/>
    <mergeCell ref="A395:F395"/>
    <mergeCell ref="A396:F396"/>
    <mergeCell ref="A397:F397"/>
    <mergeCell ref="A388:F388"/>
    <mergeCell ref="A389:F389"/>
    <mergeCell ref="A390:F390"/>
    <mergeCell ref="A391:F391"/>
    <mergeCell ref="A392:F392"/>
    <mergeCell ref="A383:F383"/>
    <mergeCell ref="A384:F384"/>
    <mergeCell ref="A385:F385"/>
    <mergeCell ref="A386:F386"/>
    <mergeCell ref="A387:F387"/>
    <mergeCell ref="A378:F378"/>
    <mergeCell ref="A379:F379"/>
    <mergeCell ref="A380:F380"/>
    <mergeCell ref="A381:F381"/>
    <mergeCell ref="A382:F382"/>
    <mergeCell ref="A373:F373"/>
    <mergeCell ref="A374:F374"/>
    <mergeCell ref="A375:F375"/>
    <mergeCell ref="A376:F376"/>
    <mergeCell ref="A377:F377"/>
    <mergeCell ref="A368:F368"/>
    <mergeCell ref="A369:F369"/>
    <mergeCell ref="A370:F370"/>
    <mergeCell ref="A371:F371"/>
    <mergeCell ref="A372:F372"/>
    <mergeCell ref="A363:F363"/>
    <mergeCell ref="A364:F364"/>
    <mergeCell ref="A365:F365"/>
    <mergeCell ref="A366:F366"/>
    <mergeCell ref="A367:F367"/>
    <mergeCell ref="A358:F358"/>
    <mergeCell ref="A359:F359"/>
    <mergeCell ref="A360:F360"/>
    <mergeCell ref="A361:F361"/>
    <mergeCell ref="A362:F362"/>
    <mergeCell ref="A353:F353"/>
    <mergeCell ref="A354:F354"/>
    <mergeCell ref="A355:F355"/>
    <mergeCell ref="A356:F356"/>
    <mergeCell ref="A357:F357"/>
    <mergeCell ref="A348:F348"/>
    <mergeCell ref="A349:F349"/>
    <mergeCell ref="A350:F350"/>
    <mergeCell ref="A351:F351"/>
    <mergeCell ref="A352:F352"/>
    <mergeCell ref="A343:F343"/>
    <mergeCell ref="A344:F344"/>
    <mergeCell ref="A345:F345"/>
    <mergeCell ref="A346:F346"/>
    <mergeCell ref="A347:F347"/>
    <mergeCell ref="A338:F338"/>
    <mergeCell ref="A339:F339"/>
    <mergeCell ref="A340:F340"/>
    <mergeCell ref="A341:F341"/>
    <mergeCell ref="A342:F342"/>
    <mergeCell ref="A333:F333"/>
    <mergeCell ref="A334:F334"/>
    <mergeCell ref="A335:F335"/>
    <mergeCell ref="A336:F336"/>
    <mergeCell ref="A337:F337"/>
    <mergeCell ref="A328:F328"/>
    <mergeCell ref="A329:F329"/>
    <mergeCell ref="A330:F330"/>
    <mergeCell ref="A331:F331"/>
    <mergeCell ref="A332:F332"/>
    <mergeCell ref="A323:F323"/>
    <mergeCell ref="A324:F324"/>
    <mergeCell ref="A325:F325"/>
    <mergeCell ref="A326:F326"/>
    <mergeCell ref="A327:F327"/>
    <mergeCell ref="A318:F318"/>
    <mergeCell ref="A319:F319"/>
    <mergeCell ref="A320:F320"/>
    <mergeCell ref="A321:F321"/>
    <mergeCell ref="A322:F322"/>
    <mergeCell ref="A313:F313"/>
    <mergeCell ref="A314:F314"/>
    <mergeCell ref="A315:F315"/>
    <mergeCell ref="A316:F316"/>
    <mergeCell ref="A317:F317"/>
    <mergeCell ref="A308:F308"/>
    <mergeCell ref="A309:F309"/>
    <mergeCell ref="A310:F310"/>
    <mergeCell ref="A311:F311"/>
    <mergeCell ref="A312:F312"/>
    <mergeCell ref="A303:F303"/>
    <mergeCell ref="A304:F304"/>
    <mergeCell ref="A305:F305"/>
    <mergeCell ref="A306:F306"/>
    <mergeCell ref="A307:F307"/>
    <mergeCell ref="A298:F298"/>
    <mergeCell ref="A299:F299"/>
    <mergeCell ref="A300:F300"/>
    <mergeCell ref="A301:F301"/>
    <mergeCell ref="A302:F302"/>
    <mergeCell ref="A293:F293"/>
    <mergeCell ref="A294:F294"/>
    <mergeCell ref="A295:F295"/>
    <mergeCell ref="A296:F296"/>
    <mergeCell ref="A297:F297"/>
    <mergeCell ref="A288:F288"/>
    <mergeCell ref="A289:F289"/>
    <mergeCell ref="A290:F290"/>
    <mergeCell ref="A291:F291"/>
    <mergeCell ref="A292:F292"/>
    <mergeCell ref="A283:F283"/>
    <mergeCell ref="A284:F284"/>
    <mergeCell ref="A285:F285"/>
    <mergeCell ref="A286:F286"/>
    <mergeCell ref="A287:F287"/>
    <mergeCell ref="A278:F278"/>
    <mergeCell ref="A279:F279"/>
    <mergeCell ref="A280:F280"/>
    <mergeCell ref="A281:F281"/>
    <mergeCell ref="A282:F282"/>
    <mergeCell ref="A273:F273"/>
    <mergeCell ref="A274:F274"/>
    <mergeCell ref="A275:F275"/>
    <mergeCell ref="A276:F276"/>
    <mergeCell ref="A277:F277"/>
    <mergeCell ref="A268:F268"/>
    <mergeCell ref="A269:F269"/>
    <mergeCell ref="A270:F270"/>
    <mergeCell ref="A271:F271"/>
    <mergeCell ref="A272:F272"/>
    <mergeCell ref="A263:F263"/>
    <mergeCell ref="A264:F264"/>
    <mergeCell ref="A265:F265"/>
    <mergeCell ref="A266:F266"/>
    <mergeCell ref="A267:F267"/>
    <mergeCell ref="A258:F258"/>
    <mergeCell ref="A259:F259"/>
    <mergeCell ref="A260:F260"/>
    <mergeCell ref="A261:F261"/>
    <mergeCell ref="A262:F262"/>
    <mergeCell ref="A253:F253"/>
    <mergeCell ref="A254:F254"/>
    <mergeCell ref="A255:F255"/>
    <mergeCell ref="A256:F256"/>
    <mergeCell ref="A257:F257"/>
    <mergeCell ref="A248:F248"/>
    <mergeCell ref="A249:F249"/>
    <mergeCell ref="A250:F250"/>
    <mergeCell ref="A251:F251"/>
    <mergeCell ref="A252:F252"/>
    <mergeCell ref="A243:F243"/>
    <mergeCell ref="A244:F244"/>
    <mergeCell ref="A245:F245"/>
    <mergeCell ref="A246:F246"/>
    <mergeCell ref="A247:F247"/>
    <mergeCell ref="A238:F238"/>
    <mergeCell ref="A239:F239"/>
    <mergeCell ref="A240:F240"/>
    <mergeCell ref="A241:F241"/>
    <mergeCell ref="A242:F242"/>
    <mergeCell ref="A233:F233"/>
    <mergeCell ref="A234:F234"/>
    <mergeCell ref="A235:F235"/>
    <mergeCell ref="A236:F236"/>
    <mergeCell ref="A237:F237"/>
    <mergeCell ref="A228:F228"/>
    <mergeCell ref="A229:F229"/>
    <mergeCell ref="A230:F230"/>
    <mergeCell ref="A231:F231"/>
    <mergeCell ref="A232:F232"/>
    <mergeCell ref="A223:F223"/>
    <mergeCell ref="A224:F224"/>
    <mergeCell ref="A225:F225"/>
    <mergeCell ref="A226:F226"/>
    <mergeCell ref="A227:F227"/>
    <mergeCell ref="A218:F218"/>
    <mergeCell ref="A219:F219"/>
    <mergeCell ref="A220:F220"/>
    <mergeCell ref="A221:F221"/>
    <mergeCell ref="A222:F222"/>
    <mergeCell ref="A213:F213"/>
    <mergeCell ref="A214:F214"/>
    <mergeCell ref="A215:F215"/>
    <mergeCell ref="A216:F216"/>
    <mergeCell ref="A217:F217"/>
    <mergeCell ref="A208:F208"/>
    <mergeCell ref="A209:F209"/>
    <mergeCell ref="A210:F210"/>
    <mergeCell ref="A211:F211"/>
    <mergeCell ref="A212:F212"/>
    <mergeCell ref="A203:F203"/>
    <mergeCell ref="A204:F204"/>
    <mergeCell ref="A205:F205"/>
    <mergeCell ref="A206:F206"/>
    <mergeCell ref="A207:F207"/>
    <mergeCell ref="A198:F198"/>
    <mergeCell ref="A199:F199"/>
    <mergeCell ref="A200:F200"/>
    <mergeCell ref="A201:F201"/>
    <mergeCell ref="A202:F202"/>
    <mergeCell ref="A193:F193"/>
    <mergeCell ref="A194:F194"/>
    <mergeCell ref="A195:F195"/>
    <mergeCell ref="A196:F196"/>
    <mergeCell ref="A197:F197"/>
    <mergeCell ref="A188:F188"/>
    <mergeCell ref="A189:F189"/>
    <mergeCell ref="A190:F190"/>
    <mergeCell ref="A191:F191"/>
    <mergeCell ref="A192:F192"/>
    <mergeCell ref="A183:F183"/>
    <mergeCell ref="A184:F184"/>
    <mergeCell ref="A185:F185"/>
    <mergeCell ref="A186:F186"/>
    <mergeCell ref="A187:F187"/>
    <mergeCell ref="A178:F178"/>
    <mergeCell ref="A179:F179"/>
    <mergeCell ref="A180:F180"/>
    <mergeCell ref="A181:F181"/>
    <mergeCell ref="A182:F182"/>
    <mergeCell ref="A173:F173"/>
    <mergeCell ref="A174:F174"/>
    <mergeCell ref="A175:F175"/>
    <mergeCell ref="A176:F176"/>
    <mergeCell ref="A177:F177"/>
    <mergeCell ref="A168:F168"/>
    <mergeCell ref="A169:F169"/>
    <mergeCell ref="A170:F170"/>
    <mergeCell ref="A171:F171"/>
    <mergeCell ref="A172:F172"/>
    <mergeCell ref="A163:F163"/>
    <mergeCell ref="A164:F164"/>
    <mergeCell ref="A165:F165"/>
    <mergeCell ref="A166:F166"/>
    <mergeCell ref="A167:F167"/>
    <mergeCell ref="A158:F158"/>
    <mergeCell ref="A159:F159"/>
    <mergeCell ref="A160:F160"/>
    <mergeCell ref="A161:F161"/>
    <mergeCell ref="A162:F162"/>
    <mergeCell ref="A153:F153"/>
    <mergeCell ref="A154:F154"/>
    <mergeCell ref="A155:F155"/>
    <mergeCell ref="A156:F156"/>
    <mergeCell ref="A157:F157"/>
    <mergeCell ref="A148:F148"/>
    <mergeCell ref="A149:F149"/>
    <mergeCell ref="A150:F150"/>
    <mergeCell ref="A151:F151"/>
    <mergeCell ref="A152:F152"/>
    <mergeCell ref="A143:F143"/>
    <mergeCell ref="A144:F144"/>
    <mergeCell ref="A145:F145"/>
    <mergeCell ref="A146:F146"/>
    <mergeCell ref="A147:F147"/>
    <mergeCell ref="A138:F138"/>
    <mergeCell ref="A139:F139"/>
    <mergeCell ref="A140:F140"/>
    <mergeCell ref="A141:F141"/>
    <mergeCell ref="A142:F142"/>
    <mergeCell ref="A133:F133"/>
    <mergeCell ref="A134:F134"/>
    <mergeCell ref="A135:F135"/>
    <mergeCell ref="A136:F136"/>
    <mergeCell ref="A137:F137"/>
    <mergeCell ref="A128:F128"/>
    <mergeCell ref="A129:F129"/>
    <mergeCell ref="A130:F130"/>
    <mergeCell ref="A131:F131"/>
    <mergeCell ref="A132:F132"/>
    <mergeCell ref="A123:F123"/>
    <mergeCell ref="A124:F124"/>
    <mergeCell ref="A125:F125"/>
    <mergeCell ref="A126:F126"/>
    <mergeCell ref="A127:F127"/>
    <mergeCell ref="A118:F118"/>
    <mergeCell ref="A119:F119"/>
    <mergeCell ref="A120:F120"/>
    <mergeCell ref="A121:F121"/>
    <mergeCell ref="A122:F122"/>
    <mergeCell ref="A113:F113"/>
    <mergeCell ref="A114:F114"/>
    <mergeCell ref="A115:F115"/>
    <mergeCell ref="A116:F116"/>
    <mergeCell ref="A117:F117"/>
    <mergeCell ref="A108:F108"/>
    <mergeCell ref="A109:F109"/>
    <mergeCell ref="A110:F110"/>
    <mergeCell ref="A111:F111"/>
    <mergeCell ref="A112:F112"/>
    <mergeCell ref="A103:F103"/>
    <mergeCell ref="A104:F104"/>
    <mergeCell ref="A105:F105"/>
    <mergeCell ref="A106:F106"/>
    <mergeCell ref="A107:F107"/>
    <mergeCell ref="A98:F98"/>
    <mergeCell ref="A99:F99"/>
    <mergeCell ref="A100:F100"/>
    <mergeCell ref="A101:F101"/>
    <mergeCell ref="A102:F102"/>
    <mergeCell ref="A93:F93"/>
    <mergeCell ref="A94:F94"/>
    <mergeCell ref="A95:F95"/>
    <mergeCell ref="A96:F96"/>
    <mergeCell ref="A97:F97"/>
    <mergeCell ref="A88:F88"/>
    <mergeCell ref="A89:F89"/>
    <mergeCell ref="A90:F90"/>
    <mergeCell ref="A91:F91"/>
    <mergeCell ref="A92:F92"/>
    <mergeCell ref="A83:F83"/>
    <mergeCell ref="A84:F84"/>
    <mergeCell ref="A85:F85"/>
    <mergeCell ref="A86:F86"/>
    <mergeCell ref="A87:F87"/>
    <mergeCell ref="A78:F78"/>
    <mergeCell ref="A79:F79"/>
    <mergeCell ref="A80:F80"/>
    <mergeCell ref="A81:F81"/>
    <mergeCell ref="A82:F82"/>
    <mergeCell ref="A73:F73"/>
    <mergeCell ref="A74:F74"/>
    <mergeCell ref="A75:F75"/>
    <mergeCell ref="A76:F76"/>
    <mergeCell ref="A77:F77"/>
    <mergeCell ref="A68:F68"/>
    <mergeCell ref="A69:F69"/>
    <mergeCell ref="A70:F70"/>
    <mergeCell ref="A71:F71"/>
    <mergeCell ref="A72:F72"/>
    <mergeCell ref="A63:F63"/>
    <mergeCell ref="A64:F64"/>
    <mergeCell ref="A65:F65"/>
    <mergeCell ref="A66:F66"/>
    <mergeCell ref="A67:F67"/>
    <mergeCell ref="A58:F58"/>
    <mergeCell ref="A59:F59"/>
    <mergeCell ref="A60:F60"/>
    <mergeCell ref="A61:F61"/>
    <mergeCell ref="A62:F62"/>
    <mergeCell ref="A53:F53"/>
    <mergeCell ref="A54:F54"/>
    <mergeCell ref="A55:F55"/>
    <mergeCell ref="A56:F56"/>
    <mergeCell ref="A57:F57"/>
    <mergeCell ref="A48:F48"/>
    <mergeCell ref="A49:F49"/>
    <mergeCell ref="A50:F50"/>
    <mergeCell ref="A51:F51"/>
    <mergeCell ref="A52:F52"/>
    <mergeCell ref="A43:F43"/>
    <mergeCell ref="A44:F44"/>
    <mergeCell ref="A45:F45"/>
    <mergeCell ref="A46:F46"/>
    <mergeCell ref="A47:F47"/>
    <mergeCell ref="A38:F38"/>
    <mergeCell ref="A39:F39"/>
    <mergeCell ref="A40:F40"/>
    <mergeCell ref="A41:F41"/>
    <mergeCell ref="A42:F42"/>
    <mergeCell ref="A33:F33"/>
    <mergeCell ref="A34:F34"/>
    <mergeCell ref="A35:F35"/>
    <mergeCell ref="A36:F36"/>
    <mergeCell ref="A37:F37"/>
    <mergeCell ref="A28:F28"/>
    <mergeCell ref="A29:F29"/>
    <mergeCell ref="A30:F30"/>
    <mergeCell ref="A31:F31"/>
    <mergeCell ref="A32:F32"/>
    <mergeCell ref="A23:F23"/>
    <mergeCell ref="A24:F24"/>
    <mergeCell ref="A25:F25"/>
    <mergeCell ref="A26:F26"/>
    <mergeCell ref="A27:F27"/>
    <mergeCell ref="A18:F18"/>
    <mergeCell ref="A19:F19"/>
    <mergeCell ref="A20:F20"/>
    <mergeCell ref="A21:F21"/>
    <mergeCell ref="A22:F22"/>
    <mergeCell ref="A13:F13"/>
    <mergeCell ref="A14:F14"/>
    <mergeCell ref="A15:F15"/>
    <mergeCell ref="A16:F16"/>
    <mergeCell ref="A17:F17"/>
    <mergeCell ref="A8:F8"/>
    <mergeCell ref="A9:F9"/>
    <mergeCell ref="A10:F10"/>
    <mergeCell ref="A11:F11"/>
    <mergeCell ref="A12:F12"/>
    <mergeCell ref="A7:F7"/>
    <mergeCell ref="P7:T7"/>
    <mergeCell ref="A6:E6"/>
    <mergeCell ref="F6:G6"/>
    <mergeCell ref="H6:M6"/>
    <mergeCell ref="N6:O6"/>
    <mergeCell ref="A1:O3"/>
    <mergeCell ref="A4:F4"/>
    <mergeCell ref="G4:T4"/>
    <mergeCell ref="A5:F5"/>
    <mergeCell ref="G5:T5"/>
  </mergeCells>
  <phoneticPr fontId="13" type="noConversion"/>
  <conditionalFormatting sqref="H290:H500">
    <cfRule type="cellIs" dxfId="21" priority="31" stopIfTrue="1" operator="equal">
      <formula>"I"</formula>
    </cfRule>
    <cfRule type="cellIs" dxfId="20" priority="32" stopIfTrue="1" operator="equal">
      <formula>"A"</formula>
    </cfRule>
    <cfRule type="cellIs" dxfId="19" priority="33" stopIfTrue="1" operator="equal">
      <formula>"E"</formula>
    </cfRule>
  </conditionalFormatting>
  <conditionalFormatting sqref="H8">
    <cfRule type="cellIs" dxfId="18" priority="28" stopIfTrue="1" operator="equal">
      <formula>"I"</formula>
    </cfRule>
    <cfRule type="cellIs" dxfId="17" priority="29" stopIfTrue="1" operator="equal">
      <formula>"A"</formula>
    </cfRule>
    <cfRule type="cellIs" dxfId="16" priority="30" stopIfTrue="1" operator="equal">
      <formula>"E"</formula>
    </cfRule>
  </conditionalFormatting>
  <conditionalFormatting sqref="H8">
    <cfRule type="cellIs" dxfId="15" priority="22" stopIfTrue="1" operator="equal">
      <formula>"I"</formula>
    </cfRule>
    <cfRule type="cellIs" dxfId="14" priority="23" stopIfTrue="1" operator="equal">
      <formula>"A"</formula>
    </cfRule>
    <cfRule type="cellIs" dxfId="13" priority="24" stopIfTrue="1" operator="equal">
      <formula>"E"</formula>
    </cfRule>
  </conditionalFormatting>
  <conditionalFormatting sqref="H9:H289">
    <cfRule type="cellIs" dxfId="12" priority="4" stopIfTrue="1" operator="equal">
      <formula>"I"</formula>
    </cfRule>
    <cfRule type="cellIs" dxfId="11" priority="5" stopIfTrue="1" operator="equal">
      <formula>"A"</formula>
    </cfRule>
    <cfRule type="cellIs" dxfId="10" priority="6" stopIfTrue="1" operator="equal">
      <formula>"E"</formula>
    </cfRule>
  </conditionalFormatting>
  <conditionalFormatting sqref="H9:H289">
    <cfRule type="cellIs" dxfId="9" priority="1" stopIfTrue="1" operator="equal">
      <formula>"I"</formula>
    </cfRule>
    <cfRule type="cellIs" dxfId="8" priority="2" stopIfTrue="1" operator="equal">
      <formula>"A"</formula>
    </cfRule>
    <cfRule type="cellIs" dxfId="7" priority="3" stopIfTrue="1" operator="equal">
      <formula>"E"</formula>
    </cfRule>
  </conditionalFormatting>
  <dataValidations xWindow="950" yWindow="569" count="3">
    <dataValidation allowBlank="1" showInputMessage="1" showErrorMessage="1" promptTitle="Tipo da Função" prompt="ALI, AIE, EE, SE, CE" sqref="G8:G500" xr:uid="{00000000-0002-0000-0100-000000000000}">
      <formula1>0</formula1>
      <formula2>0</formula2>
    </dataValidation>
    <dataValidation allowBlank="1" showInputMessage="1" showErrorMessage="1" promptTitle="Tipo da Manutenção na Função" prompt="I - Inclusão  _x000a_A - Alteração  _x000a_E - Exclusão  _x000a_T - Teste" sqref="H290:H500" xr:uid="{00000000-0002-0000-0100-000001000000}"/>
    <dataValidation allowBlank="1" showInputMessage="1" showErrorMessage="1" promptTitle="Tipo da Manutenção na Função" prompt="I - Inclusão  _x000a_A - Alteração  _x000a_E - Exclusão  _x000a_T - Teste_x000a_D - Documentação" sqref="H8:H289" xr:uid="{00000000-0002-0000-0100-000002000000}"/>
  </dataValidations>
  <pageMargins left="0.39374999999999999" right="0.31527777777777777" top="0.23611111111111113" bottom="0.39375000000000004" header="0.51180555555555562" footer="0.23611111111111113"/>
  <pageSetup paperSize="9" scale="73" firstPageNumber="0" orientation="landscape" horizontalDpi="300" verticalDpi="300" r:id="rId1"/>
  <headerFooter alignWithMargins="0">
    <oddFooter>&amp;R  &amp;F - &amp;A         .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6" r:id="rId4" name="Button 8">
              <controlPr defaultSize="0" print="0" autoFill="0" autoPict="0" macro="[0]!ListarBaseline">
                <anchor moveWithCells="1" sizeWithCells="1">
                  <from>
                    <xdr:col>12</xdr:col>
                    <xdr:colOff>123825</xdr:colOff>
                    <xdr:row>0</xdr:row>
                    <xdr:rowOff>114300</xdr:rowOff>
                  </from>
                  <to>
                    <xdr:col>14</xdr:col>
                    <xdr:colOff>428625</xdr:colOff>
                    <xdr:row>2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1:S74"/>
  <sheetViews>
    <sheetView showGridLines="0" view="pageBreakPreview" zoomScaleSheetLayoutView="100" workbookViewId="0">
      <selection sqref="A1:O3"/>
    </sheetView>
  </sheetViews>
  <sheetFormatPr defaultColWidth="9.140625" defaultRowHeight="12.75" x14ac:dyDescent="0.25"/>
  <cols>
    <col min="1" max="1" width="2.85546875" style="3" customWidth="1"/>
    <col min="2" max="2" width="8.42578125" style="3" customWidth="1"/>
    <col min="3" max="3" width="10.5703125" style="3" customWidth="1"/>
    <col min="4" max="4" width="2.42578125" style="3" customWidth="1"/>
    <col min="5" max="5" width="7.5703125" style="3" customWidth="1"/>
    <col min="6" max="6" width="5" style="3" customWidth="1"/>
    <col min="7" max="7" width="12.140625" style="3" customWidth="1"/>
    <col min="8" max="8" width="9" style="3" bestFit="1" customWidth="1"/>
    <col min="9" max="9" width="7.5703125" style="3" bestFit="1" customWidth="1"/>
    <col min="10" max="10" width="2.85546875" style="3" customWidth="1"/>
    <col min="11" max="11" width="3" style="3" customWidth="1"/>
    <col min="12" max="12" width="3.42578125" style="3" bestFit="1" customWidth="1"/>
    <col min="13" max="13" width="10.42578125" style="3" bestFit="1" customWidth="1"/>
    <col min="14" max="14" width="9.42578125" style="3" bestFit="1" customWidth="1"/>
    <col min="15" max="15" width="1.5703125" style="3" customWidth="1"/>
    <col min="16" max="16" width="9.42578125" style="3" customWidth="1"/>
    <col min="17" max="18" width="9.140625" style="3"/>
    <col min="19" max="19" width="9.140625" style="3" customWidth="1"/>
    <col min="20" max="16384" width="9.140625" style="3"/>
  </cols>
  <sheetData>
    <row r="1" spans="1:19" ht="12" customHeight="1" thickBot="1" x14ac:dyDescent="0.3">
      <c r="A1" s="286" t="s">
        <v>302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119"/>
    </row>
    <row r="2" spans="1:19" ht="12" customHeight="1" thickBot="1" x14ac:dyDescent="0.3">
      <c r="A2" s="286"/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119"/>
    </row>
    <row r="3" spans="1:19" ht="12" customHeight="1" x14ac:dyDescent="0.25">
      <c r="A3" s="286"/>
      <c r="B3" s="286"/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6"/>
      <c r="P3" s="119"/>
    </row>
    <row r="4" spans="1:19" ht="12" customHeight="1" x14ac:dyDescent="0.25">
      <c r="A4" s="287" t="str">
        <f>Contagem!A5&amp;" : "&amp;Contagem!F5</f>
        <v xml:space="preserve">Sistema/Subsistema : </v>
      </c>
      <c r="B4" s="287"/>
      <c r="C4" s="287"/>
      <c r="D4" s="287"/>
      <c r="E4" s="287"/>
      <c r="F4" s="288" t="str">
        <f>Contagem!A6&amp;" : "&amp;Contagem!F6</f>
        <v xml:space="preserve">Projeto : </v>
      </c>
      <c r="G4" s="288"/>
      <c r="H4" s="288"/>
      <c r="I4" s="288"/>
      <c r="J4" s="288"/>
      <c r="K4" s="288"/>
      <c r="L4" s="288"/>
      <c r="M4" s="288"/>
      <c r="N4" s="288"/>
      <c r="O4" s="288"/>
      <c r="P4" s="120"/>
    </row>
    <row r="5" spans="1:19" ht="12" customHeight="1" x14ac:dyDescent="0.25">
      <c r="A5" s="278" t="str">
        <f>Contagem!A7&amp;" : "&amp;Contagem!F7</f>
        <v xml:space="preserve">Responsável : </v>
      </c>
      <c r="B5" s="278"/>
      <c r="C5" s="278"/>
      <c r="D5" s="278"/>
      <c r="E5" s="278"/>
      <c r="F5" s="288" t="str">
        <f>Contagem!A8&amp;" : "&amp;Contagem!F8</f>
        <v xml:space="preserve">Revisor : </v>
      </c>
      <c r="G5" s="288"/>
      <c r="H5" s="288"/>
      <c r="I5" s="288"/>
      <c r="J5" s="288"/>
      <c r="K5" s="288"/>
      <c r="L5" s="288"/>
      <c r="M5" s="288"/>
      <c r="N5" s="288"/>
      <c r="O5" s="288"/>
      <c r="P5" s="120"/>
    </row>
    <row r="6" spans="1:19" ht="12" customHeight="1" x14ac:dyDescent="0.25">
      <c r="A6" s="10" t="str">
        <f>Contagem!A4&amp;" : "&amp;Contagem!F4</f>
        <v>Empresa : BASIS Tecnologia</v>
      </c>
      <c r="B6" s="25"/>
      <c r="C6" s="25"/>
      <c r="D6" s="26"/>
      <c r="E6" s="26"/>
      <c r="F6" s="291" t="str">
        <f>Contagem!R4&amp;" = "&amp;VALUE(Contagem!T4)</f>
        <v>R$/PF = 0</v>
      </c>
      <c r="G6" s="291"/>
      <c r="H6" s="291" t="str">
        <f>" Custo= "&amp;DOLLAR(Contagem!Y4)</f>
        <v xml:space="preserve"> Custo= R$ 0,00</v>
      </c>
      <c r="I6" s="291"/>
      <c r="J6" s="291"/>
      <c r="K6" s="291"/>
      <c r="L6" s="299" t="str">
        <f>"PFB  = "&amp;VALUE(Contagem!Y5)</f>
        <v>PFB  = 0</v>
      </c>
      <c r="M6" s="299"/>
      <c r="N6" s="299"/>
      <c r="O6" s="299"/>
      <c r="P6" s="121"/>
    </row>
    <row r="7" spans="1:19" ht="12" customHeight="1" x14ac:dyDescent="0.25">
      <c r="A7" s="292" t="s">
        <v>29</v>
      </c>
      <c r="B7" s="292"/>
      <c r="C7" s="293" t="s">
        <v>30</v>
      </c>
      <c r="D7" s="293"/>
      <c r="E7" s="293"/>
      <c r="F7" s="293"/>
      <c r="G7" s="294" t="s">
        <v>31</v>
      </c>
      <c r="H7" s="294"/>
      <c r="I7" s="300" t="s">
        <v>32</v>
      </c>
      <c r="J7" s="300"/>
      <c r="K7" s="300"/>
      <c r="L7" s="300"/>
      <c r="M7" s="300"/>
      <c r="N7" s="300"/>
      <c r="O7" s="300"/>
      <c r="P7" s="122"/>
    </row>
    <row r="8" spans="1:19" ht="12" customHeight="1" x14ac:dyDescent="0.25">
      <c r="A8" s="292"/>
      <c r="B8" s="292"/>
      <c r="C8" s="293"/>
      <c r="D8" s="293"/>
      <c r="E8" s="293"/>
      <c r="F8" s="293"/>
      <c r="G8" s="294"/>
      <c r="H8" s="294"/>
      <c r="I8" s="294"/>
      <c r="J8" s="294"/>
      <c r="K8" s="300"/>
      <c r="L8" s="300"/>
      <c r="M8" s="300"/>
      <c r="N8" s="300"/>
      <c r="O8" s="300"/>
      <c r="P8" s="122"/>
    </row>
    <row r="9" spans="1:19" ht="6" customHeight="1" x14ac:dyDescent="0.25">
      <c r="A9" s="27"/>
      <c r="B9" s="28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30"/>
      <c r="P9" s="32"/>
    </row>
    <row r="10" spans="1:19" ht="12" customHeight="1" x14ac:dyDescent="0.25">
      <c r="A10" s="31"/>
      <c r="B10" s="32" t="s">
        <v>33</v>
      </c>
      <c r="C10" s="33">
        <f>COUNTIF(CF,"EEL")</f>
        <v>0</v>
      </c>
      <c r="D10" s="34"/>
      <c r="E10" s="35" t="s">
        <v>34</v>
      </c>
      <c r="F10" s="35" t="s">
        <v>35</v>
      </c>
      <c r="G10" s="33">
        <f>C10*3</f>
        <v>0</v>
      </c>
      <c r="H10" s="34"/>
      <c r="I10" s="36"/>
      <c r="J10" s="36"/>
      <c r="K10" s="34"/>
      <c r="L10" s="34"/>
      <c r="M10" s="34"/>
      <c r="N10" s="34"/>
      <c r="O10" s="37"/>
      <c r="P10" s="32"/>
    </row>
    <row r="11" spans="1:19" ht="12" customHeight="1" x14ac:dyDescent="0.25">
      <c r="A11" s="31"/>
      <c r="B11" s="32"/>
      <c r="C11" s="33">
        <f>COUNTIF(CF,"EEA")</f>
        <v>0</v>
      </c>
      <c r="D11" s="34"/>
      <c r="E11" s="35" t="s">
        <v>36</v>
      </c>
      <c r="F11" s="35" t="s">
        <v>37</v>
      </c>
      <c r="G11" s="33">
        <f>C11*4</f>
        <v>0</v>
      </c>
      <c r="H11" s="34"/>
      <c r="I11" s="36"/>
      <c r="J11" s="36"/>
      <c r="K11" s="34"/>
      <c r="L11" s="34"/>
      <c r="M11" s="34"/>
      <c r="N11" s="34"/>
      <c r="O11" s="37"/>
      <c r="P11" s="32"/>
    </row>
    <row r="12" spans="1:19" ht="12" customHeight="1" x14ac:dyDescent="0.25">
      <c r="A12" s="31"/>
      <c r="B12" s="32"/>
      <c r="C12" s="33">
        <f>COUNTIF(CF,"EEH")</f>
        <v>0</v>
      </c>
      <c r="D12" s="34"/>
      <c r="E12" s="35" t="s">
        <v>38</v>
      </c>
      <c r="F12" s="35" t="s">
        <v>39</v>
      </c>
      <c r="G12" s="33">
        <f>C12*6</f>
        <v>0</v>
      </c>
      <c r="H12" s="34"/>
      <c r="I12" s="36"/>
      <c r="J12" s="36"/>
      <c r="K12" s="34"/>
      <c r="O12" s="38"/>
      <c r="P12" s="123"/>
    </row>
    <row r="13" spans="1:19" ht="6.75" customHeight="1" x14ac:dyDescent="0.25">
      <c r="A13" s="31"/>
      <c r="B13" s="32"/>
      <c r="C13" s="29"/>
      <c r="D13" s="34"/>
      <c r="E13" s="34"/>
      <c r="F13" s="34"/>
      <c r="G13" s="29"/>
      <c r="H13" s="34"/>
      <c r="I13" s="34"/>
      <c r="J13" s="34"/>
      <c r="K13" s="34"/>
      <c r="L13" s="34"/>
      <c r="M13" s="34"/>
      <c r="N13" s="34"/>
      <c r="O13" s="37"/>
      <c r="P13" s="32"/>
    </row>
    <row r="14" spans="1:19" ht="12" customHeight="1" x14ac:dyDescent="0.25">
      <c r="A14" s="31"/>
      <c r="B14" s="39" t="s">
        <v>40</v>
      </c>
      <c r="C14" s="33">
        <f>SUM(C10:C12)</f>
        <v>0</v>
      </c>
      <c r="D14" s="34"/>
      <c r="E14" s="34"/>
      <c r="F14" s="39" t="s">
        <v>40</v>
      </c>
      <c r="G14" s="33">
        <f>SUM(G10:G12)</f>
        <v>0</v>
      </c>
      <c r="H14" s="34"/>
      <c r="I14" s="40" t="str">
        <f>IF($G$45&lt;&gt;0,G14/$G$45,"")</f>
        <v/>
      </c>
      <c r="J14" s="36"/>
      <c r="K14" s="34"/>
      <c r="L14" s="34"/>
      <c r="M14" s="34"/>
      <c r="N14" s="34"/>
      <c r="O14" s="37"/>
      <c r="P14" s="32"/>
      <c r="S14" s="41"/>
    </row>
    <row r="15" spans="1:19" ht="6" customHeight="1" x14ac:dyDescent="0.25">
      <c r="A15" s="42"/>
      <c r="B15" s="4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44"/>
      <c r="P15" s="32"/>
    </row>
    <row r="16" spans="1:19" ht="6" customHeight="1" x14ac:dyDescent="0.25">
      <c r="A16" s="31"/>
      <c r="B16" s="32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7"/>
      <c r="P16" s="32"/>
    </row>
    <row r="17" spans="1:16" ht="12" customHeight="1" x14ac:dyDescent="0.25">
      <c r="A17" s="31"/>
      <c r="B17" s="32" t="s">
        <v>41</v>
      </c>
      <c r="C17" s="33">
        <f>COUNTIF(CF,"SEL")</f>
        <v>0</v>
      </c>
      <c r="D17" s="34"/>
      <c r="E17" s="35" t="s">
        <v>34</v>
      </c>
      <c r="F17" s="35" t="s">
        <v>37</v>
      </c>
      <c r="G17" s="33">
        <f>C17*4</f>
        <v>0</v>
      </c>
      <c r="H17" s="34"/>
      <c r="I17" s="34"/>
      <c r="J17" s="34"/>
      <c r="K17" s="34"/>
      <c r="L17" s="34"/>
      <c r="M17" s="34"/>
      <c r="N17" s="34"/>
      <c r="O17" s="37"/>
      <c r="P17" s="32"/>
    </row>
    <row r="18" spans="1:16" ht="12" customHeight="1" x14ac:dyDescent="0.25">
      <c r="A18" s="31"/>
      <c r="B18" s="32"/>
      <c r="C18" s="33">
        <f>COUNTIF(CF,"SEA")</f>
        <v>0</v>
      </c>
      <c r="D18" s="34"/>
      <c r="E18" s="35" t="s">
        <v>36</v>
      </c>
      <c r="F18" s="35" t="s">
        <v>42</v>
      </c>
      <c r="G18" s="33">
        <f>C18*5</f>
        <v>0</v>
      </c>
      <c r="H18" s="34"/>
      <c r="I18" s="34"/>
      <c r="J18" s="34"/>
      <c r="K18" s="34"/>
      <c r="L18" s="34"/>
      <c r="M18" s="34"/>
      <c r="N18" s="34"/>
      <c r="O18" s="37"/>
      <c r="P18" s="32"/>
    </row>
    <row r="19" spans="1:16" ht="12" customHeight="1" x14ac:dyDescent="0.25">
      <c r="A19" s="31"/>
      <c r="B19" s="32"/>
      <c r="C19" s="33">
        <f>COUNTIF(CF,"SEH")</f>
        <v>0</v>
      </c>
      <c r="D19" s="34"/>
      <c r="E19" s="35" t="s">
        <v>38</v>
      </c>
      <c r="F19" s="35" t="s">
        <v>43</v>
      </c>
      <c r="G19" s="33">
        <f>C19*7</f>
        <v>0</v>
      </c>
      <c r="H19" s="34"/>
      <c r="I19" s="34"/>
      <c r="J19" s="34"/>
      <c r="K19" s="34"/>
      <c r="L19" s="34"/>
      <c r="M19" s="34"/>
      <c r="N19" s="34"/>
      <c r="O19" s="38"/>
      <c r="P19" s="123"/>
    </row>
    <row r="20" spans="1:16" ht="6.75" customHeight="1" x14ac:dyDescent="0.25">
      <c r="A20" s="31"/>
      <c r="B20" s="32"/>
      <c r="C20" s="29"/>
      <c r="D20" s="34"/>
      <c r="E20" s="34"/>
      <c r="F20" s="34"/>
      <c r="G20" s="29"/>
      <c r="H20" s="34"/>
      <c r="I20" s="34"/>
      <c r="J20" s="34"/>
      <c r="K20" s="34"/>
      <c r="L20" s="34"/>
      <c r="M20" s="34"/>
      <c r="N20" s="34"/>
      <c r="O20" s="37"/>
      <c r="P20" s="32"/>
    </row>
    <row r="21" spans="1:16" ht="12" customHeight="1" x14ac:dyDescent="0.25">
      <c r="A21" s="31"/>
      <c r="B21" s="39" t="s">
        <v>40</v>
      </c>
      <c r="C21" s="33">
        <f>SUM(C17:C19)</f>
        <v>0</v>
      </c>
      <c r="D21" s="34"/>
      <c r="E21" s="34"/>
      <c r="F21" s="39" t="s">
        <v>40</v>
      </c>
      <c r="G21" s="33">
        <f>SUM(G17:G19)</f>
        <v>0</v>
      </c>
      <c r="H21" s="34"/>
      <c r="I21" s="45" t="str">
        <f>IF($G$45&lt;&gt;0,G21/$G$45,"")</f>
        <v/>
      </c>
      <c r="J21" s="36"/>
      <c r="K21" s="34"/>
      <c r="L21" s="34"/>
      <c r="M21" s="34"/>
      <c r="N21" s="34"/>
      <c r="O21" s="37"/>
      <c r="P21" s="32"/>
    </row>
    <row r="22" spans="1:16" ht="6" customHeight="1" x14ac:dyDescent="0.25">
      <c r="A22" s="42"/>
      <c r="B22" s="4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44"/>
      <c r="P22" s="32"/>
    </row>
    <row r="23" spans="1:16" ht="6" customHeight="1" x14ac:dyDescent="0.25">
      <c r="A23" s="27"/>
      <c r="B23" s="28"/>
      <c r="C23" s="34"/>
      <c r="D23" s="29"/>
      <c r="E23" s="29"/>
      <c r="F23" s="29"/>
      <c r="G23" s="34"/>
      <c r="H23" s="29"/>
      <c r="I23" s="29"/>
      <c r="J23" s="29"/>
      <c r="K23" s="29"/>
      <c r="L23" s="29"/>
      <c r="M23" s="29"/>
      <c r="N23" s="29"/>
      <c r="O23" s="30"/>
      <c r="P23" s="32"/>
    </row>
    <row r="24" spans="1:16" ht="12" customHeight="1" x14ac:dyDescent="0.25">
      <c r="A24" s="31"/>
      <c r="B24" s="32" t="s">
        <v>44</v>
      </c>
      <c r="C24" s="33">
        <f>COUNTIF(CF,"CEL")</f>
        <v>0</v>
      </c>
      <c r="D24" s="34"/>
      <c r="E24" s="35" t="s">
        <v>34</v>
      </c>
      <c r="F24" s="35" t="s">
        <v>35</v>
      </c>
      <c r="G24" s="33">
        <f>C24*3</f>
        <v>0</v>
      </c>
      <c r="H24" s="34"/>
      <c r="I24" s="34"/>
      <c r="J24" s="34"/>
      <c r="K24" s="34"/>
      <c r="L24" s="34"/>
      <c r="M24" s="34"/>
      <c r="N24" s="34"/>
      <c r="O24" s="37"/>
      <c r="P24" s="32"/>
    </row>
    <row r="25" spans="1:16" ht="12" customHeight="1" x14ac:dyDescent="0.25">
      <c r="A25" s="31"/>
      <c r="B25" s="32"/>
      <c r="C25" s="33">
        <f>COUNTIF(CF,"CEA")</f>
        <v>0</v>
      </c>
      <c r="D25" s="34"/>
      <c r="E25" s="35" t="s">
        <v>36</v>
      </c>
      <c r="F25" s="35" t="s">
        <v>37</v>
      </c>
      <c r="G25" s="33">
        <f>C25*4</f>
        <v>0</v>
      </c>
      <c r="H25" s="34"/>
      <c r="I25" s="34"/>
      <c r="J25" s="34"/>
      <c r="K25" s="34"/>
      <c r="L25" s="34"/>
      <c r="M25" s="34"/>
      <c r="N25" s="34"/>
      <c r="O25" s="37"/>
      <c r="P25" s="32"/>
    </row>
    <row r="26" spans="1:16" ht="12" customHeight="1" x14ac:dyDescent="0.25">
      <c r="A26" s="31"/>
      <c r="B26" s="32"/>
      <c r="C26" s="33">
        <f>COUNTIF(CF,"CEH")</f>
        <v>0</v>
      </c>
      <c r="D26" s="34"/>
      <c r="E26" s="35" t="s">
        <v>38</v>
      </c>
      <c r="F26" s="35" t="s">
        <v>39</v>
      </c>
      <c r="G26" s="33">
        <f>C26*6</f>
        <v>0</v>
      </c>
      <c r="H26" s="34"/>
      <c r="I26" s="34"/>
      <c r="J26" s="34"/>
      <c r="K26" s="34"/>
      <c r="L26" s="34"/>
      <c r="M26" s="34"/>
      <c r="N26" s="34"/>
      <c r="O26" s="38"/>
      <c r="P26" s="123"/>
    </row>
    <row r="27" spans="1:16" ht="6.75" customHeight="1" x14ac:dyDescent="0.25">
      <c r="A27" s="31"/>
      <c r="B27" s="32"/>
      <c r="C27" s="29"/>
      <c r="D27" s="34"/>
      <c r="E27" s="34"/>
      <c r="F27" s="34"/>
      <c r="G27" s="29"/>
      <c r="H27" s="34"/>
      <c r="I27" s="34"/>
      <c r="J27" s="34"/>
      <c r="K27" s="34"/>
      <c r="L27" s="34"/>
      <c r="M27" s="34"/>
      <c r="N27" s="34"/>
      <c r="O27" s="37"/>
      <c r="P27" s="32"/>
    </row>
    <row r="28" spans="1:16" ht="12" customHeight="1" x14ac:dyDescent="0.25">
      <c r="A28" s="31"/>
      <c r="B28" s="39" t="s">
        <v>40</v>
      </c>
      <c r="C28" s="33">
        <f>SUM(C24:C26)</f>
        <v>0</v>
      </c>
      <c r="D28" s="34"/>
      <c r="E28" s="34"/>
      <c r="F28" s="39" t="s">
        <v>40</v>
      </c>
      <c r="G28" s="33">
        <f>SUM(G24:G26)</f>
        <v>0</v>
      </c>
      <c r="H28" s="34"/>
      <c r="I28" s="46" t="str">
        <f>IF($G$45&lt;&gt;0,G28/$G$45,"")</f>
        <v/>
      </c>
      <c r="J28" s="36"/>
      <c r="K28" s="34"/>
      <c r="L28" s="34"/>
      <c r="M28" s="34"/>
      <c r="N28" s="34"/>
      <c r="O28" s="37"/>
      <c r="P28" s="32"/>
    </row>
    <row r="29" spans="1:16" ht="6" customHeight="1" x14ac:dyDescent="0.25">
      <c r="A29" s="42"/>
      <c r="B29" s="4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44"/>
      <c r="P29" s="32"/>
    </row>
    <row r="30" spans="1:16" ht="6.75" customHeight="1" x14ac:dyDescent="0.25">
      <c r="A30" s="27"/>
      <c r="B30" s="28"/>
      <c r="C30" s="34"/>
      <c r="D30" s="29"/>
      <c r="E30" s="29"/>
      <c r="F30" s="29"/>
      <c r="G30" s="34"/>
      <c r="H30" s="29"/>
      <c r="I30" s="29"/>
      <c r="J30" s="29"/>
      <c r="K30" s="29"/>
      <c r="L30" s="29"/>
      <c r="M30" s="29"/>
      <c r="N30" s="29"/>
      <c r="O30" s="30"/>
      <c r="P30" s="32"/>
    </row>
    <row r="31" spans="1:16" ht="12" customHeight="1" x14ac:dyDescent="0.25">
      <c r="A31" s="31"/>
      <c r="B31" s="32" t="s">
        <v>45</v>
      </c>
      <c r="C31" s="33">
        <f>COUNTIF(CF,"ALIL")</f>
        <v>0</v>
      </c>
      <c r="D31" s="34"/>
      <c r="E31" s="34" t="s">
        <v>34</v>
      </c>
      <c r="F31" s="34" t="s">
        <v>43</v>
      </c>
      <c r="G31" s="33">
        <f>C31*7</f>
        <v>0</v>
      </c>
      <c r="H31" s="34"/>
      <c r="I31" s="34"/>
      <c r="J31" s="34"/>
      <c r="K31" s="34"/>
      <c r="L31" s="34"/>
      <c r="M31" s="34"/>
      <c r="N31" s="34"/>
      <c r="O31" s="37"/>
      <c r="P31" s="32"/>
    </row>
    <row r="32" spans="1:16" ht="12" customHeight="1" x14ac:dyDescent="0.25">
      <c r="A32" s="31"/>
      <c r="B32" s="32"/>
      <c r="C32" s="33">
        <f>COUNTIF(CF,"ALIA")</f>
        <v>0</v>
      </c>
      <c r="D32" s="34"/>
      <c r="E32" s="34" t="s">
        <v>36</v>
      </c>
      <c r="F32" s="34" t="s">
        <v>46</v>
      </c>
      <c r="G32" s="33">
        <f>C32*10</f>
        <v>0</v>
      </c>
      <c r="H32" s="34"/>
      <c r="I32" s="34"/>
      <c r="J32" s="34"/>
      <c r="K32" s="34"/>
      <c r="L32" s="34"/>
      <c r="M32" s="34"/>
      <c r="N32" s="34"/>
      <c r="O32" s="37"/>
      <c r="P32" s="32"/>
    </row>
    <row r="33" spans="1:16" ht="12" customHeight="1" x14ac:dyDescent="0.25">
      <c r="A33" s="31"/>
      <c r="B33" s="32"/>
      <c r="C33" s="33">
        <f>COUNTIF(CF,"ALIH")</f>
        <v>0</v>
      </c>
      <c r="D33" s="34"/>
      <c r="E33" s="34" t="s">
        <v>38</v>
      </c>
      <c r="F33" s="34" t="s">
        <v>47</v>
      </c>
      <c r="G33" s="33">
        <f>C33*15</f>
        <v>0</v>
      </c>
      <c r="H33" s="34"/>
      <c r="I33" s="34"/>
      <c r="J33" s="34"/>
      <c r="K33" s="34"/>
      <c r="L33" s="34"/>
      <c r="M33" s="34"/>
      <c r="N33" s="34"/>
      <c r="O33" s="38"/>
      <c r="P33" s="123"/>
    </row>
    <row r="34" spans="1:16" ht="6.75" customHeight="1" x14ac:dyDescent="0.25">
      <c r="A34" s="31"/>
      <c r="B34" s="32"/>
      <c r="C34" s="29"/>
      <c r="D34" s="34"/>
      <c r="E34" s="34"/>
      <c r="F34" s="34"/>
      <c r="G34" s="29"/>
      <c r="H34" s="34"/>
      <c r="I34" s="34"/>
      <c r="J34" s="34"/>
      <c r="K34" s="34"/>
      <c r="L34" s="34"/>
      <c r="M34" s="34"/>
      <c r="N34" s="34"/>
      <c r="O34" s="37"/>
      <c r="P34" s="32"/>
    </row>
    <row r="35" spans="1:16" ht="12" customHeight="1" x14ac:dyDescent="0.25">
      <c r="A35" s="31"/>
      <c r="B35" s="39" t="s">
        <v>40</v>
      </c>
      <c r="C35" s="33">
        <f>SUM(C31:C33)</f>
        <v>0</v>
      </c>
      <c r="D35" s="34"/>
      <c r="E35" s="34"/>
      <c r="F35" s="39" t="s">
        <v>40</v>
      </c>
      <c r="G35" s="33">
        <f>SUM(G31:G33)</f>
        <v>0</v>
      </c>
      <c r="H35" s="34"/>
      <c r="I35" s="47" t="str">
        <f>IF($G$45&lt;&gt;0,G35/$G$45,"")</f>
        <v/>
      </c>
      <c r="J35" s="36"/>
      <c r="K35" s="34"/>
      <c r="L35" s="34"/>
      <c r="M35" s="34"/>
      <c r="N35" s="34"/>
      <c r="O35" s="37"/>
      <c r="P35" s="32"/>
    </row>
    <row r="36" spans="1:16" ht="6" customHeight="1" x14ac:dyDescent="0.25">
      <c r="A36" s="42"/>
      <c r="B36" s="4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44"/>
      <c r="P36" s="32"/>
    </row>
    <row r="37" spans="1:16" ht="6.75" customHeight="1" x14ac:dyDescent="0.25">
      <c r="A37" s="27"/>
      <c r="B37" s="28"/>
      <c r="C37" s="34"/>
      <c r="D37" s="29"/>
      <c r="E37" s="29"/>
      <c r="F37" s="29"/>
      <c r="G37" s="34"/>
      <c r="H37" s="29"/>
      <c r="I37" s="29"/>
      <c r="J37" s="29"/>
      <c r="K37" s="29"/>
      <c r="L37" s="29"/>
      <c r="M37" s="29"/>
      <c r="N37" s="29"/>
      <c r="O37" s="30"/>
      <c r="P37" s="32"/>
    </row>
    <row r="38" spans="1:16" ht="12" customHeight="1" x14ac:dyDescent="0.25">
      <c r="A38" s="31"/>
      <c r="B38" s="32" t="s">
        <v>48</v>
      </c>
      <c r="C38" s="33">
        <f>COUNTIF(CF,"AIEL")</f>
        <v>0</v>
      </c>
      <c r="D38" s="34"/>
      <c r="E38" s="34" t="s">
        <v>34</v>
      </c>
      <c r="F38" s="34" t="s">
        <v>42</v>
      </c>
      <c r="G38" s="33">
        <f>C38*5</f>
        <v>0</v>
      </c>
      <c r="H38" s="34"/>
      <c r="I38" s="34"/>
      <c r="J38" s="34"/>
      <c r="K38" s="34"/>
      <c r="L38" s="34"/>
      <c r="M38" s="34"/>
      <c r="N38" s="34"/>
      <c r="O38" s="37"/>
      <c r="P38" s="32"/>
    </row>
    <row r="39" spans="1:16" ht="12" customHeight="1" x14ac:dyDescent="0.25">
      <c r="A39" s="31"/>
      <c r="B39" s="32"/>
      <c r="C39" s="33">
        <f>COUNTIF(CF,"AIEA")</f>
        <v>0</v>
      </c>
      <c r="D39" s="34"/>
      <c r="E39" s="34" t="s">
        <v>36</v>
      </c>
      <c r="F39" s="34" t="s">
        <v>43</v>
      </c>
      <c r="G39" s="33">
        <f>C39*7</f>
        <v>0</v>
      </c>
      <c r="H39" s="34"/>
      <c r="I39" s="34"/>
      <c r="J39" s="34"/>
      <c r="K39" s="34"/>
      <c r="L39" s="34"/>
      <c r="M39" s="34"/>
      <c r="N39" s="34"/>
      <c r="O39" s="37"/>
      <c r="P39" s="32"/>
    </row>
    <row r="40" spans="1:16" ht="12" customHeight="1" x14ac:dyDescent="0.25">
      <c r="A40" s="31"/>
      <c r="B40" s="32"/>
      <c r="C40" s="33">
        <f>COUNTIF(CF,"AIEH")</f>
        <v>0</v>
      </c>
      <c r="D40" s="34"/>
      <c r="E40" s="34" t="s">
        <v>38</v>
      </c>
      <c r="F40" s="34" t="s">
        <v>46</v>
      </c>
      <c r="G40" s="33">
        <f>C40*10</f>
        <v>0</v>
      </c>
      <c r="H40" s="34"/>
      <c r="I40" s="34"/>
      <c r="J40" s="34"/>
      <c r="K40" s="34"/>
      <c r="L40" s="34"/>
      <c r="M40" s="34"/>
      <c r="N40" s="34"/>
      <c r="O40" s="38"/>
      <c r="P40" s="123"/>
    </row>
    <row r="41" spans="1:16" ht="6.75" customHeight="1" x14ac:dyDescent="0.25">
      <c r="A41" s="31"/>
      <c r="B41" s="32"/>
      <c r="C41" s="29"/>
      <c r="D41" s="34"/>
      <c r="E41" s="34"/>
      <c r="F41" s="34"/>
      <c r="G41" s="29"/>
      <c r="H41" s="34"/>
      <c r="I41" s="34"/>
      <c r="J41" s="34"/>
      <c r="K41" s="34"/>
      <c r="L41" s="34"/>
      <c r="M41" s="34"/>
      <c r="N41" s="34"/>
      <c r="O41" s="37"/>
      <c r="P41" s="32"/>
    </row>
    <row r="42" spans="1:16" ht="12" customHeight="1" x14ac:dyDescent="0.25">
      <c r="A42" s="31"/>
      <c r="B42" s="39" t="s">
        <v>40</v>
      </c>
      <c r="C42" s="33">
        <f>SUM(C38:C40)</f>
        <v>0</v>
      </c>
      <c r="D42" s="34"/>
      <c r="E42" s="34"/>
      <c r="F42" s="39" t="s">
        <v>40</v>
      </c>
      <c r="G42" s="33">
        <f>SUM(G38:G40)</f>
        <v>0</v>
      </c>
      <c r="H42" s="34"/>
      <c r="I42" s="48" t="str">
        <f>IF($G$45&lt;&gt;0,G42/$G$45,"")</f>
        <v/>
      </c>
      <c r="J42" s="36"/>
      <c r="K42" s="34"/>
      <c r="L42" s="34"/>
      <c r="M42" s="34"/>
      <c r="N42" s="34"/>
      <c r="O42" s="37"/>
      <c r="P42" s="32"/>
    </row>
    <row r="43" spans="1:16" ht="6" customHeight="1" x14ac:dyDescent="0.25">
      <c r="A43" s="42"/>
      <c r="B43" s="4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44"/>
      <c r="P43" s="32"/>
    </row>
    <row r="44" spans="1:16" ht="6" customHeight="1" x14ac:dyDescent="0.25">
      <c r="A44" s="31"/>
      <c r="B44" s="32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7"/>
      <c r="P44" s="32"/>
    </row>
    <row r="45" spans="1:16" ht="12" customHeight="1" x14ac:dyDescent="0.25">
      <c r="A45" s="31"/>
      <c r="B45" s="32" t="s">
        <v>49</v>
      </c>
      <c r="C45" s="34"/>
      <c r="D45" s="34"/>
      <c r="E45" s="34"/>
      <c r="F45" s="34"/>
      <c r="G45" s="135">
        <f>SUM(G14+G21+G28+G35+G42)</f>
        <v>0</v>
      </c>
      <c r="H45" s="34"/>
      <c r="I45" s="34"/>
      <c r="J45" s="34"/>
      <c r="K45" s="34"/>
      <c r="L45" s="34"/>
      <c r="M45" s="34"/>
      <c r="N45" s="34"/>
      <c r="O45" s="37"/>
      <c r="P45" s="32"/>
    </row>
    <row r="46" spans="1:16" ht="12" customHeight="1" x14ac:dyDescent="0.25">
      <c r="A46" s="31"/>
      <c r="B46" s="32" t="s">
        <v>50</v>
      </c>
      <c r="C46" s="34"/>
      <c r="D46" s="34"/>
      <c r="E46" s="34"/>
      <c r="F46" s="34"/>
      <c r="G46" s="136">
        <f>(C10+C11+C12)*4+(C17+C18+C19)*5+(C24+C25+C26)*4+(C31+C32+C33)*7+(C38+C39+C40)*5</f>
        <v>0</v>
      </c>
      <c r="H46" s="34"/>
      <c r="I46" s="34"/>
      <c r="J46" s="34"/>
      <c r="K46" s="34"/>
      <c r="L46" s="34"/>
      <c r="M46" s="34"/>
      <c r="N46" s="34"/>
      <c r="O46" s="37"/>
      <c r="P46" s="32"/>
    </row>
    <row r="47" spans="1:16" ht="12" customHeight="1" x14ac:dyDescent="0.25">
      <c r="A47" s="31"/>
      <c r="B47" s="32" t="s">
        <v>51</v>
      </c>
      <c r="C47" s="34"/>
      <c r="D47" s="34"/>
      <c r="E47" s="34"/>
      <c r="F47" s="34"/>
      <c r="G47" s="136">
        <f>(C31+C32+C33)*35+(C38+C39+C40)*15</f>
        <v>0</v>
      </c>
      <c r="H47" s="34"/>
      <c r="I47" s="34"/>
      <c r="J47" s="34"/>
      <c r="K47" s="34"/>
      <c r="L47" s="34"/>
      <c r="M47" s="34"/>
      <c r="N47" s="34"/>
      <c r="O47" s="37"/>
      <c r="P47" s="32"/>
    </row>
    <row r="48" spans="1:16" ht="12" customHeight="1" x14ac:dyDescent="0.25">
      <c r="A48" s="31"/>
      <c r="B48" s="32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7"/>
      <c r="P48" s="32"/>
    </row>
    <row r="49" spans="1:16" ht="12" customHeight="1" x14ac:dyDescent="0.25">
      <c r="A49" s="31"/>
      <c r="B49" s="32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7"/>
      <c r="P49" s="32"/>
    </row>
    <row r="50" spans="1:16" ht="12" customHeight="1" x14ac:dyDescent="0.25">
      <c r="A50" s="31"/>
      <c r="H50" s="34"/>
      <c r="I50" s="34"/>
      <c r="J50" s="34"/>
      <c r="K50" s="34"/>
      <c r="O50" s="37"/>
      <c r="P50" s="32"/>
    </row>
    <row r="51" spans="1:16" ht="13.5" customHeight="1" x14ac:dyDescent="0.25">
      <c r="A51" s="31"/>
      <c r="H51" s="34"/>
      <c r="I51" s="34"/>
      <c r="J51" s="34"/>
      <c r="K51" s="34"/>
      <c r="O51" s="37"/>
      <c r="P51" s="32"/>
    </row>
    <row r="52" spans="1:16" ht="5.25" customHeight="1" x14ac:dyDescent="0.25">
      <c r="A52" s="27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30"/>
      <c r="P52" s="32"/>
    </row>
    <row r="53" spans="1:16" ht="12" customHeight="1" x14ac:dyDescent="0.25">
      <c r="A53" s="31"/>
      <c r="B53" s="32" t="s">
        <v>70</v>
      </c>
      <c r="C53" s="32"/>
      <c r="D53" s="32"/>
      <c r="E53" s="32"/>
      <c r="F53" s="32"/>
      <c r="G53" s="32"/>
      <c r="H53" s="32"/>
      <c r="K53" s="32"/>
      <c r="L53" s="32"/>
      <c r="M53" s="32"/>
      <c r="N53" s="32"/>
      <c r="O53" s="37"/>
      <c r="P53" s="32"/>
    </row>
    <row r="54" spans="1:16" ht="11.25" customHeight="1" x14ac:dyDescent="0.25">
      <c r="A54" s="31"/>
      <c r="B54" s="32"/>
      <c r="C54" s="32"/>
      <c r="D54" s="32"/>
      <c r="E54" s="49" t="s">
        <v>52</v>
      </c>
      <c r="F54" s="49" t="s">
        <v>68</v>
      </c>
      <c r="G54" s="49" t="s">
        <v>61</v>
      </c>
      <c r="H54" s="32"/>
      <c r="I54" s="296" t="s">
        <v>135</v>
      </c>
      <c r="J54" s="296"/>
      <c r="K54" s="32"/>
      <c r="N54" s="32"/>
      <c r="O54" s="37"/>
      <c r="P54" s="32"/>
    </row>
    <row r="55" spans="1:16" ht="12" customHeight="1" x14ac:dyDescent="0.25">
      <c r="A55" s="31"/>
      <c r="B55" s="289" t="s">
        <v>53</v>
      </c>
      <c r="C55" s="289"/>
      <c r="D55" s="289"/>
      <c r="E55" s="132">
        <f>SUMIF(Funções!$H$8:$H$10014,"I",Funções!$N$8:$N$10014)</f>
        <v>0</v>
      </c>
      <c r="F55" s="132">
        <f>Contagem!W11</f>
        <v>1</v>
      </c>
      <c r="G55" s="133">
        <f>F55*E55</f>
        <v>0</v>
      </c>
      <c r="H55" s="50"/>
      <c r="I55" s="297">
        <f>Contagem!Y5</f>
        <v>0</v>
      </c>
      <c r="J55" s="298"/>
      <c r="K55" s="50"/>
      <c r="N55" s="125"/>
      <c r="O55" s="37"/>
      <c r="P55" s="32"/>
    </row>
    <row r="56" spans="1:16" ht="12" customHeight="1" x14ac:dyDescent="0.25">
      <c r="A56" s="31"/>
      <c r="B56" s="289" t="s">
        <v>55</v>
      </c>
      <c r="C56" s="289"/>
      <c r="D56" s="289"/>
      <c r="E56" s="132">
        <f>SUMIF(Funções!$H$8:$H$10014,"A",Funções!$N$8:$N$10014)</f>
        <v>0</v>
      </c>
      <c r="F56" s="132">
        <f>Contagem!W12</f>
        <v>0.3</v>
      </c>
      <c r="G56" s="133">
        <f>F56*E56</f>
        <v>0</v>
      </c>
      <c r="H56" s="50"/>
      <c r="K56" s="50"/>
      <c r="M56" s="64"/>
      <c r="N56" s="64"/>
      <c r="O56" s="37"/>
      <c r="P56" s="32"/>
    </row>
    <row r="57" spans="1:16" ht="12" customHeight="1" x14ac:dyDescent="0.25">
      <c r="A57" s="31"/>
      <c r="B57" s="289" t="s">
        <v>56</v>
      </c>
      <c r="C57" s="289"/>
      <c r="D57" s="289"/>
      <c r="E57" s="132">
        <f>SUMIF(Funções!$H$8:$H$10014,"E",Funções!$N$8:$N$10014)</f>
        <v>0</v>
      </c>
      <c r="F57" s="132">
        <f>Contagem!W13</f>
        <v>0.3</v>
      </c>
      <c r="G57" s="133">
        <f>F57*E57</f>
        <v>0</v>
      </c>
      <c r="H57" s="50"/>
      <c r="I57" s="50"/>
      <c r="J57" s="50"/>
      <c r="K57" s="50"/>
      <c r="L57" s="32"/>
      <c r="M57" s="32"/>
      <c r="N57" s="32"/>
      <c r="O57" s="37"/>
      <c r="P57" s="32"/>
    </row>
    <row r="58" spans="1:16" ht="12" customHeight="1" x14ac:dyDescent="0.25">
      <c r="A58" s="31"/>
      <c r="B58" s="289" t="s">
        <v>58</v>
      </c>
      <c r="C58" s="289"/>
      <c r="D58" s="289"/>
      <c r="E58" s="132">
        <f>SUMIF(Funções!$H$8:$H$10014,"T",Funções!$N$8:$N$10014)</f>
        <v>0</v>
      </c>
      <c r="F58" s="132">
        <f>Contagem!W14</f>
        <v>0.15</v>
      </c>
      <c r="G58" s="133">
        <f>F58*E58</f>
        <v>0</v>
      </c>
      <c r="H58" s="50"/>
      <c r="I58" s="50"/>
      <c r="J58" s="50"/>
      <c r="K58" s="50"/>
      <c r="L58" s="32"/>
      <c r="M58" s="32"/>
      <c r="N58" s="32"/>
      <c r="O58" s="37"/>
      <c r="P58" s="32"/>
    </row>
    <row r="59" spans="1:16" ht="6.75" customHeight="1" x14ac:dyDescent="0.25">
      <c r="A59" s="66"/>
      <c r="B59" s="67"/>
      <c r="C59" s="67"/>
      <c r="D59" s="67"/>
      <c r="E59" s="68"/>
      <c r="F59" s="68"/>
      <c r="G59" s="69"/>
      <c r="H59" s="70"/>
      <c r="I59" s="70"/>
      <c r="J59" s="70"/>
      <c r="K59" s="70"/>
      <c r="L59" s="71"/>
      <c r="M59" s="71"/>
      <c r="N59" s="71"/>
      <c r="O59" s="72"/>
      <c r="P59" s="71"/>
    </row>
    <row r="60" spans="1:16" ht="15.75" customHeight="1" x14ac:dyDescent="0.25">
      <c r="A60" s="31"/>
      <c r="B60" s="32" t="s">
        <v>129</v>
      </c>
      <c r="C60" s="32"/>
      <c r="D60" s="32"/>
      <c r="E60" s="32"/>
      <c r="F60" s="32"/>
      <c r="G60" s="32"/>
      <c r="H60" s="50"/>
      <c r="I60" s="50"/>
      <c r="J60" s="50"/>
      <c r="K60" s="295"/>
      <c r="L60" s="137"/>
      <c r="M60" s="137"/>
      <c r="N60" s="137"/>
      <c r="O60" s="126"/>
      <c r="P60" s="60"/>
    </row>
    <row r="61" spans="1:16" ht="12" customHeight="1" x14ac:dyDescent="0.25">
      <c r="A61" s="31"/>
      <c r="B61" s="32"/>
      <c r="C61" s="32"/>
      <c r="D61" s="32"/>
      <c r="E61" s="49" t="s">
        <v>66</v>
      </c>
      <c r="G61" s="49" t="s">
        <v>67</v>
      </c>
      <c r="H61" s="50"/>
      <c r="I61" s="50"/>
      <c r="J61" s="50"/>
      <c r="K61" s="295"/>
      <c r="L61" s="138"/>
      <c r="M61" s="138"/>
      <c r="N61" s="138"/>
      <c r="O61" s="127"/>
      <c r="P61" s="61"/>
    </row>
    <row r="62" spans="1:16" ht="12" customHeight="1" x14ac:dyDescent="0.25">
      <c r="A62" s="31"/>
      <c r="B62" s="289" t="s">
        <v>63</v>
      </c>
      <c r="C62" s="289"/>
      <c r="D62" s="289"/>
      <c r="E62" s="132">
        <v>0.22</v>
      </c>
      <c r="F62" s="134"/>
      <c r="G62" s="133">
        <f>I$55*E62</f>
        <v>0</v>
      </c>
      <c r="H62" s="50"/>
      <c r="I62" s="50"/>
      <c r="J62" s="50"/>
      <c r="K62" s="295"/>
      <c r="L62" s="12"/>
      <c r="M62" s="139"/>
      <c r="N62" s="139"/>
      <c r="O62" s="128"/>
      <c r="P62" s="124"/>
    </row>
    <row r="63" spans="1:16" ht="12" customHeight="1" x14ac:dyDescent="0.25">
      <c r="A63" s="31"/>
      <c r="B63" s="289" t="s">
        <v>64</v>
      </c>
      <c r="C63" s="289"/>
      <c r="D63" s="289"/>
      <c r="E63" s="132">
        <v>0.28000000000000003</v>
      </c>
      <c r="F63" s="134"/>
      <c r="G63" s="133">
        <f>I$55*E63</f>
        <v>0</v>
      </c>
      <c r="H63" s="108" t="s">
        <v>128</v>
      </c>
      <c r="I63" s="109" t="s">
        <v>54</v>
      </c>
      <c r="J63" s="125"/>
      <c r="K63" s="295"/>
      <c r="L63" s="12"/>
      <c r="M63" s="139"/>
      <c r="N63" s="139"/>
      <c r="O63" s="128"/>
      <c r="P63" s="124"/>
    </row>
    <row r="64" spans="1:16" ht="12" customHeight="1" x14ac:dyDescent="0.25">
      <c r="A64" s="31"/>
      <c r="B64" s="290" t="s">
        <v>65</v>
      </c>
      <c r="C64" s="290"/>
      <c r="D64" s="290"/>
      <c r="E64" s="130">
        <v>0.5</v>
      </c>
      <c r="F64" s="131"/>
      <c r="G64" s="110">
        <f>I$55*E64</f>
        <v>0</v>
      </c>
      <c r="H64" s="115">
        <f>'Itens Não Mensuráveis'!W6</f>
        <v>0</v>
      </c>
      <c r="I64" s="129">
        <f>H64+G64</f>
        <v>0</v>
      </c>
      <c r="J64" s="125"/>
      <c r="K64" s="295"/>
      <c r="L64" s="12"/>
      <c r="M64" s="139"/>
      <c r="N64" s="139"/>
      <c r="O64" s="128"/>
      <c r="P64" s="124"/>
    </row>
    <row r="65" spans="1:16" ht="6" customHeight="1" x14ac:dyDescent="0.25">
      <c r="A65" s="66"/>
      <c r="B65" s="67"/>
      <c r="C65" s="67"/>
      <c r="D65" s="67"/>
      <c r="E65" s="68"/>
      <c r="F65" s="73"/>
      <c r="G65" s="69"/>
      <c r="H65" s="70"/>
      <c r="I65" s="70"/>
      <c r="J65" s="70"/>
      <c r="K65" s="71"/>
      <c r="L65" s="71"/>
      <c r="M65" s="71"/>
      <c r="N65" s="71"/>
      <c r="O65" s="71"/>
      <c r="P65" s="71"/>
    </row>
    <row r="66" spans="1:16" ht="12" customHeight="1" x14ac:dyDescent="0.25">
      <c r="A66" s="31"/>
      <c r="B66" s="32" t="s">
        <v>71</v>
      </c>
      <c r="C66" s="32"/>
      <c r="D66" s="32"/>
      <c r="E66" s="32"/>
      <c r="F66" s="32"/>
      <c r="G66" s="32"/>
      <c r="H66" s="65"/>
      <c r="I66" s="50"/>
      <c r="J66" s="50"/>
      <c r="K66" s="32"/>
      <c r="L66" s="32"/>
      <c r="M66" s="32"/>
      <c r="N66" s="32"/>
      <c r="O66" s="32"/>
      <c r="P66" s="32"/>
    </row>
    <row r="67" spans="1:16" ht="12" customHeight="1" x14ac:dyDescent="0.25">
      <c r="A67" s="31"/>
      <c r="B67" s="32"/>
      <c r="C67" s="32"/>
      <c r="D67" s="32"/>
      <c r="E67" s="49" t="s">
        <v>66</v>
      </c>
      <c r="G67" s="49" t="s">
        <v>67</v>
      </c>
      <c r="H67" s="65"/>
      <c r="I67" s="50"/>
      <c r="J67" s="50"/>
      <c r="K67" s="32"/>
      <c r="L67" s="32"/>
      <c r="M67" s="32"/>
      <c r="N67" s="32"/>
      <c r="O67" s="32"/>
      <c r="P67" s="32"/>
    </row>
    <row r="68" spans="1:16" ht="12" customHeight="1" x14ac:dyDescent="0.25">
      <c r="A68" s="31"/>
      <c r="B68" s="289" t="s">
        <v>72</v>
      </c>
      <c r="C68" s="289"/>
      <c r="D68" s="289"/>
      <c r="E68" s="132">
        <v>0.15</v>
      </c>
      <c r="G68" s="133">
        <f>I$55*E68</f>
        <v>0</v>
      </c>
      <c r="H68" s="65"/>
      <c r="I68" s="50"/>
      <c r="J68" s="50"/>
      <c r="K68" s="32"/>
      <c r="L68" s="32"/>
      <c r="N68" s="32"/>
      <c r="O68" s="32"/>
      <c r="P68" s="32"/>
    </row>
    <row r="69" spans="1:16" ht="12" customHeight="1" x14ac:dyDescent="0.25">
      <c r="A69" s="31"/>
      <c r="B69" s="289" t="s">
        <v>73</v>
      </c>
      <c r="C69" s="289"/>
      <c r="D69" s="289"/>
      <c r="E69" s="132">
        <v>0.25</v>
      </c>
      <c r="G69" s="133">
        <f>I$55*E69</f>
        <v>0</v>
      </c>
      <c r="H69" s="65"/>
      <c r="I69" s="50"/>
      <c r="J69" s="50"/>
      <c r="K69" s="32"/>
      <c r="L69" s="32"/>
      <c r="M69" s="32"/>
      <c r="N69" s="32"/>
      <c r="O69" s="32"/>
      <c r="P69" s="32"/>
    </row>
    <row r="70" spans="1:16" ht="12" customHeight="1" x14ac:dyDescent="0.25">
      <c r="A70" s="31"/>
      <c r="B70" s="289" t="s">
        <v>74</v>
      </c>
      <c r="C70" s="289"/>
      <c r="D70" s="289"/>
      <c r="E70" s="132">
        <v>0.5</v>
      </c>
      <c r="G70" s="133">
        <f>I$55*E70</f>
        <v>0</v>
      </c>
      <c r="H70" s="65"/>
      <c r="I70" s="50"/>
      <c r="J70" s="50"/>
      <c r="K70" s="32"/>
      <c r="L70" s="32"/>
      <c r="M70" s="32"/>
      <c r="N70" s="32"/>
      <c r="O70" s="32"/>
      <c r="P70" s="32"/>
    </row>
    <row r="71" spans="1:16" ht="12" customHeight="1" x14ac:dyDescent="0.25">
      <c r="A71" s="31"/>
      <c r="B71" s="289" t="s">
        <v>75</v>
      </c>
      <c r="C71" s="289"/>
      <c r="D71" s="289"/>
      <c r="E71" s="132">
        <v>0.1</v>
      </c>
      <c r="G71" s="133">
        <f>I$55*E71</f>
        <v>0</v>
      </c>
      <c r="H71" s="65"/>
      <c r="I71" s="50"/>
      <c r="J71" s="50"/>
      <c r="K71" s="32"/>
      <c r="L71" s="32"/>
      <c r="M71" s="32"/>
      <c r="N71" s="32"/>
      <c r="O71" s="32"/>
      <c r="P71" s="32"/>
    </row>
    <row r="72" spans="1:16" ht="12" customHeight="1" thickBot="1" x14ac:dyDescent="0.3">
      <c r="A72" s="51"/>
      <c r="B72" s="52"/>
      <c r="C72" s="53"/>
      <c r="D72" s="54"/>
      <c r="E72" s="55"/>
      <c r="F72" s="54"/>
      <c r="G72" s="56"/>
      <c r="H72" s="57"/>
      <c r="I72" s="57"/>
      <c r="J72" s="57"/>
      <c r="K72" s="57"/>
      <c r="L72" s="58"/>
      <c r="M72" s="58"/>
      <c r="N72" s="58"/>
      <c r="O72" s="59"/>
      <c r="P72" s="32"/>
    </row>
    <row r="73" spans="1:16" ht="12" customHeight="1" x14ac:dyDescent="0.25">
      <c r="B73" s="60"/>
      <c r="C73" s="61"/>
      <c r="E73" s="62"/>
      <c r="G73" s="63"/>
      <c r="H73" s="50"/>
      <c r="I73" s="50"/>
      <c r="J73" s="50"/>
      <c r="K73" s="50"/>
      <c r="L73" s="64"/>
      <c r="M73" s="64"/>
      <c r="N73" s="64"/>
    </row>
    <row r="74" spans="1:16" ht="12" customHeight="1" x14ac:dyDescent="0.25">
      <c r="B74" s="60"/>
      <c r="C74" s="61"/>
      <c r="E74" s="62"/>
      <c r="G74" s="63"/>
      <c r="H74" s="50"/>
      <c r="I74" s="50"/>
      <c r="J74" s="50"/>
      <c r="K74" s="50"/>
      <c r="L74" s="64"/>
      <c r="M74" s="64"/>
      <c r="N74" s="64"/>
    </row>
  </sheetData>
  <mergeCells count="28">
    <mergeCell ref="K60:K64"/>
    <mergeCell ref="I54:J54"/>
    <mergeCell ref="I55:J55"/>
    <mergeCell ref="L6:O6"/>
    <mergeCell ref="I7:K8"/>
    <mergeCell ref="L7:O8"/>
    <mergeCell ref="F6:G6"/>
    <mergeCell ref="H6:K6"/>
    <mergeCell ref="A7:B8"/>
    <mergeCell ref="C7:F8"/>
    <mergeCell ref="G7:G8"/>
    <mergeCell ref="H7:H8"/>
    <mergeCell ref="B55:D55"/>
    <mergeCell ref="B68:D68"/>
    <mergeCell ref="B69:D69"/>
    <mergeCell ref="B70:D70"/>
    <mergeCell ref="B71:D71"/>
    <mergeCell ref="B62:D62"/>
    <mergeCell ref="B63:D63"/>
    <mergeCell ref="B64:D64"/>
    <mergeCell ref="B56:D56"/>
    <mergeCell ref="B58:D58"/>
    <mergeCell ref="B57:D57"/>
    <mergeCell ref="A1:O3"/>
    <mergeCell ref="A4:E4"/>
    <mergeCell ref="F4:O4"/>
    <mergeCell ref="A5:E5"/>
    <mergeCell ref="F5:O5"/>
  </mergeCells>
  <phoneticPr fontId="13" type="noConversion"/>
  <pageMargins left="0.74791666666666667" right="0.74791666666666667" top="1.3097222222222222" bottom="0.98402777777777783" header="0.51180555555555562" footer="0.49236111111111114"/>
  <pageSetup paperSize="9" scale="58" firstPageNumber="0" orientation="portrait" horizontalDpi="300" verticalDpi="300" r:id="rId1"/>
  <headerFooter alignWithMargins="0">
    <oddFooter>&amp;R&amp;"Tahoma,Normal"&amp;8&amp;F - &amp;A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2"/>
  <dimension ref="A1:AC129"/>
  <sheetViews>
    <sheetView zoomScale="145" zoomScaleNormal="145" workbookViewId="0">
      <selection activeCell="A8" sqref="A8"/>
    </sheetView>
  </sheetViews>
  <sheetFormatPr defaultColWidth="9.140625" defaultRowHeight="12.75" x14ac:dyDescent="0.25"/>
  <cols>
    <col min="1" max="1" width="27.5703125" style="8" customWidth="1"/>
    <col min="2" max="2" width="7.5703125" style="8" hidden="1" customWidth="1"/>
    <col min="3" max="3" width="3.140625" style="8" hidden="1" customWidth="1"/>
    <col min="4" max="4" width="2.42578125" style="8" hidden="1" customWidth="1"/>
    <col min="5" max="5" width="1.42578125" style="8" hidden="1" customWidth="1"/>
    <col min="6" max="6" width="10.85546875" style="8" hidden="1" customWidth="1"/>
    <col min="7" max="7" width="3.85546875" style="8" bestFit="1" customWidth="1"/>
    <col min="8" max="8" width="7" style="8" hidden="1" customWidth="1"/>
    <col min="9" max="9" width="3.5703125" style="8" customWidth="1"/>
    <col min="10" max="10" width="5.42578125" style="8" bestFit="1" customWidth="1"/>
    <col min="11" max="11" width="4" style="8" hidden="1" customWidth="1"/>
    <col min="12" max="12" width="2" style="8" hidden="1" customWidth="1"/>
    <col min="13" max="13" width="7.42578125" style="8" bestFit="1" customWidth="1"/>
    <col min="14" max="14" width="6.85546875" style="8" customWidth="1"/>
    <col min="15" max="15" width="9.5703125" style="8" hidden="1" customWidth="1"/>
    <col min="16" max="16" width="8" style="8" customWidth="1"/>
    <col min="17" max="17" width="32.5703125" style="8" customWidth="1"/>
    <col min="18" max="18" width="6" style="8" bestFit="1" customWidth="1"/>
    <col min="19" max="19" width="3.42578125" style="8" bestFit="1" customWidth="1"/>
    <col min="20" max="20" width="7.5703125" style="8" bestFit="1" customWidth="1"/>
    <col min="21" max="21" width="10.85546875" style="8" bestFit="1" customWidth="1"/>
    <col min="22" max="22" width="11.42578125" style="8" bestFit="1" customWidth="1"/>
    <col min="23" max="23" width="8" style="8" hidden="1" customWidth="1"/>
    <col min="24" max="24" width="2.85546875" style="8" hidden="1" customWidth="1"/>
    <col min="25" max="25" width="2.85546875" style="8" customWidth="1"/>
    <col min="26" max="26" width="5.140625" style="8" customWidth="1"/>
    <col min="27" max="27" width="56.42578125" style="8" customWidth="1"/>
    <col min="28" max="28" width="10.5703125" style="8" customWidth="1"/>
    <col min="29" max="29" width="15.42578125" style="8" customWidth="1"/>
    <col min="30" max="16384" width="9.140625" style="8"/>
  </cols>
  <sheetData>
    <row r="1" spans="1:29" s="1" customFormat="1" ht="12" customHeight="1" thickBot="1" x14ac:dyDescent="0.3">
      <c r="A1" s="277" t="s">
        <v>303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Z1" s="84"/>
      <c r="AA1" s="84"/>
      <c r="AB1" s="84"/>
      <c r="AC1" s="84"/>
    </row>
    <row r="2" spans="1:29" s="1" customFormat="1" ht="12" customHeight="1" x14ac:dyDescent="0.25">
      <c r="A2" s="277"/>
      <c r="B2" s="312"/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2"/>
      <c r="Z2" s="89"/>
      <c r="AA2" s="301" t="s">
        <v>175</v>
      </c>
      <c r="AB2" s="85"/>
      <c r="AC2" s="84"/>
    </row>
    <row r="3" spans="1:29" s="1" customFormat="1" ht="12" customHeight="1" thickBot="1" x14ac:dyDescent="0.3">
      <c r="A3" s="277"/>
      <c r="B3" s="312"/>
      <c r="C3" s="312"/>
      <c r="D3" s="312"/>
      <c r="E3" s="312"/>
      <c r="F3" s="312"/>
      <c r="G3" s="312"/>
      <c r="H3" s="312"/>
      <c r="I3" s="312"/>
      <c r="J3" s="312"/>
      <c r="K3" s="312"/>
      <c r="L3" s="312"/>
      <c r="M3" s="312"/>
      <c r="N3" s="312"/>
      <c r="O3" s="258"/>
      <c r="P3" s="312"/>
      <c r="Q3" s="312"/>
      <c r="R3" s="312"/>
      <c r="S3" s="312"/>
      <c r="T3" s="312"/>
      <c r="U3" s="312"/>
      <c r="V3" s="312"/>
      <c r="Z3" s="90"/>
      <c r="AA3" s="302"/>
      <c r="AB3" s="90"/>
      <c r="AC3" s="84"/>
    </row>
    <row r="4" spans="1:29" s="1" customFormat="1" ht="12" customHeight="1" x14ac:dyDescent="0.25">
      <c r="A4" s="316" t="str">
        <f>Contagem!A5&amp;" : "&amp;Contagem!F5</f>
        <v xml:space="preserve">Sistema/Subsistema : </v>
      </c>
      <c r="B4" s="317"/>
      <c r="C4" s="317"/>
      <c r="D4" s="317"/>
      <c r="E4" s="317"/>
      <c r="F4" s="317"/>
      <c r="G4" s="317"/>
      <c r="H4" s="317"/>
      <c r="I4" s="317"/>
      <c r="J4" s="317"/>
      <c r="K4" s="317"/>
      <c r="L4" s="317"/>
      <c r="M4" s="317"/>
      <c r="N4" s="318"/>
      <c r="O4" s="111"/>
      <c r="P4" s="316" t="str">
        <f>Contagem!A4&amp;" : "&amp;Contagem!F4</f>
        <v>Empresa : BASIS Tecnologia</v>
      </c>
      <c r="Q4" s="317"/>
      <c r="R4" s="317"/>
      <c r="S4" s="317"/>
      <c r="T4" s="317"/>
      <c r="U4" s="319" t="str">
        <f>Contagem!A6&amp;" : "&amp;Contagem!F6</f>
        <v xml:space="preserve">Projeto : </v>
      </c>
      <c r="V4" s="320"/>
      <c r="W4" s="1" t="s">
        <v>80</v>
      </c>
      <c r="Z4" s="85"/>
      <c r="AA4" s="302"/>
      <c r="AB4" s="87"/>
      <c r="AC4" s="84"/>
    </row>
    <row r="5" spans="1:29" s="11" customFormat="1" ht="12" customHeight="1" thickBot="1" x14ac:dyDescent="0.25">
      <c r="A5" s="313" t="str">
        <f>Contagem!A7&amp;" : "&amp;Contagem!F7</f>
        <v xml:space="preserve">Responsável : </v>
      </c>
      <c r="B5" s="314"/>
      <c r="C5" s="314"/>
      <c r="D5" s="314"/>
      <c r="E5" s="314"/>
      <c r="F5" s="314"/>
      <c r="G5" s="314"/>
      <c r="H5" s="314"/>
      <c r="I5" s="314"/>
      <c r="J5" s="314"/>
      <c r="K5" s="314"/>
      <c r="L5" s="314"/>
      <c r="M5" s="314"/>
      <c r="N5" s="315"/>
      <c r="O5" s="111"/>
      <c r="P5" s="313" t="str">
        <f>Contagem!A8&amp;" : "&amp;Contagem!F8</f>
        <v xml:space="preserve">Revisor : </v>
      </c>
      <c r="Q5" s="314"/>
      <c r="R5" s="314"/>
      <c r="S5" s="314"/>
      <c r="T5" s="314"/>
      <c r="U5" s="314"/>
      <c r="V5" s="315"/>
      <c r="Z5" s="85"/>
      <c r="AA5" s="302"/>
      <c r="AB5" s="87"/>
      <c r="AC5" s="84"/>
    </row>
    <row r="6" spans="1:29" s="11" customFormat="1" ht="12" customHeight="1" thickBot="1" x14ac:dyDescent="0.25">
      <c r="A6" s="309" t="str">
        <f>"PFB  = "&amp;SUM(T8:T113)</f>
        <v>PFB  = 0</v>
      </c>
      <c r="B6" s="310"/>
      <c r="C6" s="310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1"/>
      <c r="O6" s="77"/>
      <c r="P6" s="306" t="str">
        <f>IF(MIN(V8:V113)&lt;0,"Contagem inadequada para contratação"," ")</f>
        <v xml:space="preserve"> </v>
      </c>
      <c r="Q6" s="307"/>
      <c r="R6" s="307"/>
      <c r="S6" s="307"/>
      <c r="T6" s="307"/>
      <c r="U6" s="307"/>
      <c r="V6" s="308"/>
      <c r="W6" s="94">
        <f>SUM(T8:T113)</f>
        <v>0</v>
      </c>
      <c r="Z6" s="85"/>
      <c r="AA6" s="302"/>
      <c r="AB6" s="87"/>
      <c r="AC6" s="84"/>
    </row>
    <row r="7" spans="1:29" s="18" customFormat="1" ht="12" customHeight="1" thickBot="1" x14ac:dyDescent="0.3">
      <c r="A7" s="304" t="s">
        <v>178</v>
      </c>
      <c r="B7" s="305"/>
      <c r="C7" s="305"/>
      <c r="D7" s="305"/>
      <c r="E7" s="305"/>
      <c r="F7" s="305"/>
      <c r="G7" s="112" t="s">
        <v>22</v>
      </c>
      <c r="H7" s="113" t="s">
        <v>59</v>
      </c>
      <c r="I7" s="114" t="s">
        <v>23</v>
      </c>
      <c r="J7" s="114" t="s">
        <v>24</v>
      </c>
      <c r="K7" s="114" t="s">
        <v>25</v>
      </c>
      <c r="L7" s="114" t="s">
        <v>26</v>
      </c>
      <c r="M7" s="114" t="s">
        <v>27</v>
      </c>
      <c r="N7" s="118" t="s">
        <v>3</v>
      </c>
      <c r="O7" s="117" t="s">
        <v>60</v>
      </c>
      <c r="P7" s="116" t="s">
        <v>132</v>
      </c>
      <c r="Q7" s="194" t="s">
        <v>78</v>
      </c>
      <c r="R7" s="194" t="s">
        <v>133</v>
      </c>
      <c r="S7" s="194" t="s">
        <v>130</v>
      </c>
      <c r="T7" s="194" t="s">
        <v>131</v>
      </c>
      <c r="U7" s="194" t="s">
        <v>134</v>
      </c>
      <c r="V7" s="195" t="s">
        <v>79</v>
      </c>
      <c r="W7" s="8">
        <f>MIN(V8:V113)</f>
        <v>0</v>
      </c>
      <c r="Z7" s="142"/>
      <c r="AA7" s="302"/>
      <c r="AC7" s="84"/>
    </row>
    <row r="8" spans="1:29" ht="12" customHeight="1" x14ac:dyDescent="0.25">
      <c r="A8" s="100"/>
      <c r="B8" s="101"/>
      <c r="C8" s="101"/>
      <c r="D8" s="101"/>
      <c r="E8" s="101"/>
      <c r="F8" s="102"/>
      <c r="G8" s="103"/>
      <c r="H8" s="103"/>
      <c r="I8" s="103"/>
      <c r="J8" s="103"/>
      <c r="K8" s="103"/>
      <c r="L8" s="104"/>
      <c r="M8" s="22" t="str">
        <f t="shared" ref="M8:M71" si="0">IF(L8="L","Baixa",IF(L8="A","Média",IF(L8="","","Alta")))</f>
        <v/>
      </c>
      <c r="N8" s="106" t="str">
        <f t="shared" ref="N8:N71" si="1">IF(ISBLANK(G8),"",IF(G8="ALI",IF(L8="L",7,IF(L8="A",10,15)),IF(G8="AIE",IF(L8="L",5,IF(L8="A",7,10)),IF(G8="SE",IF(L8="L",4,IF(L8="A",5,7)),IF(OR(G8="EE",G8="CE"),IF(L8="L",3,IF(L8="A",4,6)))))))</f>
        <v/>
      </c>
      <c r="O8" s="107" t="str">
        <f>IF(H8="I",N8*Contagem!$W$11,IF(H8="E",N8*Contagem!$W$13,IF(H8="A",N8*Contagem!$W$12,IF(H8="T",N8*Contagem!$W$14,""))))</f>
        <v/>
      </c>
      <c r="P8" s="83"/>
      <c r="Q8" s="196"/>
      <c r="R8" s="197"/>
      <c r="S8" s="198"/>
      <c r="T8" s="105" t="str">
        <f t="shared" ref="T8:T27" si="2">IF(ISNUMBER(R8),R8*S8,"")</f>
        <v/>
      </c>
      <c r="U8" s="105" t="str">
        <f>IF(X8="PE",0,IF(W8=0,U7,IF(ISNUMBER(W8),IF(ISNUMBER(U7),T8+U7,T8)," ")))</f>
        <v xml:space="preserve"> </v>
      </c>
      <c r="V8" s="106" t="str">
        <f t="shared" ref="V8:V28" si="3">IF(ISNUMBER(W8),IF(X8="PE",0.3*N8,IF(X8="S",ROUND((IF(ISNUMBER(V7),V7,0))-T8,2),IF(ISNUMBER(V7),V7,0)))," ")</f>
        <v xml:space="preserve"> </v>
      </c>
      <c r="W8" s="92" t="str">
        <f t="shared" ref="W8:W71" si="4">IF(ISNUMBER(N8),0,IF(ISNUMBER(T8),IF(X8="S",T8,0)," "))</f>
        <v xml:space="preserve"> </v>
      </c>
      <c r="X8" s="91" t="str">
        <f>IF(ISNUMBER(N8),"PE",IF(ISNA(VLOOKUP(Q8,'INM - Regras'!$D$24:$F$37,3)),"",VLOOKUP(Q8,'INM - Regras'!$D$24:$F$37,3)))</f>
        <v/>
      </c>
      <c r="Y8" s="91"/>
      <c r="Z8" s="90"/>
      <c r="AA8" s="302"/>
      <c r="AC8" s="84"/>
    </row>
    <row r="9" spans="1:29" ht="12" customHeight="1" x14ac:dyDescent="0.25">
      <c r="A9" s="74"/>
      <c r="B9" s="75" t="s">
        <v>76</v>
      </c>
      <c r="C9" s="75"/>
      <c r="D9" s="75"/>
      <c r="E9" s="75"/>
      <c r="F9" s="76"/>
      <c r="G9" s="20"/>
      <c r="H9" s="20"/>
      <c r="I9" s="20"/>
      <c r="J9" s="20"/>
      <c r="K9" s="20" t="str">
        <f t="shared" ref="K9:K71" si="5">CONCATENATE(G9,L9)</f>
        <v/>
      </c>
      <c r="L9" s="21" t="str">
        <f t="shared" ref="L9:L71" si="6">IF(OR(ISBLANK(I9),ISBLANK(J9)),IF(OR(G9="ALI",G9="AIE"),"L",IF(ISBLANK(G9),"","A")),IF(G9="EE",IF(J9&gt;=3,IF(I9&gt;=5,"H","A"),IF(J9&gt;=2,IF(I9&gt;=16,"H",IF(I9&lt;=4,"L","A")),IF(I9&lt;=15,"L","A"))),IF(OR(G9="SE",G9="CE"),IF(J9&gt;=4,IF(I9&gt;=6,"H","A"),IF(J9&gt;=2,IF(I9&gt;=20,"H",IF(I9&lt;=5,"L","A")),IF(I9&lt;=19,"L","A"))),IF(OR(G9="ALI",G9="AIE"),IF(J9&gt;=6,IF(I9&gt;=20,"H","A"),IF(J9&gt;=2,IF(I9&gt;=51,"H",IF(I9&lt;=19,"L","A")),IF(I9&lt;=50,"L","A")))))))</f>
        <v/>
      </c>
      <c r="M9" s="22" t="str">
        <f t="shared" si="0"/>
        <v/>
      </c>
      <c r="N9" s="23" t="str">
        <f t="shared" si="1"/>
        <v/>
      </c>
      <c r="O9" s="24" t="str">
        <f>IF(H9="I",N9*Contagem!$W$11,IF(H9="E",N9*Contagem!$W$13,IF(H9="A",N9*Contagem!$W$12,IF(H9="T",N9*Contagem!$W$14,""))))</f>
        <v/>
      </c>
      <c r="P9" s="82"/>
      <c r="Q9" s="196"/>
      <c r="R9" s="197"/>
      <c r="S9" s="198"/>
      <c r="T9" s="105" t="str">
        <f t="shared" ref="T9:T72" si="7">IF(ISNUMBER(R9),R9*S9,"")</f>
        <v/>
      </c>
      <c r="U9" s="105" t="str">
        <f t="shared" ref="U9:U72" si="8">IF(X9="PE",0,IF(W9=0,U8,IF(ISNUMBER(W9),IF(ISNUMBER(U8),T9+U8,T9)," ")))</f>
        <v xml:space="preserve"> </v>
      </c>
      <c r="V9" s="106" t="str">
        <f t="shared" ref="V9:V72" si="9">IF(ISNUMBER(W9),IF(X9="PE",0.3*N9,IF(X9="S",ROUND((IF(ISNUMBER(V8),V8,0))-T9,2),IF(ISNUMBER(V8),V8,0)))," ")</f>
        <v xml:space="preserve"> </v>
      </c>
      <c r="W9" s="92" t="str">
        <f t="shared" si="4"/>
        <v xml:space="preserve"> </v>
      </c>
      <c r="X9" s="91" t="str">
        <f>IF(ISNUMBER(N9),"PE",IF(ISNA(VLOOKUP(Q9,'INM - Regras'!$D$24:$F$37,3)),"",VLOOKUP(Q9,'INM - Regras'!$D$24:$F$37,3)))</f>
        <v/>
      </c>
      <c r="Y9" s="91"/>
      <c r="Z9" s="90"/>
      <c r="AA9" s="302"/>
      <c r="AC9" s="84"/>
    </row>
    <row r="10" spans="1:29" ht="12" customHeight="1" x14ac:dyDescent="0.25">
      <c r="A10" s="74"/>
      <c r="B10" s="75"/>
      <c r="C10" s="75"/>
      <c r="D10" s="75"/>
      <c r="E10" s="75"/>
      <c r="F10" s="76"/>
      <c r="G10" s="20"/>
      <c r="H10" s="20"/>
      <c r="I10" s="20"/>
      <c r="J10" s="20"/>
      <c r="K10" s="20" t="str">
        <f t="shared" si="5"/>
        <v/>
      </c>
      <c r="L10" s="21" t="str">
        <f t="shared" si="6"/>
        <v/>
      </c>
      <c r="M10" s="22" t="str">
        <f t="shared" si="0"/>
        <v/>
      </c>
      <c r="N10" s="23" t="str">
        <f t="shared" si="1"/>
        <v/>
      </c>
      <c r="O10" s="24" t="str">
        <f>IF(H10="I",N10*Contagem!$W$11,IF(H10="E",N10*Contagem!$W$13,IF(H10="A",N10*Contagem!$W$12,IF(H10="T",N10*Contagem!$W$14,""))))</f>
        <v/>
      </c>
      <c r="P10" s="19"/>
      <c r="Q10" s="196"/>
      <c r="R10" s="197"/>
      <c r="S10" s="198"/>
      <c r="T10" s="105" t="str">
        <f t="shared" si="7"/>
        <v/>
      </c>
      <c r="U10" s="105" t="str">
        <f t="shared" si="8"/>
        <v xml:space="preserve"> </v>
      </c>
      <c r="V10" s="106" t="str">
        <f t="shared" si="9"/>
        <v xml:space="preserve"> </v>
      </c>
      <c r="W10" s="92" t="str">
        <f t="shared" si="4"/>
        <v xml:space="preserve"> </v>
      </c>
      <c r="X10" s="91" t="str">
        <f>IF(ISNUMBER(N10),"PE",IF(ISNA(VLOOKUP(Q10,'INM - Regras'!$D$24:$F$37,3)),"",VLOOKUP(Q10,'INM - Regras'!$D$24:$F$37,3)))</f>
        <v/>
      </c>
      <c r="Y10" s="91"/>
      <c r="Z10" s="90"/>
      <c r="AA10" s="302"/>
      <c r="AC10" s="84"/>
    </row>
    <row r="11" spans="1:29" ht="12" customHeight="1" x14ac:dyDescent="0.25">
      <c r="A11" s="74"/>
      <c r="B11" s="75"/>
      <c r="C11" s="75"/>
      <c r="D11" s="75"/>
      <c r="E11" s="75"/>
      <c r="F11" s="76"/>
      <c r="G11" s="20"/>
      <c r="H11" s="20"/>
      <c r="I11" s="20"/>
      <c r="J11" s="20"/>
      <c r="K11" s="20" t="str">
        <f t="shared" si="5"/>
        <v/>
      </c>
      <c r="L11" s="21" t="str">
        <f t="shared" si="6"/>
        <v/>
      </c>
      <c r="M11" s="22" t="str">
        <f t="shared" si="0"/>
        <v/>
      </c>
      <c r="N11" s="23" t="str">
        <f t="shared" si="1"/>
        <v/>
      </c>
      <c r="O11" s="24" t="str">
        <f>IF(H11="I",N11*Contagem!$W$11,IF(H11="E",N11*Contagem!$W$13,IF(H11="A",N11*Contagem!$W$12,IF(H11="T",N11*Contagem!$W$14,""))))</f>
        <v/>
      </c>
      <c r="P11" s="19"/>
      <c r="Q11" s="196"/>
      <c r="R11" s="197"/>
      <c r="S11" s="198"/>
      <c r="T11" s="105" t="str">
        <f t="shared" si="7"/>
        <v/>
      </c>
      <c r="U11" s="105" t="str">
        <f t="shared" si="8"/>
        <v xml:space="preserve"> </v>
      </c>
      <c r="V11" s="106" t="str">
        <f t="shared" si="9"/>
        <v xml:space="preserve"> </v>
      </c>
      <c r="W11" s="92" t="str">
        <f t="shared" si="4"/>
        <v xml:space="preserve"> </v>
      </c>
      <c r="X11" s="91" t="str">
        <f>IF(ISNUMBER(N11),"PE",IF(ISNA(VLOOKUP(Q11,'INM - Regras'!$D$24:$F$37,3)),"",VLOOKUP(Q11,'INM - Regras'!$D$24:$F$37,3)))</f>
        <v/>
      </c>
      <c r="Y11" s="91"/>
      <c r="Z11" s="90"/>
      <c r="AA11" s="302"/>
      <c r="AC11" s="84"/>
    </row>
    <row r="12" spans="1:29" ht="12" customHeight="1" x14ac:dyDescent="0.25">
      <c r="A12" s="74"/>
      <c r="B12" s="75"/>
      <c r="C12" s="75"/>
      <c r="D12" s="75"/>
      <c r="E12" s="75"/>
      <c r="F12" s="76"/>
      <c r="G12" s="20"/>
      <c r="H12" s="20"/>
      <c r="I12" s="20"/>
      <c r="J12" s="20"/>
      <c r="K12" s="20" t="str">
        <f t="shared" si="5"/>
        <v/>
      </c>
      <c r="L12" s="21" t="str">
        <f t="shared" si="6"/>
        <v/>
      </c>
      <c r="M12" s="22" t="str">
        <f t="shared" si="0"/>
        <v/>
      </c>
      <c r="N12" s="23" t="str">
        <f t="shared" si="1"/>
        <v/>
      </c>
      <c r="O12" s="24" t="str">
        <f>IF(H12="I",N12*Contagem!$W$11,IF(H12="E",N12*Contagem!$W$13,IF(H12="A",N12*Contagem!$W$12,IF(H12="T",N12*Contagem!$W$14,""))))</f>
        <v/>
      </c>
      <c r="P12" s="19"/>
      <c r="Q12" s="196"/>
      <c r="R12" s="197"/>
      <c r="S12" s="198"/>
      <c r="T12" s="105" t="str">
        <f t="shared" si="7"/>
        <v/>
      </c>
      <c r="U12" s="105" t="str">
        <f t="shared" si="8"/>
        <v xml:space="preserve"> </v>
      </c>
      <c r="V12" s="106" t="str">
        <f t="shared" si="9"/>
        <v xml:space="preserve"> </v>
      </c>
      <c r="W12" s="92" t="str">
        <f t="shared" si="4"/>
        <v xml:space="preserve"> </v>
      </c>
      <c r="X12" s="91" t="str">
        <f>IF(ISNUMBER(N12),"PE",IF(ISNA(VLOOKUP(Q12,'INM - Regras'!$D$24:$F$37,3)),"",VLOOKUP(Q12,'INM - Regras'!$D$24:$F$37,3)))</f>
        <v/>
      </c>
      <c r="Y12" s="91"/>
      <c r="Z12" s="90"/>
      <c r="AA12" s="302"/>
      <c r="AC12" s="84"/>
    </row>
    <row r="13" spans="1:29" ht="12" customHeight="1" x14ac:dyDescent="0.25">
      <c r="A13" s="74"/>
      <c r="B13" s="75"/>
      <c r="C13" s="75"/>
      <c r="D13" s="75"/>
      <c r="E13" s="75"/>
      <c r="F13" s="76"/>
      <c r="G13" s="20"/>
      <c r="H13" s="20"/>
      <c r="I13" s="20"/>
      <c r="J13" s="20"/>
      <c r="K13" s="20" t="str">
        <f t="shared" si="5"/>
        <v/>
      </c>
      <c r="L13" s="21" t="str">
        <f t="shared" si="6"/>
        <v/>
      </c>
      <c r="M13" s="22" t="str">
        <f t="shared" si="0"/>
        <v/>
      </c>
      <c r="N13" s="23" t="str">
        <f t="shared" si="1"/>
        <v/>
      </c>
      <c r="O13" s="24" t="str">
        <f>IF(H13="I",N13*Contagem!$W$11,IF(H13="E",N13*Contagem!$W$13,IF(H13="A",N13*Contagem!$W$12,IF(H13="T",N13*Contagem!$W$14,""))))</f>
        <v/>
      </c>
      <c r="Q13" s="196"/>
      <c r="R13" s="197"/>
      <c r="S13" s="198"/>
      <c r="T13" s="105" t="str">
        <f t="shared" si="7"/>
        <v/>
      </c>
      <c r="U13" s="105" t="str">
        <f t="shared" si="8"/>
        <v xml:space="preserve"> </v>
      </c>
      <c r="V13" s="106" t="str">
        <f t="shared" si="9"/>
        <v xml:space="preserve"> </v>
      </c>
      <c r="W13" s="92" t="str">
        <f t="shared" si="4"/>
        <v xml:space="preserve"> </v>
      </c>
      <c r="X13" s="91" t="str">
        <f>IF(ISNUMBER(N13),"PE",IF(ISNA(VLOOKUP(Q13,'INM - Regras'!$D$24:$F$37,3)),"",VLOOKUP(Q13,'INM - Regras'!$D$24:$F$37,3)))</f>
        <v/>
      </c>
      <c r="Y13" s="91"/>
      <c r="Z13" s="90"/>
      <c r="AA13" s="302"/>
      <c r="AC13" s="84"/>
    </row>
    <row r="14" spans="1:29" ht="12" customHeight="1" x14ac:dyDescent="0.25">
      <c r="A14" s="74"/>
      <c r="B14" s="75"/>
      <c r="C14" s="75"/>
      <c r="D14" s="75"/>
      <c r="E14" s="75"/>
      <c r="F14" s="76"/>
      <c r="G14" s="20"/>
      <c r="H14" s="20"/>
      <c r="I14" s="20"/>
      <c r="J14" s="20"/>
      <c r="K14" s="20" t="str">
        <f t="shared" si="5"/>
        <v/>
      </c>
      <c r="L14" s="21" t="str">
        <f t="shared" si="6"/>
        <v/>
      </c>
      <c r="M14" s="22" t="str">
        <f t="shared" si="0"/>
        <v/>
      </c>
      <c r="N14" s="23" t="str">
        <f t="shared" si="1"/>
        <v/>
      </c>
      <c r="O14" s="24" t="str">
        <f>IF(H14="I",N14*Contagem!$W$11,IF(H14="E",N14*Contagem!$W$13,IF(H14="A",N14*Contagem!$W$12,IF(H14="T",N14*Contagem!$W$14,""))))</f>
        <v/>
      </c>
      <c r="P14" s="19"/>
      <c r="Q14" s="196"/>
      <c r="R14" s="197"/>
      <c r="S14" s="198"/>
      <c r="T14" s="105" t="str">
        <f t="shared" si="7"/>
        <v/>
      </c>
      <c r="U14" s="105" t="str">
        <f t="shared" si="8"/>
        <v xml:space="preserve"> </v>
      </c>
      <c r="V14" s="106" t="str">
        <f t="shared" si="9"/>
        <v xml:space="preserve"> </v>
      </c>
      <c r="W14" s="92" t="str">
        <f t="shared" si="4"/>
        <v xml:space="preserve"> </v>
      </c>
      <c r="X14" s="91" t="str">
        <f>IF(ISNUMBER(N14),"PE",IF(ISNA(VLOOKUP(Q14,'INM - Regras'!$D$24:$F$37,3)),"",VLOOKUP(Q14,'INM - Regras'!$D$24:$F$37,3)))</f>
        <v/>
      </c>
      <c r="Y14" s="91"/>
      <c r="Z14" s="90"/>
      <c r="AA14" s="302"/>
      <c r="AC14" s="84"/>
    </row>
    <row r="15" spans="1:29" ht="12" customHeight="1" x14ac:dyDescent="0.25">
      <c r="A15" s="74"/>
      <c r="B15" s="75"/>
      <c r="C15" s="75"/>
      <c r="D15" s="75"/>
      <c r="E15" s="75"/>
      <c r="F15" s="76"/>
      <c r="G15" s="20"/>
      <c r="H15" s="20"/>
      <c r="I15" s="20"/>
      <c r="J15" s="20"/>
      <c r="K15" s="20" t="str">
        <f t="shared" si="5"/>
        <v/>
      </c>
      <c r="L15" s="21" t="str">
        <f t="shared" si="6"/>
        <v/>
      </c>
      <c r="M15" s="22" t="str">
        <f t="shared" si="0"/>
        <v/>
      </c>
      <c r="N15" s="23" t="str">
        <f t="shared" si="1"/>
        <v/>
      </c>
      <c r="O15" s="24" t="str">
        <f>IF(H15="I",N15*Contagem!$W$11,IF(H15="E",N15*Contagem!$W$13,IF(H15="A",N15*Contagem!$W$12,IF(H15="T",N15*Contagem!$W$14,""))))</f>
        <v/>
      </c>
      <c r="P15" s="19"/>
      <c r="Q15" s="196"/>
      <c r="R15" s="197"/>
      <c r="S15" s="198"/>
      <c r="T15" s="105" t="str">
        <f t="shared" si="7"/>
        <v/>
      </c>
      <c r="U15" s="105" t="str">
        <f t="shared" si="8"/>
        <v xml:space="preserve"> </v>
      </c>
      <c r="V15" s="106" t="str">
        <f t="shared" si="9"/>
        <v xml:space="preserve"> </v>
      </c>
      <c r="W15" s="92" t="str">
        <f t="shared" si="4"/>
        <v xml:space="preserve"> </v>
      </c>
      <c r="X15" s="91" t="str">
        <f>IF(ISNUMBER(N15),"PE",IF(ISNA(VLOOKUP(Q15,'INM - Regras'!$D$24:$F$37,3)),"",VLOOKUP(Q15,'INM - Regras'!$D$24:$F$37,3)))</f>
        <v/>
      </c>
      <c r="Y15" s="91"/>
      <c r="Z15" s="90"/>
      <c r="AA15" s="302"/>
      <c r="AC15" s="84"/>
    </row>
    <row r="16" spans="1:29" ht="12" customHeight="1" x14ac:dyDescent="0.25">
      <c r="A16" s="74"/>
      <c r="B16" s="75"/>
      <c r="C16" s="75"/>
      <c r="D16" s="75"/>
      <c r="E16" s="75"/>
      <c r="F16" s="76"/>
      <c r="G16" s="20"/>
      <c r="H16" s="20"/>
      <c r="I16" s="20"/>
      <c r="J16" s="20"/>
      <c r="K16" s="20" t="str">
        <f t="shared" si="5"/>
        <v/>
      </c>
      <c r="L16" s="21" t="str">
        <f t="shared" si="6"/>
        <v/>
      </c>
      <c r="M16" s="22" t="str">
        <f t="shared" si="0"/>
        <v/>
      </c>
      <c r="N16" s="23" t="str">
        <f t="shared" si="1"/>
        <v/>
      </c>
      <c r="O16" s="24" t="str">
        <f>IF(H16="I",N16*Contagem!$W$11,IF(H16="E",N16*Contagem!$W$13,IF(H16="A",N16*Contagem!$W$12,IF(H16="T",N16*Contagem!$W$14,""))))</f>
        <v/>
      </c>
      <c r="P16" s="19"/>
      <c r="Q16" s="196"/>
      <c r="R16" s="197"/>
      <c r="S16" s="198"/>
      <c r="T16" s="105" t="str">
        <f t="shared" si="7"/>
        <v/>
      </c>
      <c r="U16" s="105" t="str">
        <f t="shared" si="8"/>
        <v xml:space="preserve"> </v>
      </c>
      <c r="V16" s="106" t="str">
        <f t="shared" si="9"/>
        <v xml:space="preserve"> </v>
      </c>
      <c r="W16" s="92" t="str">
        <f t="shared" si="4"/>
        <v xml:space="preserve"> </v>
      </c>
      <c r="X16" s="91" t="str">
        <f>IF(ISNUMBER(N16),"PE",IF(ISNA(VLOOKUP(Q16,'INM - Regras'!$D$24:$F$37,3)),"",VLOOKUP(Q16,'INM - Regras'!$D$24:$F$37,3)))</f>
        <v/>
      </c>
      <c r="Y16" s="91"/>
      <c r="Z16" s="90"/>
      <c r="AA16" s="302"/>
      <c r="AC16" s="84"/>
    </row>
    <row r="17" spans="1:29" ht="12" customHeight="1" thickBot="1" x14ac:dyDescent="0.3">
      <c r="A17" s="74"/>
      <c r="B17" s="75"/>
      <c r="C17" s="75"/>
      <c r="D17" s="75"/>
      <c r="E17" s="75"/>
      <c r="F17" s="76"/>
      <c r="G17" s="20"/>
      <c r="H17" s="20"/>
      <c r="I17" s="20"/>
      <c r="J17" s="20"/>
      <c r="K17" s="20" t="str">
        <f t="shared" si="5"/>
        <v/>
      </c>
      <c r="L17" s="21" t="str">
        <f t="shared" si="6"/>
        <v/>
      </c>
      <c r="M17" s="22" t="str">
        <f t="shared" si="0"/>
        <v/>
      </c>
      <c r="N17" s="23" t="str">
        <f t="shared" si="1"/>
        <v/>
      </c>
      <c r="O17" s="24" t="str">
        <f>IF(H17="I",N17*Contagem!$W$11,IF(H17="E",N17*Contagem!$W$13,IF(H17="A",N17*Contagem!$W$12,IF(H17="T",N17*Contagem!$W$14,""))))</f>
        <v/>
      </c>
      <c r="P17" s="19"/>
      <c r="Q17" s="196"/>
      <c r="R17" s="197"/>
      <c r="S17" s="198"/>
      <c r="T17" s="105" t="str">
        <f t="shared" si="7"/>
        <v/>
      </c>
      <c r="U17" s="105" t="str">
        <f t="shared" si="8"/>
        <v xml:space="preserve"> </v>
      </c>
      <c r="V17" s="106" t="str">
        <f t="shared" si="9"/>
        <v xml:space="preserve"> </v>
      </c>
      <c r="W17" s="92" t="str">
        <f t="shared" si="4"/>
        <v xml:space="preserve"> </v>
      </c>
      <c r="X17" s="93" t="str">
        <f>IF(ISNUMBER(N17),"PE",IF(ISNA(VLOOKUP(Q17,'INM - Regras'!$D$24:$F$37,3)),"",VLOOKUP(Q17,'INM - Regras'!$D$24:$F$37,3)))</f>
        <v/>
      </c>
      <c r="Y17" s="93"/>
      <c r="Z17" s="90"/>
      <c r="AA17" s="303"/>
      <c r="AC17" s="84"/>
    </row>
    <row r="18" spans="1:29" ht="12" customHeight="1" thickBot="1" x14ac:dyDescent="0.3">
      <c r="A18" s="74"/>
      <c r="B18" s="75"/>
      <c r="C18" s="75"/>
      <c r="D18" s="75"/>
      <c r="E18" s="75"/>
      <c r="F18" s="76"/>
      <c r="G18" s="20"/>
      <c r="H18" s="20"/>
      <c r="I18" s="20"/>
      <c r="J18" s="20"/>
      <c r="K18" s="20" t="str">
        <f t="shared" si="5"/>
        <v/>
      </c>
      <c r="L18" s="21" t="str">
        <f t="shared" si="6"/>
        <v/>
      </c>
      <c r="M18" s="22" t="str">
        <f t="shared" si="0"/>
        <v/>
      </c>
      <c r="N18" s="23" t="str">
        <f t="shared" si="1"/>
        <v/>
      </c>
      <c r="O18" s="24" t="str">
        <f>IF(H18="I",N18*Contagem!$W$11,IF(H18="E",N18*Contagem!$W$13,IF(H18="A",N18*Contagem!$W$12,IF(H18="T",N18*Contagem!$W$14,""))))</f>
        <v/>
      </c>
      <c r="P18" s="19"/>
      <c r="Q18" s="196"/>
      <c r="R18" s="197" t="str">
        <f>IF(ISNUMBER(N18),0,IF(ISNA(VLOOKUP(Q18,'INM - Regras'!$D$24:$E$37,2)),"",VLOOKUP(Q18,'INM - Regras'!$D$24:$E$37,2)))</f>
        <v/>
      </c>
      <c r="S18" s="198"/>
      <c r="T18" s="105" t="str">
        <f t="shared" si="7"/>
        <v/>
      </c>
      <c r="U18" s="105" t="str">
        <f t="shared" si="8"/>
        <v xml:space="preserve"> </v>
      </c>
      <c r="V18" s="106" t="str">
        <f t="shared" si="9"/>
        <v xml:space="preserve"> </v>
      </c>
      <c r="W18" s="92" t="str">
        <f t="shared" si="4"/>
        <v xml:space="preserve"> </v>
      </c>
      <c r="X18" s="91" t="str">
        <f>IF(ISNUMBER(N18),"PE",IF(ISNA(VLOOKUP(Q18,'INM - Regras'!$D$24:$F$37,3)),"",VLOOKUP(Q18,'INM - Regras'!$D$24:$F$37,3)))</f>
        <v/>
      </c>
      <c r="Y18" s="91"/>
      <c r="Z18" s="90"/>
      <c r="AC18" s="84"/>
    </row>
    <row r="19" spans="1:29" ht="12" customHeight="1" thickBot="1" x14ac:dyDescent="0.3">
      <c r="A19" s="74"/>
      <c r="B19" s="75"/>
      <c r="C19" s="75"/>
      <c r="D19" s="75"/>
      <c r="E19" s="75"/>
      <c r="F19" s="76"/>
      <c r="G19" s="20"/>
      <c r="H19" s="20"/>
      <c r="I19" s="20"/>
      <c r="J19" s="20"/>
      <c r="K19" s="20" t="str">
        <f t="shared" si="5"/>
        <v/>
      </c>
      <c r="L19" s="21" t="str">
        <f t="shared" si="6"/>
        <v/>
      </c>
      <c r="M19" s="22" t="str">
        <f t="shared" si="0"/>
        <v/>
      </c>
      <c r="N19" s="23" t="str">
        <f t="shared" si="1"/>
        <v/>
      </c>
      <c r="O19" s="24" t="str">
        <f>IF(H19="I",N19*Contagem!$W$11,IF(H19="E",N19*Contagem!$W$13,IF(H19="A",N19*Contagem!$W$12,IF(H19="T",N19*Contagem!$W$14,""))))</f>
        <v/>
      </c>
      <c r="P19" s="19"/>
      <c r="Q19" s="196"/>
      <c r="R19" s="197" t="str">
        <f>IF(ISNUMBER(N19),0,IF(ISNA(VLOOKUP(Q19,'INM - Regras'!$D$24:$E$37,2)),"",VLOOKUP(Q19,'INM - Regras'!$D$24:$E$37,2)))</f>
        <v/>
      </c>
      <c r="S19" s="198"/>
      <c r="T19" s="105" t="str">
        <f t="shared" si="7"/>
        <v/>
      </c>
      <c r="U19" s="105" t="str">
        <f t="shared" si="8"/>
        <v xml:space="preserve"> </v>
      </c>
      <c r="V19" s="106" t="str">
        <f t="shared" si="9"/>
        <v xml:space="preserve"> </v>
      </c>
      <c r="W19" s="92" t="str">
        <f t="shared" si="4"/>
        <v xml:space="preserve"> </v>
      </c>
      <c r="X19" s="91" t="str">
        <f>IF(ISNUMBER(N19),"PE",IF(ISNA(VLOOKUP(Q19,'INM - Regras'!$D$24:$F$37,3)),"",VLOOKUP(Q19,'INM - Regras'!$D$24:$F$37,3)))</f>
        <v/>
      </c>
      <c r="Y19" s="91"/>
      <c r="Z19" s="235" t="s">
        <v>123</v>
      </c>
      <c r="AA19" s="235" t="s">
        <v>124</v>
      </c>
      <c r="AB19" s="235" t="s">
        <v>106</v>
      </c>
      <c r="AC19" s="236" t="s">
        <v>125</v>
      </c>
    </row>
    <row r="20" spans="1:29" ht="12" customHeight="1" x14ac:dyDescent="0.25">
      <c r="A20" s="74"/>
      <c r="B20" s="75"/>
      <c r="C20" s="75"/>
      <c r="D20" s="75"/>
      <c r="E20" s="75"/>
      <c r="F20" s="76"/>
      <c r="G20" s="20"/>
      <c r="H20" s="20"/>
      <c r="I20" s="20"/>
      <c r="J20" s="20"/>
      <c r="K20" s="20" t="str">
        <f t="shared" si="5"/>
        <v/>
      </c>
      <c r="L20" s="21" t="str">
        <f t="shared" si="6"/>
        <v/>
      </c>
      <c r="M20" s="22" t="str">
        <f t="shared" si="0"/>
        <v/>
      </c>
      <c r="N20" s="23" t="str">
        <f t="shared" si="1"/>
        <v/>
      </c>
      <c r="O20" s="24" t="str">
        <f>IF(H20="I",N20*Contagem!$W$11,IF(H20="E",N20*Contagem!$W$13,IF(H20="A",N20*Contagem!$W$12,IF(H20="T",N20*Contagem!$W$14,""))))</f>
        <v/>
      </c>
      <c r="P20" s="19"/>
      <c r="Q20" s="196"/>
      <c r="R20" s="197" t="str">
        <f>IF(ISNUMBER(N20),0,IF(ISNA(VLOOKUP(Q20,'INM - Regras'!$D$24:$E$37,2)),"",VLOOKUP(Q20,'INM - Regras'!$D$24:$E$37,2)))</f>
        <v/>
      </c>
      <c r="S20" s="198"/>
      <c r="T20" s="105" t="str">
        <f t="shared" si="7"/>
        <v/>
      </c>
      <c r="U20" s="105" t="str">
        <f t="shared" si="8"/>
        <v xml:space="preserve"> </v>
      </c>
      <c r="V20" s="106" t="str">
        <f t="shared" si="9"/>
        <v xml:space="preserve"> </v>
      </c>
      <c r="W20" s="92" t="str">
        <f t="shared" si="4"/>
        <v xml:space="preserve"> </v>
      </c>
      <c r="X20" s="91" t="str">
        <f>IF(ISNUMBER(N20),"PE",IF(ISNA(VLOOKUP(Q20,'INM - Regras'!$D$24:$F$37,3)),"",VLOOKUP(Q20,'INM - Regras'!$D$24:$F$37,3)))</f>
        <v/>
      </c>
      <c r="Y20" s="91"/>
      <c r="Z20" s="237" t="str">
        <f>'INM - Regras'!C24</f>
        <v>1.1</v>
      </c>
      <c r="AA20" s="238" t="str">
        <f>'INM - Regras'!D24</f>
        <v>1.1 - Mudança de posição de campos em telas, em relatórios, sem que haja alteração em elementos de dados, arquivos referenciados ou informações de controle</v>
      </c>
      <c r="AB20" s="239">
        <f>'INM - Regras'!E24</f>
        <v>0.04</v>
      </c>
      <c r="AC20" s="240" t="str">
        <f>'INM - Regras'!F24</f>
        <v>S</v>
      </c>
    </row>
    <row r="21" spans="1:29" ht="12" customHeight="1" x14ac:dyDescent="0.25">
      <c r="A21" s="74"/>
      <c r="B21" s="75"/>
      <c r="C21" s="75"/>
      <c r="D21" s="75"/>
      <c r="E21" s="75"/>
      <c r="F21" s="76"/>
      <c r="G21" s="20"/>
      <c r="H21" s="20"/>
      <c r="I21" s="20"/>
      <c r="J21" s="20"/>
      <c r="K21" s="20" t="str">
        <f t="shared" si="5"/>
        <v/>
      </c>
      <c r="L21" s="21" t="str">
        <f t="shared" si="6"/>
        <v/>
      </c>
      <c r="M21" s="22" t="str">
        <f t="shared" si="0"/>
        <v/>
      </c>
      <c r="N21" s="23" t="str">
        <f t="shared" si="1"/>
        <v/>
      </c>
      <c r="O21" s="24" t="str">
        <f>IF(H21="I",N21*Contagem!$W$11,IF(H21="E",N21*Contagem!$W$13,IF(H21="A",N21*Contagem!$W$12,IF(H21="T",N21*Contagem!$W$14,""))))</f>
        <v/>
      </c>
      <c r="P21" s="19"/>
      <c r="Q21" s="196"/>
      <c r="R21" s="197" t="str">
        <f>IF(ISNUMBER(N21),0,IF(ISNA(VLOOKUP(Q21,'INM - Regras'!$D$24:$E$37,2)),"",VLOOKUP(Q21,'INM - Regras'!$D$24:$E$37,2)))</f>
        <v/>
      </c>
      <c r="S21" s="198"/>
      <c r="T21" s="105" t="str">
        <f t="shared" si="7"/>
        <v/>
      </c>
      <c r="U21" s="105" t="str">
        <f t="shared" si="8"/>
        <v xml:space="preserve"> </v>
      </c>
      <c r="V21" s="106" t="str">
        <f t="shared" si="9"/>
        <v xml:space="preserve"> </v>
      </c>
      <c r="W21" s="92" t="str">
        <f t="shared" si="4"/>
        <v xml:space="preserve"> </v>
      </c>
      <c r="X21" s="91" t="str">
        <f>IF(ISNUMBER(N21),"PE",IF(ISNA(VLOOKUP(Q21,'INM - Regras'!$D$24:$F$37,3)),"",VLOOKUP(Q21,'INM - Regras'!$D$24:$F$37,3)))</f>
        <v/>
      </c>
      <c r="Y21" s="91"/>
      <c r="Z21" s="241" t="str">
        <f>'INM - Regras'!C25</f>
        <v>1.2</v>
      </c>
      <c r="AA21" s="242" t="str">
        <f>'INM - Regras'!D25</f>
        <v>1.2 - Inclusão, alteração ou exclusão de rótulos/textos/imagem</v>
      </c>
      <c r="AB21" s="243">
        <f>'INM - Regras'!E25</f>
        <v>0.04</v>
      </c>
      <c r="AC21" s="244" t="str">
        <f>'INM - Regras'!F25</f>
        <v>S</v>
      </c>
    </row>
    <row r="22" spans="1:29" ht="12" customHeight="1" x14ac:dyDescent="0.25">
      <c r="A22" s="74"/>
      <c r="B22" s="75"/>
      <c r="C22" s="75"/>
      <c r="D22" s="75"/>
      <c r="E22" s="75"/>
      <c r="F22" s="76"/>
      <c r="G22" s="20"/>
      <c r="H22" s="20"/>
      <c r="I22" s="20"/>
      <c r="J22" s="20"/>
      <c r="K22" s="20" t="str">
        <f t="shared" si="5"/>
        <v/>
      </c>
      <c r="L22" s="21" t="str">
        <f t="shared" si="6"/>
        <v/>
      </c>
      <c r="M22" s="22" t="str">
        <f t="shared" si="0"/>
        <v/>
      </c>
      <c r="N22" s="23" t="str">
        <f t="shared" si="1"/>
        <v/>
      </c>
      <c r="O22" s="24" t="str">
        <f>IF(H22="I",N22*Contagem!$W$11,IF(H22="E",N22*Contagem!$W$13,IF(H22="A",N22*Contagem!$W$12,IF(H22="T",N22*Contagem!$W$14,""))))</f>
        <v/>
      </c>
      <c r="P22" s="19"/>
      <c r="Q22" s="196"/>
      <c r="R22" s="197" t="str">
        <f>IF(ISNUMBER(N22),0,IF(ISNA(VLOOKUP(Q22,'INM - Regras'!$D$24:$E$37,2)),"",VLOOKUP(Q22,'INM - Regras'!$D$24:$E$37,2)))</f>
        <v/>
      </c>
      <c r="S22" s="198"/>
      <c r="T22" s="105" t="str">
        <f t="shared" si="7"/>
        <v/>
      </c>
      <c r="U22" s="105" t="str">
        <f t="shared" si="8"/>
        <v xml:space="preserve"> </v>
      </c>
      <c r="V22" s="106" t="str">
        <f t="shared" si="9"/>
        <v xml:space="preserve"> </v>
      </c>
      <c r="W22" s="92" t="str">
        <f t="shared" si="4"/>
        <v xml:space="preserve"> </v>
      </c>
      <c r="X22" s="91" t="str">
        <f>IF(ISNUMBER(N22),"PE",IF(ISNA(VLOOKUP(Q22,'INM - Regras'!$D$24:$F$37,3)),"",VLOOKUP(Q22,'INM - Regras'!$D$24:$F$37,3)))</f>
        <v/>
      </c>
      <c r="Y22" s="91"/>
      <c r="Z22" s="241" t="str">
        <f>'INM - Regras'!C26</f>
        <v>1.3</v>
      </c>
      <c r="AA22" s="242" t="str">
        <f>'INM - Regras'!D26</f>
        <v>1.3 - Divisão de telas/relatórios, sem mudança na funcionalidade</v>
      </c>
      <c r="AB22" s="243">
        <f>'INM - Regras'!E26</f>
        <v>0.04</v>
      </c>
      <c r="AC22" s="244" t="str">
        <f>'INM - Regras'!F26</f>
        <v>S</v>
      </c>
    </row>
    <row r="23" spans="1:29" ht="12" customHeight="1" x14ac:dyDescent="0.25">
      <c r="A23" s="74"/>
      <c r="B23" s="75"/>
      <c r="C23" s="75"/>
      <c r="D23" s="75"/>
      <c r="E23" s="75"/>
      <c r="F23" s="76"/>
      <c r="G23" s="20"/>
      <c r="H23" s="20"/>
      <c r="I23" s="20"/>
      <c r="J23" s="20"/>
      <c r="K23" s="20" t="str">
        <f t="shared" si="5"/>
        <v/>
      </c>
      <c r="L23" s="21" t="str">
        <f t="shared" si="6"/>
        <v/>
      </c>
      <c r="M23" s="22" t="str">
        <f t="shared" si="0"/>
        <v/>
      </c>
      <c r="N23" s="23" t="str">
        <f t="shared" si="1"/>
        <v/>
      </c>
      <c r="O23" s="24" t="str">
        <f>IF(H23="I",N23*Contagem!$W$11,IF(H23="E",N23*Contagem!$W$13,IF(H23="A",N23*Contagem!$W$12,IF(H23="T",N23*Contagem!$W$14,""))))</f>
        <v/>
      </c>
      <c r="P23" s="19"/>
      <c r="Q23" s="196"/>
      <c r="R23" s="197" t="str">
        <f>IF(ISNUMBER(N23),0,IF(ISNA(VLOOKUP(Q23,'INM - Regras'!$D$24:$E$37,2)),"",VLOOKUP(Q23,'INM - Regras'!$D$24:$E$37,2)))</f>
        <v/>
      </c>
      <c r="S23" s="198"/>
      <c r="T23" s="105" t="str">
        <f t="shared" si="7"/>
        <v/>
      </c>
      <c r="U23" s="105" t="str">
        <f t="shared" si="8"/>
        <v xml:space="preserve"> </v>
      </c>
      <c r="V23" s="106" t="str">
        <f t="shared" si="9"/>
        <v xml:space="preserve"> </v>
      </c>
      <c r="W23" s="92" t="str">
        <f t="shared" si="4"/>
        <v xml:space="preserve"> </v>
      </c>
      <c r="X23" s="91" t="str">
        <f>IF(ISNUMBER(N23),"PE",IF(ISNA(VLOOKUP(Q23,'INM - Regras'!$D$24:$F$37,3)),"",VLOOKUP(Q23,'INM - Regras'!$D$24:$F$37,3)))</f>
        <v/>
      </c>
      <c r="Y23" s="91"/>
      <c r="Z23" s="241" t="str">
        <f>'INM - Regras'!C27</f>
        <v>1.4</v>
      </c>
      <c r="AA23" s="242" t="str">
        <f>'INM - Regras'!D27</f>
        <v>1.4 - Atualização de rótulos (labels) de dados sem que haja mudança de funcionalidade</v>
      </c>
      <c r="AB23" s="243">
        <f>'INM - Regras'!E27</f>
        <v>0.04</v>
      </c>
      <c r="AC23" s="244" t="str">
        <f>'INM - Regras'!F27</f>
        <v>S</v>
      </c>
    </row>
    <row r="24" spans="1:29" ht="12" customHeight="1" x14ac:dyDescent="0.25">
      <c r="A24" s="74"/>
      <c r="B24" s="75"/>
      <c r="C24" s="75"/>
      <c r="D24" s="75"/>
      <c r="E24" s="75"/>
      <c r="F24" s="76"/>
      <c r="G24" s="20"/>
      <c r="H24" s="20"/>
      <c r="I24" s="20"/>
      <c r="J24" s="20"/>
      <c r="K24" s="20" t="str">
        <f t="shared" si="5"/>
        <v/>
      </c>
      <c r="L24" s="21" t="str">
        <f t="shared" si="6"/>
        <v/>
      </c>
      <c r="M24" s="22" t="str">
        <f t="shared" si="0"/>
        <v/>
      </c>
      <c r="N24" s="23" t="str">
        <f t="shared" si="1"/>
        <v/>
      </c>
      <c r="O24" s="24" t="str">
        <f>IF(H24="I",N24*Contagem!$W$11,IF(H24="E",N24*Contagem!$W$13,IF(H24="A",N24*Contagem!$W$12,IF(H24="T",N24*Contagem!$W$14,""))))</f>
        <v/>
      </c>
      <c r="P24" s="19"/>
      <c r="Q24" s="196"/>
      <c r="R24" s="197" t="str">
        <f>IF(ISNUMBER(N24),0,IF(ISNA(VLOOKUP(Q24,'INM - Regras'!$D$24:$E$37,2)),"",VLOOKUP(Q24,'INM - Regras'!$D$24:$E$37,2)))</f>
        <v/>
      </c>
      <c r="S24" s="198"/>
      <c r="T24" s="105" t="str">
        <f t="shared" si="7"/>
        <v/>
      </c>
      <c r="U24" s="105" t="str">
        <f t="shared" si="8"/>
        <v xml:space="preserve"> </v>
      </c>
      <c r="V24" s="106" t="str">
        <f t="shared" si="9"/>
        <v xml:space="preserve"> </v>
      </c>
      <c r="W24" s="92" t="str">
        <f t="shared" si="4"/>
        <v xml:space="preserve"> </v>
      </c>
      <c r="X24" s="91" t="str">
        <f>IF(ISNUMBER(N24),"PE",IF(ISNA(VLOOKUP(Q24,'INM - Regras'!$D$24:$F$37,3)),"",VLOOKUP(Q24,'INM - Regras'!$D$24:$F$37,3)))</f>
        <v/>
      </c>
      <c r="Y24" s="91"/>
      <c r="Z24" s="241" t="str">
        <f>'INM - Regras'!C28</f>
        <v>2.1</v>
      </c>
      <c r="AA24" s="242" t="str">
        <f>'INM - Regras'!D28</f>
        <v>2.1 - Alteração, inclusão e exclusão de valores de parâmetros hard-coded, sem alteração da lógica de processamento</v>
      </c>
      <c r="AB24" s="243">
        <f>'INM - Regras'!E28</f>
        <v>0.01</v>
      </c>
      <c r="AC24" s="244" t="str">
        <f>'INM - Regras'!F28</f>
        <v>S</v>
      </c>
    </row>
    <row r="25" spans="1:29" ht="12" customHeight="1" x14ac:dyDescent="0.25">
      <c r="A25" s="74"/>
      <c r="B25" s="75"/>
      <c r="C25" s="75"/>
      <c r="D25" s="75"/>
      <c r="E25" s="75"/>
      <c r="F25" s="76"/>
      <c r="G25" s="20"/>
      <c r="H25" s="20"/>
      <c r="I25" s="20"/>
      <c r="J25" s="20"/>
      <c r="K25" s="20" t="str">
        <f t="shared" si="5"/>
        <v/>
      </c>
      <c r="L25" s="21" t="str">
        <f t="shared" si="6"/>
        <v/>
      </c>
      <c r="M25" s="22" t="str">
        <f t="shared" si="0"/>
        <v/>
      </c>
      <c r="N25" s="23" t="str">
        <f t="shared" si="1"/>
        <v/>
      </c>
      <c r="O25" s="24" t="str">
        <f>IF(H25="I",N25*Contagem!$W$11,IF(H25="E",N25*Contagem!$W$13,IF(H25="A",N25*Contagem!$W$12,IF(H25="T",N25*Contagem!$W$14,""))))</f>
        <v/>
      </c>
      <c r="P25" s="19"/>
      <c r="Q25" s="196"/>
      <c r="R25" s="197" t="str">
        <f>IF(ISNUMBER(N25),0,IF(ISNA(VLOOKUP(Q25,'INM - Regras'!$D$24:$E$37,2)),"",VLOOKUP(Q25,'INM - Regras'!$D$24:$E$37,2)))</f>
        <v/>
      </c>
      <c r="S25" s="198"/>
      <c r="T25" s="105" t="str">
        <f t="shared" si="7"/>
        <v/>
      </c>
      <c r="U25" s="105" t="str">
        <f t="shared" si="8"/>
        <v xml:space="preserve"> </v>
      </c>
      <c r="V25" s="106" t="str">
        <f t="shared" si="9"/>
        <v xml:space="preserve"> </v>
      </c>
      <c r="W25" s="92" t="str">
        <f t="shared" si="4"/>
        <v xml:space="preserve"> </v>
      </c>
      <c r="X25" s="91" t="str">
        <f>IF(ISNUMBER(N25),"PE",IF(ISNA(VLOOKUP(Q25,'INM - Regras'!$D$24:$F$37,3)),"",VLOOKUP(Q25,'INM - Regras'!$D$24:$F$37,3)))</f>
        <v/>
      </c>
      <c r="Y25" s="91"/>
      <c r="Z25" s="241" t="str">
        <f>'INM - Regras'!C29</f>
        <v>3.1</v>
      </c>
      <c r="AA25" s="242" t="str">
        <f>'INM - Regras'!D29</f>
        <v>3.1 - Alteração, inclusão e exclusão de mensagens de retorno ao usuário, desde que não façam parte de um ALI ou AIE</v>
      </c>
      <c r="AB25" s="243">
        <f>'INM - Regras'!E29</f>
        <v>0.04</v>
      </c>
      <c r="AC25" s="244" t="str">
        <f>'INM - Regras'!F29</f>
        <v>S</v>
      </c>
    </row>
    <row r="26" spans="1:29" ht="12" customHeight="1" x14ac:dyDescent="0.25">
      <c r="A26" s="74"/>
      <c r="B26" s="75"/>
      <c r="C26" s="75"/>
      <c r="D26" s="75"/>
      <c r="E26" s="75"/>
      <c r="F26" s="76"/>
      <c r="G26" s="20"/>
      <c r="H26" s="20"/>
      <c r="I26" s="20"/>
      <c r="J26" s="20"/>
      <c r="K26" s="20" t="str">
        <f t="shared" si="5"/>
        <v/>
      </c>
      <c r="L26" s="21" t="str">
        <f t="shared" si="6"/>
        <v/>
      </c>
      <c r="M26" s="22" t="str">
        <f t="shared" si="0"/>
        <v/>
      </c>
      <c r="N26" s="23" t="str">
        <f t="shared" si="1"/>
        <v/>
      </c>
      <c r="O26" s="24" t="str">
        <f>IF(H26="I",N26*Contagem!$W$11,IF(H26="E",N26*Contagem!$W$13,IF(H26="A",N26*Contagem!$W$12,IF(H26="T",N26*Contagem!$W$14,""))))</f>
        <v/>
      </c>
      <c r="P26" s="19"/>
      <c r="Q26" s="196"/>
      <c r="R26" s="197" t="str">
        <f>IF(ISNUMBER(N26),0,IF(ISNA(VLOOKUP(Q26,'INM - Regras'!$D$24:$E$37,2)),"",VLOOKUP(Q26,'INM - Regras'!$D$24:$E$37,2)))</f>
        <v/>
      </c>
      <c r="S26" s="198"/>
      <c r="T26" s="105" t="str">
        <f t="shared" si="7"/>
        <v/>
      </c>
      <c r="U26" s="105" t="str">
        <f t="shared" si="8"/>
        <v xml:space="preserve"> </v>
      </c>
      <c r="V26" s="106" t="str">
        <f t="shared" si="9"/>
        <v xml:space="preserve"> </v>
      </c>
      <c r="W26" s="92" t="str">
        <f t="shared" si="4"/>
        <v xml:space="preserve"> </v>
      </c>
      <c r="X26" s="91" t="str">
        <f>IF(ISNUMBER(N26),"PE",IF(ISNA(VLOOKUP(Q26,'INM - Regras'!$D$24:$F$37,3)),"",VLOOKUP(Q26,'INM - Regras'!$D$24:$F$37,3)))</f>
        <v/>
      </c>
      <c r="Y26" s="91"/>
      <c r="Z26" s="245" t="str">
        <f>'INM - Regras'!C30</f>
        <v>4.1</v>
      </c>
      <c r="AA26" s="246" t="str">
        <f>'INM - Regras'!D30</f>
        <v>4.1 - Criação ou alteração de páginas estáticas</v>
      </c>
      <c r="AB26" s="247">
        <f>'INM - Regras'!E30</f>
        <v>0.5</v>
      </c>
      <c r="AC26" s="248" t="str">
        <f>'INM - Regras'!F30</f>
        <v>N</v>
      </c>
    </row>
    <row r="27" spans="1:29" ht="12" customHeight="1" x14ac:dyDescent="0.25">
      <c r="A27" s="74"/>
      <c r="B27" s="75"/>
      <c r="C27" s="75"/>
      <c r="D27" s="75"/>
      <c r="E27" s="75"/>
      <c r="F27" s="76"/>
      <c r="G27" s="20"/>
      <c r="H27" s="20"/>
      <c r="I27" s="20"/>
      <c r="J27" s="20"/>
      <c r="K27" s="20" t="str">
        <f t="shared" si="5"/>
        <v/>
      </c>
      <c r="L27" s="21" t="str">
        <f t="shared" si="6"/>
        <v/>
      </c>
      <c r="M27" s="22" t="str">
        <f t="shared" si="0"/>
        <v/>
      </c>
      <c r="N27" s="23" t="str">
        <f t="shared" si="1"/>
        <v/>
      </c>
      <c r="O27" s="24" t="str">
        <f>IF(H27="I",N27*Contagem!$W$11,IF(H27="E",N27*Contagem!$W$13,IF(H27="A",N27*Contagem!$W$12,IF(H27="T",N27*Contagem!$W$14,""))))</f>
        <v/>
      </c>
      <c r="P27" s="19"/>
      <c r="Q27" s="196"/>
      <c r="R27" s="197" t="str">
        <f>IF(ISNUMBER(N27),0,IF(ISNA(VLOOKUP(Q27,'INM - Regras'!$D$24:$E$37,2)),"",VLOOKUP(Q27,'INM - Regras'!$D$24:$E$37,2)))</f>
        <v/>
      </c>
      <c r="S27" s="198"/>
      <c r="T27" s="105" t="str">
        <f t="shared" si="7"/>
        <v/>
      </c>
      <c r="U27" s="105" t="str">
        <f t="shared" si="8"/>
        <v xml:space="preserve"> </v>
      </c>
      <c r="V27" s="106" t="str">
        <f t="shared" si="9"/>
        <v xml:space="preserve"> </v>
      </c>
      <c r="W27" s="92" t="str">
        <f t="shared" si="4"/>
        <v xml:space="preserve"> </v>
      </c>
      <c r="X27" s="91" t="str">
        <f>IF(ISNUMBER(N27),"PE",IF(ISNA(VLOOKUP(Q27,'INM - Regras'!$D$24:$F$37,3)),"",VLOOKUP(Q27,'INM - Regras'!$D$24:$F$37,3)))</f>
        <v/>
      </c>
      <c r="Y27" s="91"/>
      <c r="Z27" s="245" t="str">
        <f>'INM - Regras'!C31</f>
        <v>4.2</v>
      </c>
      <c r="AA27" s="246" t="str">
        <f>'INM - Regras'!D31</f>
        <v>4.2 - Exclusão de páginas estáticas</v>
      </c>
      <c r="AB27" s="247">
        <f>'INM - Regras'!E31</f>
        <v>0.1</v>
      </c>
      <c r="AC27" s="248" t="str">
        <f>'INM - Regras'!F31</f>
        <v>N</v>
      </c>
    </row>
    <row r="28" spans="1:29" ht="12" customHeight="1" x14ac:dyDescent="0.25">
      <c r="A28" s="74"/>
      <c r="B28" s="75"/>
      <c r="C28" s="75"/>
      <c r="D28" s="75"/>
      <c r="E28" s="75"/>
      <c r="F28" s="76"/>
      <c r="G28" s="20"/>
      <c r="H28" s="20"/>
      <c r="I28" s="20"/>
      <c r="J28" s="20"/>
      <c r="K28" s="20" t="str">
        <f t="shared" si="5"/>
        <v/>
      </c>
      <c r="L28" s="21" t="str">
        <f t="shared" si="6"/>
        <v/>
      </c>
      <c r="M28" s="22" t="str">
        <f t="shared" si="0"/>
        <v/>
      </c>
      <c r="N28" s="23" t="str">
        <f t="shared" si="1"/>
        <v/>
      </c>
      <c r="O28" s="24" t="str">
        <f>IF(H28="I",N28*Contagem!$W$11,IF(H28="E",N28*Contagem!$W$13,IF(H28="A",N28*Contagem!$W$12,IF(H28="T",N28*Contagem!$W$14,""))))</f>
        <v/>
      </c>
      <c r="P28" s="19"/>
      <c r="Q28" s="196"/>
      <c r="R28" s="197" t="str">
        <f>IF(ISNUMBER(N28),0,IF(ISNA(VLOOKUP(Q28,'INM - Regras'!$D$24:$E$37,2)),"",VLOOKUP(Q28,'INM - Regras'!$D$24:$E$37,2)))</f>
        <v/>
      </c>
      <c r="S28" s="198"/>
      <c r="T28" s="105" t="str">
        <f t="shared" si="7"/>
        <v/>
      </c>
      <c r="U28" s="105" t="str">
        <f t="shared" si="8"/>
        <v xml:space="preserve"> </v>
      </c>
      <c r="V28" s="106" t="str">
        <f t="shared" si="9"/>
        <v xml:space="preserve"> </v>
      </c>
      <c r="W28" s="92" t="str">
        <f t="shared" si="4"/>
        <v xml:space="preserve"> </v>
      </c>
      <c r="X28" s="91" t="str">
        <f>IF(ISNUMBER(N28),"PE",IF(ISNA(VLOOKUP(Q28,'INM - Regras'!$D$24:$F$37,3)),"",VLOOKUP(Q28,'INM - Regras'!$D$24:$F$37,3)))</f>
        <v/>
      </c>
      <c r="Y28" s="91"/>
      <c r="Z28" s="241" t="str">
        <f>'INM - Regras'!C32</f>
        <v>5.1</v>
      </c>
      <c r="AA28" s="242" t="str">
        <f>'INM - Regras'!D32</f>
        <v>5.1 - Parâmetros de processamento - contempla a necessidade de alteração dos valores dos parâmetros, sem que a lógica de processamento tenha sido alterada. (Exemplo: ajustar filtro para recuperar dados entre 0 e 50 ao invés de valores entre 10 e 50)</v>
      </c>
      <c r="AB28" s="243">
        <f>'INM - Regras'!E32</f>
        <v>0.01</v>
      </c>
      <c r="AC28" s="244" t="str">
        <f>'INM - Regras'!F32</f>
        <v>S</v>
      </c>
    </row>
    <row r="29" spans="1:29" ht="12" customHeight="1" x14ac:dyDescent="0.25">
      <c r="A29" s="74"/>
      <c r="B29" s="75"/>
      <c r="C29" s="75"/>
      <c r="D29" s="75"/>
      <c r="E29" s="75"/>
      <c r="F29" s="76"/>
      <c r="G29" s="20"/>
      <c r="H29" s="20"/>
      <c r="I29" s="20"/>
      <c r="J29" s="20"/>
      <c r="K29" s="20" t="str">
        <f t="shared" si="5"/>
        <v/>
      </c>
      <c r="L29" s="21" t="str">
        <f t="shared" si="6"/>
        <v/>
      </c>
      <c r="M29" s="22" t="str">
        <f t="shared" si="0"/>
        <v/>
      </c>
      <c r="N29" s="23" t="str">
        <f t="shared" si="1"/>
        <v/>
      </c>
      <c r="O29" s="24" t="str">
        <f>IF(H29="I",N29*Contagem!$W$11,IF(H29="E",N29*Contagem!$W$13,IF(H29="A",N29*Contagem!$W$12,IF(H29="T",N29*Contagem!$W$14,""))))</f>
        <v/>
      </c>
      <c r="P29" s="19"/>
      <c r="Q29" s="196"/>
      <c r="R29" s="197" t="str">
        <f>IF(ISNUMBER(N29),0,IF(ISNA(VLOOKUP(Q29,'INM - Regras'!$D$24:$E$37,2)),"",VLOOKUP(Q29,'INM - Regras'!$D$24:$E$37,2)))</f>
        <v/>
      </c>
      <c r="S29" s="198"/>
      <c r="T29" s="105" t="str">
        <f t="shared" si="7"/>
        <v/>
      </c>
      <c r="U29" s="105" t="str">
        <f t="shared" si="8"/>
        <v xml:space="preserve"> </v>
      </c>
      <c r="V29" s="106" t="str">
        <f t="shared" si="9"/>
        <v xml:space="preserve"> </v>
      </c>
      <c r="W29" s="92" t="str">
        <f t="shared" si="4"/>
        <v xml:space="preserve"> </v>
      </c>
      <c r="X29" s="91" t="str">
        <f>IF(ISNUMBER(N29),"PE",IF(ISNA(VLOOKUP(Q29,'INM - Regras'!$D$24:$F$37,3)),"",VLOOKUP(Q29,'INM - Regras'!$D$24:$F$37,3)))</f>
        <v/>
      </c>
      <c r="Y29" s="91"/>
      <c r="Z29" s="245" t="str">
        <f>'INM - Regras'!C33</f>
        <v>6.1</v>
      </c>
      <c r="AA29" s="246" t="str">
        <f>'INM - Regras'!D33</f>
        <v>6.1 - Inclusão de tabela e funcionalidades</v>
      </c>
      <c r="AB29" s="247">
        <f>'INM - Regras'!E33</f>
        <v>2.7</v>
      </c>
      <c r="AC29" s="248" t="str">
        <f>'INM - Regras'!F33</f>
        <v>N</v>
      </c>
    </row>
    <row r="30" spans="1:29" ht="12" customHeight="1" x14ac:dyDescent="0.25">
      <c r="A30" s="74"/>
      <c r="B30" s="75"/>
      <c r="C30" s="75"/>
      <c r="D30" s="75"/>
      <c r="E30" s="75"/>
      <c r="F30" s="76"/>
      <c r="G30" s="20"/>
      <c r="H30" s="20"/>
      <c r="I30" s="20"/>
      <c r="J30" s="20"/>
      <c r="K30" s="20" t="str">
        <f t="shared" si="5"/>
        <v/>
      </c>
      <c r="L30" s="21" t="str">
        <f t="shared" si="6"/>
        <v/>
      </c>
      <c r="M30" s="22" t="str">
        <f t="shared" si="0"/>
        <v/>
      </c>
      <c r="N30" s="23" t="str">
        <f t="shared" si="1"/>
        <v/>
      </c>
      <c r="O30" s="24" t="str">
        <f>IF(H30="I",N30*Contagem!$W$11,IF(H30="E",N30*Contagem!$W$13,IF(H30="A",N30*Contagem!$W$12,IF(H30="T",N30*Contagem!$W$14,""))))</f>
        <v/>
      </c>
      <c r="P30" s="19"/>
      <c r="Q30" s="196"/>
      <c r="R30" s="197" t="str">
        <f>IF(ISNUMBER(N30),0,IF(ISNA(VLOOKUP(Q30,'INM - Regras'!$D$24:$E$37,2)),"",VLOOKUP(Q30,'INM - Regras'!$D$24:$E$37,2)))</f>
        <v/>
      </c>
      <c r="S30" s="198"/>
      <c r="T30" s="105" t="str">
        <f t="shared" si="7"/>
        <v/>
      </c>
      <c r="U30" s="105" t="str">
        <f t="shared" si="8"/>
        <v xml:space="preserve"> </v>
      </c>
      <c r="V30" s="106" t="str">
        <f t="shared" si="9"/>
        <v xml:space="preserve"> </v>
      </c>
      <c r="W30" s="92" t="str">
        <f t="shared" si="4"/>
        <v xml:space="preserve"> </v>
      </c>
      <c r="X30" s="91" t="str">
        <f>IF(ISNUMBER(N30),"PE",IF(ISNA(VLOOKUP(Q30,'INM - Regras'!$D$24:$F$37,3)),"",VLOOKUP(Q30,'INM - Regras'!$D$24:$F$37,3)))</f>
        <v/>
      </c>
      <c r="Y30" s="91"/>
      <c r="Z30" s="245" t="str">
        <f>'INM - Regras'!C34</f>
        <v>6.2</v>
      </c>
      <c r="AA30" s="246" t="str">
        <f>'INM - Regras'!D34</f>
        <v>6.2 - Alteração da tabela e funcionalidades</v>
      </c>
      <c r="AB30" s="247">
        <f>'INM - Regras'!E34</f>
        <v>1.3</v>
      </c>
      <c r="AC30" s="248" t="str">
        <f>'INM - Regras'!F34</f>
        <v>N</v>
      </c>
    </row>
    <row r="31" spans="1:29" ht="12" customHeight="1" x14ac:dyDescent="0.25">
      <c r="A31" s="74"/>
      <c r="B31" s="75"/>
      <c r="C31" s="75"/>
      <c r="D31" s="75"/>
      <c r="E31" s="75"/>
      <c r="F31" s="76"/>
      <c r="G31" s="20"/>
      <c r="H31" s="20"/>
      <c r="I31" s="20"/>
      <c r="J31" s="20"/>
      <c r="K31" s="20" t="str">
        <f t="shared" si="5"/>
        <v/>
      </c>
      <c r="L31" s="21" t="str">
        <f t="shared" si="6"/>
        <v/>
      </c>
      <c r="M31" s="22" t="str">
        <f t="shared" si="0"/>
        <v/>
      </c>
      <c r="N31" s="23" t="str">
        <f t="shared" si="1"/>
        <v/>
      </c>
      <c r="O31" s="24" t="str">
        <f>IF(H31="I",N31*Contagem!$W$11,IF(H31="E",N31*Contagem!$W$13,IF(H31="A",N31*Contagem!$W$12,IF(H31="T",N31*Contagem!$W$14,""))))</f>
        <v/>
      </c>
      <c r="P31" s="19"/>
      <c r="Q31" s="196"/>
      <c r="R31" s="197" t="str">
        <f>IF(ISNUMBER(N31),0,IF(ISNA(VLOOKUP(Q31,'INM - Regras'!$D$24:$E$37,2)),"",VLOOKUP(Q31,'INM - Regras'!$D$24:$E$37,2)))</f>
        <v/>
      </c>
      <c r="S31" s="198"/>
      <c r="T31" s="105" t="str">
        <f t="shared" si="7"/>
        <v/>
      </c>
      <c r="U31" s="105" t="str">
        <f t="shared" si="8"/>
        <v xml:space="preserve"> </v>
      </c>
      <c r="V31" s="106" t="str">
        <f t="shared" si="9"/>
        <v xml:space="preserve"> </v>
      </c>
      <c r="W31" s="92" t="str">
        <f t="shared" si="4"/>
        <v xml:space="preserve"> </v>
      </c>
      <c r="X31" s="91" t="str">
        <f>IF(ISNUMBER(N31),"PE",IF(ISNA(VLOOKUP(Q31,'INM - Regras'!$D$24:$F$37,3)),"",VLOOKUP(Q31,'INM - Regras'!$D$24:$F$37,3)))</f>
        <v/>
      </c>
      <c r="Y31" s="91"/>
      <c r="Z31" s="245" t="str">
        <f>'INM - Regras'!C35</f>
        <v>6.3</v>
      </c>
      <c r="AA31" s="246" t="str">
        <f>'INM - Regras'!D35</f>
        <v>6.3 - Excluir tabela e funcionalidades</v>
      </c>
      <c r="AB31" s="247">
        <f>'INM - Regras'!E35</f>
        <v>0.6</v>
      </c>
      <c r="AC31" s="248" t="str">
        <f>'INM - Regras'!F35</f>
        <v>N</v>
      </c>
    </row>
    <row r="32" spans="1:29" ht="12" customHeight="1" x14ac:dyDescent="0.25">
      <c r="A32" s="74"/>
      <c r="B32" s="75"/>
      <c r="C32" s="75"/>
      <c r="D32" s="75"/>
      <c r="E32" s="75"/>
      <c r="F32" s="76"/>
      <c r="G32" s="20"/>
      <c r="H32" s="20"/>
      <c r="I32" s="20"/>
      <c r="J32" s="20"/>
      <c r="K32" s="20" t="str">
        <f t="shared" si="5"/>
        <v/>
      </c>
      <c r="L32" s="21" t="str">
        <f t="shared" si="6"/>
        <v/>
      </c>
      <c r="M32" s="22" t="str">
        <f t="shared" si="0"/>
        <v/>
      </c>
      <c r="N32" s="23" t="str">
        <f t="shared" si="1"/>
        <v/>
      </c>
      <c r="O32" s="24" t="str">
        <f>IF(H32="I",N32*Contagem!$W$11,IF(H32="E",N32*Contagem!$W$13,IF(H32="A",N32*Contagem!$W$12,IF(H32="T",N32*Contagem!$W$14,""))))</f>
        <v/>
      </c>
      <c r="P32" s="19"/>
      <c r="Q32" s="196"/>
      <c r="R32" s="197" t="str">
        <f>IF(ISNUMBER(N32),0,IF(ISNA(VLOOKUP(Q32,'INM - Regras'!$D$24:$E$37,2)),"",VLOOKUP(Q32,'INM - Regras'!$D$24:$E$37,2)))</f>
        <v/>
      </c>
      <c r="S32" s="198"/>
      <c r="T32" s="105" t="str">
        <f t="shared" si="7"/>
        <v/>
      </c>
      <c r="U32" s="105" t="str">
        <f t="shared" si="8"/>
        <v xml:space="preserve"> </v>
      </c>
      <c r="V32" s="106" t="str">
        <f t="shared" si="9"/>
        <v xml:space="preserve"> </v>
      </c>
      <c r="W32" s="92" t="str">
        <f t="shared" si="4"/>
        <v xml:space="preserve"> </v>
      </c>
      <c r="X32" s="91" t="str">
        <f>IF(ISNUMBER(N32),"PE",IF(ISNA(VLOOKUP(Q32,'INM - Regras'!$D$24:$F$37,3)),"",VLOOKUP(Q32,'INM - Regras'!$D$24:$F$37,3)))</f>
        <v/>
      </c>
      <c r="Y32" s="91"/>
      <c r="Z32" s="245" t="str">
        <f>'INM - Regras'!C36</f>
        <v>6.4</v>
      </c>
      <c r="AA32" s="246" t="str">
        <f>'INM - Regras'!D36</f>
        <v>6.4 - Inclusão / Alteração / Exclusão de funcionalidade</v>
      </c>
      <c r="AB32" s="247">
        <f>'INM - Regras'!E36</f>
        <v>0.3</v>
      </c>
      <c r="AC32" s="248" t="str">
        <f>'INM - Regras'!F36</f>
        <v>N</v>
      </c>
    </row>
    <row r="33" spans="1:29" ht="12" customHeight="1" thickBot="1" x14ac:dyDescent="0.3">
      <c r="A33" s="74"/>
      <c r="B33" s="75"/>
      <c r="C33" s="75"/>
      <c r="D33" s="75"/>
      <c r="E33" s="75"/>
      <c r="F33" s="76"/>
      <c r="G33" s="20"/>
      <c r="H33" s="20"/>
      <c r="I33" s="20"/>
      <c r="J33" s="20"/>
      <c r="K33" s="20" t="str">
        <f t="shared" si="5"/>
        <v/>
      </c>
      <c r="L33" s="21" t="str">
        <f t="shared" si="6"/>
        <v/>
      </c>
      <c r="M33" s="22" t="str">
        <f t="shared" si="0"/>
        <v/>
      </c>
      <c r="N33" s="23" t="str">
        <f t="shared" si="1"/>
        <v/>
      </c>
      <c r="O33" s="24" t="str">
        <f>IF(H33="I",N33*Contagem!$W$11,IF(H33="E",N33*Contagem!$W$13,IF(H33="A",N33*Contagem!$W$12,IF(H33="T",N33*Contagem!$W$14,""))))</f>
        <v/>
      </c>
      <c r="P33" s="19"/>
      <c r="Q33" s="196"/>
      <c r="R33" s="197" t="str">
        <f>IF(ISNUMBER(N33),0,IF(ISNA(VLOOKUP(Q33,'INM - Regras'!$D$24:$E$37,2)),"",VLOOKUP(Q33,'INM - Regras'!$D$24:$E$37,2)))</f>
        <v/>
      </c>
      <c r="S33" s="198"/>
      <c r="T33" s="105" t="str">
        <f t="shared" si="7"/>
        <v/>
      </c>
      <c r="U33" s="105" t="str">
        <f t="shared" si="8"/>
        <v xml:space="preserve"> </v>
      </c>
      <c r="V33" s="106" t="str">
        <f t="shared" si="9"/>
        <v xml:space="preserve"> </v>
      </c>
      <c r="W33" s="92" t="str">
        <f t="shared" si="4"/>
        <v xml:space="preserve"> </v>
      </c>
      <c r="X33" s="91" t="str">
        <f>IF(ISNUMBER(N33),"PE",IF(ISNA(VLOOKUP(Q33,'INM - Regras'!$D$24:$F$37,3)),"",VLOOKUP(Q33,'INM - Regras'!$D$24:$F$37,3)))</f>
        <v/>
      </c>
      <c r="Y33" s="91"/>
      <c r="Z33" s="249" t="str">
        <f>'INM - Regras'!C37</f>
        <v>7.1</v>
      </c>
      <c r="AA33" s="250" t="str">
        <f>'INM - Regras'!D37</f>
        <v>7.1 - Adição, alteração ou exclusão de críticas em campos de tela que não envolvam acesso a banco de dados</v>
      </c>
      <c r="AB33" s="251">
        <f>'INM - Regras'!E37</f>
        <v>0.01</v>
      </c>
      <c r="AC33" s="252" t="str">
        <f>'INM - Regras'!F37</f>
        <v>S</v>
      </c>
    </row>
    <row r="34" spans="1:29" ht="12" customHeight="1" x14ac:dyDescent="0.25">
      <c r="A34" s="74"/>
      <c r="B34" s="75"/>
      <c r="C34" s="75"/>
      <c r="D34" s="75"/>
      <c r="E34" s="75"/>
      <c r="F34" s="76"/>
      <c r="G34" s="20"/>
      <c r="H34" s="20"/>
      <c r="I34" s="20"/>
      <c r="J34" s="20"/>
      <c r="K34" s="20" t="str">
        <f t="shared" si="5"/>
        <v/>
      </c>
      <c r="L34" s="21" t="str">
        <f t="shared" si="6"/>
        <v/>
      </c>
      <c r="M34" s="22" t="str">
        <f t="shared" si="0"/>
        <v/>
      </c>
      <c r="N34" s="23" t="str">
        <f t="shared" si="1"/>
        <v/>
      </c>
      <c r="O34" s="24" t="str">
        <f>IF(H34="I",N34*Contagem!$W$11,IF(H34="E",N34*Contagem!$W$13,IF(H34="A",N34*Contagem!$W$12,IF(H34="T",N34*Contagem!$W$14,""))))</f>
        <v/>
      </c>
      <c r="P34" s="19"/>
      <c r="Q34" s="196"/>
      <c r="R34" s="197" t="str">
        <f>IF(ISNUMBER(N34),0,IF(ISNA(VLOOKUP(Q34,'INM - Regras'!$D$24:$E$37,2)),"",VLOOKUP(Q34,'INM - Regras'!$D$24:$E$37,2)))</f>
        <v/>
      </c>
      <c r="S34" s="198"/>
      <c r="T34" s="105" t="str">
        <f t="shared" si="7"/>
        <v/>
      </c>
      <c r="U34" s="105" t="str">
        <f t="shared" si="8"/>
        <v xml:space="preserve"> </v>
      </c>
      <c r="V34" s="106" t="str">
        <f t="shared" si="9"/>
        <v xml:space="preserve"> </v>
      </c>
      <c r="W34" s="92" t="str">
        <f t="shared" si="4"/>
        <v xml:space="preserve"> </v>
      </c>
      <c r="X34" s="91" t="str">
        <f>IF(ISNUMBER(N34),"PE",IF(ISNA(VLOOKUP(Q34,'INM - Regras'!$D$24:$F$37,3)),"",VLOOKUP(Q34,'INM - Regras'!$D$24:$F$37,3)))</f>
        <v/>
      </c>
      <c r="Y34" s="91"/>
    </row>
    <row r="35" spans="1:29" ht="12" customHeight="1" x14ac:dyDescent="0.25">
      <c r="A35" s="74"/>
      <c r="B35" s="75"/>
      <c r="C35" s="75"/>
      <c r="D35" s="75"/>
      <c r="E35" s="75"/>
      <c r="F35" s="76"/>
      <c r="G35" s="20"/>
      <c r="H35" s="20"/>
      <c r="I35" s="20"/>
      <c r="J35" s="20"/>
      <c r="K35" s="20" t="str">
        <f t="shared" si="5"/>
        <v/>
      </c>
      <c r="L35" s="21" t="str">
        <f t="shared" si="6"/>
        <v/>
      </c>
      <c r="M35" s="22" t="str">
        <f t="shared" si="0"/>
        <v/>
      </c>
      <c r="N35" s="23" t="str">
        <f t="shared" si="1"/>
        <v/>
      </c>
      <c r="O35" s="24" t="str">
        <f>IF(H35="I",N35*Contagem!$W$11,IF(H35="E",N35*Contagem!$W$13,IF(H35="A",N35*Contagem!$W$12,IF(H35="T",N35*Contagem!$W$14,""))))</f>
        <v/>
      </c>
      <c r="P35" s="19"/>
      <c r="Q35" s="196"/>
      <c r="R35" s="197" t="str">
        <f>IF(ISNUMBER(N35),0,IF(ISNA(VLOOKUP(Q35,'INM - Regras'!$D$24:$E$37,2)),"",VLOOKUP(Q35,'INM - Regras'!$D$24:$E$37,2)))</f>
        <v/>
      </c>
      <c r="S35" s="198"/>
      <c r="T35" s="105" t="str">
        <f t="shared" si="7"/>
        <v/>
      </c>
      <c r="U35" s="105" t="str">
        <f t="shared" si="8"/>
        <v xml:space="preserve"> </v>
      </c>
      <c r="V35" s="106" t="str">
        <f t="shared" si="9"/>
        <v xml:space="preserve"> </v>
      </c>
      <c r="W35" s="92" t="str">
        <f t="shared" si="4"/>
        <v xml:space="preserve"> </v>
      </c>
      <c r="X35" s="91" t="str">
        <f>IF(ISNUMBER(N35),"PE",IF(ISNA(VLOOKUP(Q35,'INM - Regras'!$D$24:$F$37,3)),"",VLOOKUP(Q35,'INM - Regras'!$D$24:$F$37,3)))</f>
        <v/>
      </c>
      <c r="Y35" s="91"/>
    </row>
    <row r="36" spans="1:29" ht="12" customHeight="1" x14ac:dyDescent="0.25">
      <c r="A36" s="74"/>
      <c r="B36" s="75"/>
      <c r="C36" s="75"/>
      <c r="D36" s="75"/>
      <c r="E36" s="75"/>
      <c r="F36" s="76"/>
      <c r="G36" s="20"/>
      <c r="H36" s="20"/>
      <c r="I36" s="20"/>
      <c r="J36" s="20"/>
      <c r="K36" s="20" t="str">
        <f t="shared" si="5"/>
        <v/>
      </c>
      <c r="L36" s="21" t="str">
        <f t="shared" si="6"/>
        <v/>
      </c>
      <c r="M36" s="22" t="str">
        <f t="shared" si="0"/>
        <v/>
      </c>
      <c r="N36" s="23" t="str">
        <f t="shared" si="1"/>
        <v/>
      </c>
      <c r="O36" s="24" t="str">
        <f>IF(H36="I",N36*Contagem!$W$11,IF(H36="E",N36*Contagem!$W$13,IF(H36="A",N36*Contagem!$W$12,IF(H36="T",N36*Contagem!$W$14,""))))</f>
        <v/>
      </c>
      <c r="P36" s="19"/>
      <c r="Q36" s="196"/>
      <c r="R36" s="197" t="str">
        <f>IF(ISNUMBER(N36),0,IF(ISNA(VLOOKUP(Q36,'INM - Regras'!$D$24:$E$37,2)),"",VLOOKUP(Q36,'INM - Regras'!$D$24:$E$37,2)))</f>
        <v/>
      </c>
      <c r="S36" s="198"/>
      <c r="T36" s="105" t="str">
        <f t="shared" si="7"/>
        <v/>
      </c>
      <c r="U36" s="105" t="str">
        <f t="shared" si="8"/>
        <v xml:space="preserve"> </v>
      </c>
      <c r="V36" s="106" t="str">
        <f t="shared" si="9"/>
        <v xml:space="preserve"> </v>
      </c>
      <c r="W36" s="92" t="str">
        <f t="shared" si="4"/>
        <v xml:space="preserve"> </v>
      </c>
      <c r="X36" s="91" t="str">
        <f>IF(ISNUMBER(N36),"PE",IF(ISNA(VLOOKUP(Q36,'INM - Regras'!$D$24:$F$37,3)),"",VLOOKUP(Q36,'INM - Regras'!$D$24:$F$37,3)))</f>
        <v/>
      </c>
      <c r="Y36" s="91"/>
    </row>
    <row r="37" spans="1:29" ht="12" customHeight="1" x14ac:dyDescent="0.25">
      <c r="A37" s="74"/>
      <c r="B37" s="75"/>
      <c r="C37" s="75"/>
      <c r="D37" s="75"/>
      <c r="E37" s="75"/>
      <c r="F37" s="76"/>
      <c r="G37" s="20"/>
      <c r="H37" s="20"/>
      <c r="I37" s="20"/>
      <c r="J37" s="20"/>
      <c r="K37" s="20" t="str">
        <f t="shared" si="5"/>
        <v/>
      </c>
      <c r="L37" s="21" t="str">
        <f t="shared" si="6"/>
        <v/>
      </c>
      <c r="M37" s="22" t="str">
        <f t="shared" si="0"/>
        <v/>
      </c>
      <c r="N37" s="23" t="str">
        <f t="shared" si="1"/>
        <v/>
      </c>
      <c r="O37" s="24" t="str">
        <f>IF(H37="I",N37*Contagem!$W$11,IF(H37="E",N37*Contagem!$W$13,IF(H37="A",N37*Contagem!$W$12,IF(H37="T",N37*Contagem!$W$14,""))))</f>
        <v/>
      </c>
      <c r="P37" s="19"/>
      <c r="Q37" s="196"/>
      <c r="R37" s="197" t="str">
        <f>IF(ISNUMBER(N37),0,IF(ISNA(VLOOKUP(Q37,'INM - Regras'!$D$24:$E$37,2)),"",VLOOKUP(Q37,'INM - Regras'!$D$24:$E$37,2)))</f>
        <v/>
      </c>
      <c r="S37" s="198"/>
      <c r="T37" s="105" t="str">
        <f t="shared" si="7"/>
        <v/>
      </c>
      <c r="U37" s="105" t="str">
        <f t="shared" si="8"/>
        <v xml:space="preserve"> </v>
      </c>
      <c r="V37" s="106" t="str">
        <f t="shared" si="9"/>
        <v xml:space="preserve"> </v>
      </c>
      <c r="W37" s="92" t="str">
        <f t="shared" si="4"/>
        <v xml:space="preserve"> </v>
      </c>
      <c r="X37" s="91" t="str">
        <f>IF(ISNUMBER(N37),"PE",IF(ISNA(VLOOKUP(Q37,'INM - Regras'!$D$24:$F$37,3)),"",VLOOKUP(Q37,'INM - Regras'!$D$24:$F$37,3)))</f>
        <v/>
      </c>
      <c r="Y37" s="91"/>
    </row>
    <row r="38" spans="1:29" ht="12" customHeight="1" x14ac:dyDescent="0.25">
      <c r="A38" s="74"/>
      <c r="B38" s="75"/>
      <c r="C38" s="75"/>
      <c r="D38" s="75"/>
      <c r="E38" s="75"/>
      <c r="F38" s="76"/>
      <c r="G38" s="20"/>
      <c r="H38" s="20"/>
      <c r="I38" s="20"/>
      <c r="J38" s="20"/>
      <c r="K38" s="20" t="str">
        <f t="shared" si="5"/>
        <v/>
      </c>
      <c r="L38" s="21" t="str">
        <f t="shared" si="6"/>
        <v/>
      </c>
      <c r="M38" s="22" t="str">
        <f t="shared" si="0"/>
        <v/>
      </c>
      <c r="N38" s="23" t="str">
        <f t="shared" si="1"/>
        <v/>
      </c>
      <c r="O38" s="24" t="str">
        <f>IF(H38="I",N38*Contagem!$W$11,IF(H38="E",N38*Contagem!$W$13,IF(H38="A",N38*Contagem!$W$12,IF(H38="T",N38*Contagem!$W$14,""))))</f>
        <v/>
      </c>
      <c r="P38" s="19"/>
      <c r="Q38" s="196"/>
      <c r="R38" s="197" t="str">
        <f>IF(ISNUMBER(N38),0,IF(ISNA(VLOOKUP(Q38,'INM - Regras'!$D$24:$E$37,2)),"",VLOOKUP(Q38,'INM - Regras'!$D$24:$E$37,2)))</f>
        <v/>
      </c>
      <c r="S38" s="198"/>
      <c r="T38" s="105" t="str">
        <f t="shared" si="7"/>
        <v/>
      </c>
      <c r="U38" s="105" t="str">
        <f t="shared" si="8"/>
        <v xml:space="preserve"> </v>
      </c>
      <c r="V38" s="106" t="str">
        <f t="shared" si="9"/>
        <v xml:space="preserve"> </v>
      </c>
      <c r="W38" s="92" t="str">
        <f t="shared" si="4"/>
        <v xml:space="preserve"> </v>
      </c>
      <c r="X38" s="91" t="str">
        <f>IF(ISNUMBER(N38),"PE",IF(ISNA(VLOOKUP(Q38,'INM - Regras'!$D$24:$F$37,3)),"",VLOOKUP(Q38,'INM - Regras'!$D$24:$F$37,3)))</f>
        <v/>
      </c>
      <c r="Y38" s="91"/>
    </row>
    <row r="39" spans="1:29" ht="12" customHeight="1" x14ac:dyDescent="0.25">
      <c r="A39" s="74"/>
      <c r="B39" s="75"/>
      <c r="C39" s="75"/>
      <c r="D39" s="75"/>
      <c r="E39" s="75"/>
      <c r="F39" s="76"/>
      <c r="G39" s="20"/>
      <c r="H39" s="20"/>
      <c r="I39" s="20"/>
      <c r="J39" s="20"/>
      <c r="K39" s="20" t="str">
        <f t="shared" si="5"/>
        <v/>
      </c>
      <c r="L39" s="21" t="str">
        <f t="shared" si="6"/>
        <v/>
      </c>
      <c r="M39" s="22" t="str">
        <f t="shared" si="0"/>
        <v/>
      </c>
      <c r="N39" s="23" t="str">
        <f t="shared" si="1"/>
        <v/>
      </c>
      <c r="O39" s="24" t="str">
        <f>IF(H39="I",N39*Contagem!$W$11,IF(H39="E",N39*Contagem!$W$13,IF(H39="A",N39*Contagem!$W$12,IF(H39="T",N39*Contagem!$W$14,""))))</f>
        <v/>
      </c>
      <c r="P39" s="19"/>
      <c r="Q39" s="196"/>
      <c r="R39" s="197" t="str">
        <f>IF(ISNUMBER(N39),0,IF(ISNA(VLOOKUP(Q39,'INM - Regras'!$D$24:$E$37,2)),"",VLOOKUP(Q39,'INM - Regras'!$D$24:$E$37,2)))</f>
        <v/>
      </c>
      <c r="S39" s="198"/>
      <c r="T39" s="105" t="str">
        <f t="shared" si="7"/>
        <v/>
      </c>
      <c r="U39" s="105" t="str">
        <f t="shared" si="8"/>
        <v xml:space="preserve"> </v>
      </c>
      <c r="V39" s="106" t="str">
        <f t="shared" si="9"/>
        <v xml:space="preserve"> </v>
      </c>
      <c r="W39" s="92" t="str">
        <f t="shared" si="4"/>
        <v xml:space="preserve"> </v>
      </c>
      <c r="X39" s="91" t="str">
        <f>IF(ISNUMBER(N39),"PE",IF(ISNA(VLOOKUP(Q39,'INM - Regras'!$D$24:$F$37,3)),"",VLOOKUP(Q39,'INM - Regras'!$D$24:$F$37,3)))</f>
        <v/>
      </c>
      <c r="Y39" s="91"/>
    </row>
    <row r="40" spans="1:29" ht="12" customHeight="1" x14ac:dyDescent="0.25">
      <c r="A40" s="74"/>
      <c r="B40" s="75"/>
      <c r="C40" s="75"/>
      <c r="D40" s="75"/>
      <c r="E40" s="75"/>
      <c r="F40" s="76"/>
      <c r="G40" s="20"/>
      <c r="H40" s="20"/>
      <c r="I40" s="20"/>
      <c r="J40" s="20"/>
      <c r="K40" s="20" t="str">
        <f t="shared" si="5"/>
        <v/>
      </c>
      <c r="L40" s="21" t="str">
        <f t="shared" si="6"/>
        <v/>
      </c>
      <c r="M40" s="22" t="str">
        <f t="shared" si="0"/>
        <v/>
      </c>
      <c r="N40" s="23" t="str">
        <f t="shared" si="1"/>
        <v/>
      </c>
      <c r="O40" s="24" t="str">
        <f>IF(H40="I",N40*Contagem!$W$11,IF(H40="E",N40*Contagem!$W$13,IF(H40="A",N40*Contagem!$W$12,IF(H40="T",N40*Contagem!$W$14,""))))</f>
        <v/>
      </c>
      <c r="P40" s="19"/>
      <c r="Q40" s="196"/>
      <c r="R40" s="197" t="str">
        <f>IF(ISNUMBER(N40),0,IF(ISNA(VLOOKUP(Q40,'INM - Regras'!$D$24:$E$37,2)),"",VLOOKUP(Q40,'INM - Regras'!$D$24:$E$37,2)))</f>
        <v/>
      </c>
      <c r="S40" s="198"/>
      <c r="T40" s="105" t="str">
        <f t="shared" si="7"/>
        <v/>
      </c>
      <c r="U40" s="105" t="str">
        <f t="shared" si="8"/>
        <v xml:space="preserve"> </v>
      </c>
      <c r="V40" s="106" t="str">
        <f t="shared" si="9"/>
        <v xml:space="preserve"> </v>
      </c>
      <c r="W40" s="92" t="str">
        <f t="shared" si="4"/>
        <v xml:space="preserve"> </v>
      </c>
      <c r="X40" s="91" t="str">
        <f>IF(ISNUMBER(N40),"PE",IF(ISNA(VLOOKUP(Q40,'INM - Regras'!$D$24:$F$37,3)),"",VLOOKUP(Q40,'INM - Regras'!$D$24:$F$37,3)))</f>
        <v/>
      </c>
      <c r="Y40" s="91"/>
    </row>
    <row r="41" spans="1:29" ht="12" customHeight="1" x14ac:dyDescent="0.25">
      <c r="A41" s="74"/>
      <c r="B41" s="75"/>
      <c r="C41" s="75"/>
      <c r="D41" s="75"/>
      <c r="E41" s="75"/>
      <c r="F41" s="76"/>
      <c r="G41" s="20"/>
      <c r="H41" s="20"/>
      <c r="I41" s="20"/>
      <c r="J41" s="20"/>
      <c r="K41" s="20" t="str">
        <f t="shared" si="5"/>
        <v/>
      </c>
      <c r="L41" s="21" t="str">
        <f t="shared" si="6"/>
        <v/>
      </c>
      <c r="M41" s="22" t="str">
        <f t="shared" si="0"/>
        <v/>
      </c>
      <c r="N41" s="23" t="str">
        <f t="shared" si="1"/>
        <v/>
      </c>
      <c r="O41" s="24" t="str">
        <f>IF(H41="I",N41*Contagem!$W$11,IF(H41="E",N41*Contagem!$W$13,IF(H41="A",N41*Contagem!$W$12,IF(H41="T",N41*Contagem!$W$14,""))))</f>
        <v/>
      </c>
      <c r="P41" s="19"/>
      <c r="Q41" s="196"/>
      <c r="R41" s="197" t="str">
        <f>IF(ISNUMBER(N41),0,IF(ISNA(VLOOKUP(Q41,'INM - Regras'!$D$24:$E$37,2)),"",VLOOKUP(Q41,'INM - Regras'!$D$24:$E$37,2)))</f>
        <v/>
      </c>
      <c r="S41" s="198"/>
      <c r="T41" s="105" t="str">
        <f t="shared" si="7"/>
        <v/>
      </c>
      <c r="U41" s="105" t="str">
        <f t="shared" si="8"/>
        <v xml:space="preserve"> </v>
      </c>
      <c r="V41" s="106" t="str">
        <f t="shared" si="9"/>
        <v xml:space="preserve"> </v>
      </c>
      <c r="W41" s="92" t="str">
        <f t="shared" si="4"/>
        <v xml:space="preserve"> </v>
      </c>
      <c r="X41" s="91" t="str">
        <f>IF(ISNUMBER(N41),"PE",IF(ISNA(VLOOKUP(Q41,'INM - Regras'!$D$24:$F$37,3)),"",VLOOKUP(Q41,'INM - Regras'!$D$24:$F$37,3)))</f>
        <v/>
      </c>
      <c r="Y41" s="91"/>
    </row>
    <row r="42" spans="1:29" ht="12" customHeight="1" x14ac:dyDescent="0.25">
      <c r="A42" s="74"/>
      <c r="B42" s="75"/>
      <c r="C42" s="75"/>
      <c r="D42" s="75"/>
      <c r="E42" s="75"/>
      <c r="F42" s="76"/>
      <c r="G42" s="20"/>
      <c r="H42" s="20"/>
      <c r="I42" s="20"/>
      <c r="J42" s="20"/>
      <c r="K42" s="20" t="str">
        <f t="shared" si="5"/>
        <v/>
      </c>
      <c r="L42" s="21" t="str">
        <f t="shared" si="6"/>
        <v/>
      </c>
      <c r="M42" s="22" t="str">
        <f t="shared" si="0"/>
        <v/>
      </c>
      <c r="N42" s="23" t="str">
        <f t="shared" si="1"/>
        <v/>
      </c>
      <c r="O42" s="24" t="str">
        <f>IF(H42="I",N42*Contagem!$W$11,IF(H42="E",N42*Contagem!$W$13,IF(H42="A",N42*Contagem!$W$12,IF(H42="T",N42*Contagem!$W$14,""))))</f>
        <v/>
      </c>
      <c r="P42" s="19"/>
      <c r="Q42" s="196"/>
      <c r="R42" s="197" t="str">
        <f>IF(ISNUMBER(N42),0,IF(ISNA(VLOOKUP(Q42,'INM - Regras'!$D$24:$E$37,2)),"",VLOOKUP(Q42,'INM - Regras'!$D$24:$E$37,2)))</f>
        <v/>
      </c>
      <c r="S42" s="198"/>
      <c r="T42" s="105" t="str">
        <f t="shared" si="7"/>
        <v/>
      </c>
      <c r="U42" s="105" t="str">
        <f t="shared" si="8"/>
        <v xml:space="preserve"> </v>
      </c>
      <c r="V42" s="106" t="str">
        <f t="shared" si="9"/>
        <v xml:space="preserve"> </v>
      </c>
      <c r="W42" s="92" t="str">
        <f t="shared" si="4"/>
        <v xml:space="preserve"> </v>
      </c>
      <c r="X42" s="91" t="str">
        <f>IF(ISNUMBER(N42),"PE",IF(ISNA(VLOOKUP(Q42,'INM - Regras'!$D$24:$F$37,3)),"",VLOOKUP(Q42,'INM - Regras'!$D$24:$F$37,3)))</f>
        <v/>
      </c>
      <c r="Y42" s="91"/>
      <c r="Z42"/>
      <c r="AA42"/>
      <c r="AB42"/>
      <c r="AC42"/>
    </row>
    <row r="43" spans="1:29" ht="12" customHeight="1" x14ac:dyDescent="0.25">
      <c r="A43" s="74"/>
      <c r="B43" s="75"/>
      <c r="C43" s="75"/>
      <c r="D43" s="75"/>
      <c r="E43" s="75"/>
      <c r="F43" s="76"/>
      <c r="G43" s="20"/>
      <c r="H43" s="20"/>
      <c r="I43" s="20"/>
      <c r="J43" s="20"/>
      <c r="K43" s="20" t="str">
        <f t="shared" si="5"/>
        <v/>
      </c>
      <c r="L43" s="21" t="str">
        <f t="shared" si="6"/>
        <v/>
      </c>
      <c r="M43" s="22" t="str">
        <f t="shared" si="0"/>
        <v/>
      </c>
      <c r="N43" s="23" t="str">
        <f t="shared" si="1"/>
        <v/>
      </c>
      <c r="O43" s="24" t="str">
        <f>IF(H43="I",N43*Contagem!$W$11,IF(H43="E",N43*Contagem!$W$13,IF(H43="A",N43*Contagem!$W$12,IF(H43="T",N43*Contagem!$W$14,""))))</f>
        <v/>
      </c>
      <c r="P43" s="19"/>
      <c r="Q43" s="196"/>
      <c r="R43" s="197" t="str">
        <f>IF(ISNUMBER(N43),0,IF(ISNA(VLOOKUP(Q43,'INM - Regras'!$D$24:$E$37,2)),"",VLOOKUP(Q43,'INM - Regras'!$D$24:$E$37,2)))</f>
        <v/>
      </c>
      <c r="S43" s="198"/>
      <c r="T43" s="105" t="str">
        <f t="shared" si="7"/>
        <v/>
      </c>
      <c r="U43" s="105" t="str">
        <f t="shared" si="8"/>
        <v xml:space="preserve"> </v>
      </c>
      <c r="V43" s="106" t="str">
        <f t="shared" si="9"/>
        <v xml:space="preserve"> </v>
      </c>
      <c r="W43" s="92" t="str">
        <f t="shared" si="4"/>
        <v xml:space="preserve"> </v>
      </c>
      <c r="X43" s="91" t="str">
        <f>IF(ISNUMBER(N43),"PE",IF(ISNA(VLOOKUP(Q43,'INM - Regras'!$D$24:$F$37,3)),"",VLOOKUP(Q43,'INM - Regras'!$D$24:$F$37,3)))</f>
        <v/>
      </c>
      <c r="Y43" s="91"/>
    </row>
    <row r="44" spans="1:29" ht="12" customHeight="1" x14ac:dyDescent="0.25">
      <c r="A44" s="74"/>
      <c r="B44" s="75"/>
      <c r="C44" s="75"/>
      <c r="D44" s="75"/>
      <c r="E44" s="75"/>
      <c r="F44" s="76"/>
      <c r="G44" s="20"/>
      <c r="H44" s="20"/>
      <c r="I44" s="20"/>
      <c r="J44" s="20"/>
      <c r="K44" s="20" t="str">
        <f t="shared" si="5"/>
        <v/>
      </c>
      <c r="L44" s="21" t="str">
        <f t="shared" si="6"/>
        <v/>
      </c>
      <c r="M44" s="22" t="str">
        <f t="shared" si="0"/>
        <v/>
      </c>
      <c r="N44" s="23" t="str">
        <f t="shared" si="1"/>
        <v/>
      </c>
      <c r="O44" s="24" t="str">
        <f>IF(H44="I",N44*Contagem!$W$11,IF(H44="E",N44*Contagem!$W$13,IF(H44="A",N44*Contagem!$W$12,IF(H44="T",N44*Contagem!$W$14,""))))</f>
        <v/>
      </c>
      <c r="P44" s="19"/>
      <c r="Q44" s="196"/>
      <c r="R44" s="197" t="str">
        <f>IF(ISNUMBER(N44),0,IF(ISNA(VLOOKUP(Q44,'INM - Regras'!$D$24:$E$37,2)),"",VLOOKUP(Q44,'INM - Regras'!$D$24:$E$37,2)))</f>
        <v/>
      </c>
      <c r="S44" s="198"/>
      <c r="T44" s="105" t="str">
        <f t="shared" si="7"/>
        <v/>
      </c>
      <c r="U44" s="105" t="str">
        <f t="shared" si="8"/>
        <v xml:space="preserve"> </v>
      </c>
      <c r="V44" s="106" t="str">
        <f t="shared" si="9"/>
        <v xml:space="preserve"> </v>
      </c>
      <c r="W44" s="92" t="str">
        <f t="shared" si="4"/>
        <v xml:space="preserve"> </v>
      </c>
      <c r="X44" s="91" t="str">
        <f>IF(ISNUMBER(N44),"PE",IF(ISNA(VLOOKUP(Q44,'INM - Regras'!$D$24:$F$37,3)),"",VLOOKUP(Q44,'INM - Regras'!$D$24:$F$37,3)))</f>
        <v/>
      </c>
      <c r="Y44" s="91"/>
    </row>
    <row r="45" spans="1:29" ht="12" customHeight="1" x14ac:dyDescent="0.25">
      <c r="A45" s="74"/>
      <c r="B45" s="75"/>
      <c r="C45" s="75"/>
      <c r="D45" s="75"/>
      <c r="E45" s="75"/>
      <c r="F45" s="76"/>
      <c r="G45" s="20"/>
      <c r="H45" s="20"/>
      <c r="I45" s="20"/>
      <c r="J45" s="20"/>
      <c r="K45" s="20" t="str">
        <f t="shared" si="5"/>
        <v/>
      </c>
      <c r="L45" s="21" t="str">
        <f t="shared" si="6"/>
        <v/>
      </c>
      <c r="M45" s="22" t="str">
        <f t="shared" si="0"/>
        <v/>
      </c>
      <c r="N45" s="23" t="str">
        <f t="shared" si="1"/>
        <v/>
      </c>
      <c r="O45" s="24" t="str">
        <f>IF(H45="I",N45*Contagem!$W$11,IF(H45="E",N45*Contagem!$W$13,IF(H45="A",N45*Contagem!$W$12,IF(H45="T",N45*Contagem!$W$14,""))))</f>
        <v/>
      </c>
      <c r="P45" s="19"/>
      <c r="Q45" s="196"/>
      <c r="R45" s="197" t="str">
        <f>IF(ISNUMBER(N45),0,IF(ISNA(VLOOKUP(Q45,'INM - Regras'!$D$24:$E$37,2)),"",VLOOKUP(Q45,'INM - Regras'!$D$24:$E$37,2)))</f>
        <v/>
      </c>
      <c r="S45" s="198"/>
      <c r="T45" s="105" t="str">
        <f t="shared" si="7"/>
        <v/>
      </c>
      <c r="U45" s="105" t="str">
        <f t="shared" si="8"/>
        <v xml:space="preserve"> </v>
      </c>
      <c r="V45" s="106" t="str">
        <f t="shared" si="9"/>
        <v xml:space="preserve"> </v>
      </c>
      <c r="W45" s="92" t="str">
        <f t="shared" si="4"/>
        <v xml:space="preserve"> </v>
      </c>
      <c r="X45" s="91" t="str">
        <f>IF(ISNUMBER(N45),"PE",IF(ISNA(VLOOKUP(Q45,'INM - Regras'!$D$24:$F$37,3)),"",VLOOKUP(Q45,'INM - Regras'!$D$24:$F$37,3)))</f>
        <v/>
      </c>
      <c r="Y45" s="91"/>
    </row>
    <row r="46" spans="1:29" ht="12" customHeight="1" x14ac:dyDescent="0.25">
      <c r="A46" s="74"/>
      <c r="B46" s="75"/>
      <c r="C46" s="75"/>
      <c r="D46" s="75"/>
      <c r="E46" s="75"/>
      <c r="F46" s="76"/>
      <c r="G46" s="20"/>
      <c r="H46" s="20"/>
      <c r="I46" s="20"/>
      <c r="J46" s="20"/>
      <c r="K46" s="20" t="str">
        <f t="shared" si="5"/>
        <v/>
      </c>
      <c r="L46" s="21" t="str">
        <f t="shared" si="6"/>
        <v/>
      </c>
      <c r="M46" s="22" t="str">
        <f t="shared" si="0"/>
        <v/>
      </c>
      <c r="N46" s="23" t="str">
        <f t="shared" si="1"/>
        <v/>
      </c>
      <c r="O46" s="24" t="str">
        <f>IF(H46="I",N46*Contagem!$W$11,IF(H46="E",N46*Contagem!$W$13,IF(H46="A",N46*Contagem!$W$12,IF(H46="T",N46*Contagem!$W$14,""))))</f>
        <v/>
      </c>
      <c r="P46" s="19"/>
      <c r="Q46" s="196"/>
      <c r="R46" s="197" t="str">
        <f>IF(ISNUMBER(N46),0,IF(ISNA(VLOOKUP(Q46,'INM - Regras'!$D$24:$E$37,2)),"",VLOOKUP(Q46,'INM - Regras'!$D$24:$E$37,2)))</f>
        <v/>
      </c>
      <c r="S46" s="198"/>
      <c r="T46" s="105" t="str">
        <f t="shared" si="7"/>
        <v/>
      </c>
      <c r="U46" s="105" t="str">
        <f t="shared" si="8"/>
        <v xml:space="preserve"> </v>
      </c>
      <c r="V46" s="106" t="str">
        <f t="shared" si="9"/>
        <v xml:space="preserve"> </v>
      </c>
      <c r="W46" s="92" t="str">
        <f t="shared" si="4"/>
        <v xml:space="preserve"> </v>
      </c>
      <c r="X46" s="91" t="str">
        <f>IF(ISNUMBER(N46),"PE",IF(ISNA(VLOOKUP(Q46,'INM - Regras'!$D$24:$F$37,3)),"",VLOOKUP(Q46,'INM - Regras'!$D$24:$F$37,3)))</f>
        <v/>
      </c>
      <c r="Y46" s="91"/>
    </row>
    <row r="47" spans="1:29" ht="12" customHeight="1" x14ac:dyDescent="0.25">
      <c r="A47" s="74"/>
      <c r="B47" s="75"/>
      <c r="C47" s="75"/>
      <c r="D47" s="75"/>
      <c r="E47" s="75"/>
      <c r="F47" s="76"/>
      <c r="G47" s="20"/>
      <c r="H47" s="20"/>
      <c r="I47" s="20"/>
      <c r="J47" s="20"/>
      <c r="K47" s="20" t="str">
        <f t="shared" si="5"/>
        <v/>
      </c>
      <c r="L47" s="21" t="str">
        <f t="shared" si="6"/>
        <v/>
      </c>
      <c r="M47" s="22" t="str">
        <f t="shared" si="0"/>
        <v/>
      </c>
      <c r="N47" s="23" t="str">
        <f t="shared" si="1"/>
        <v/>
      </c>
      <c r="O47" s="24" t="str">
        <f>IF(H47="I",N47*Contagem!$W$11,IF(H47="E",N47*Contagem!$W$13,IF(H47="A",N47*Contagem!$W$12,IF(H47="T",N47*Contagem!$W$14,""))))</f>
        <v/>
      </c>
      <c r="P47" s="19"/>
      <c r="Q47" s="196"/>
      <c r="R47" s="197" t="str">
        <f>IF(ISNUMBER(N47),0,IF(ISNA(VLOOKUP(Q47,'INM - Regras'!$D$24:$E$37,2)),"",VLOOKUP(Q47,'INM - Regras'!$D$24:$E$37,2)))</f>
        <v/>
      </c>
      <c r="S47" s="198"/>
      <c r="T47" s="105" t="str">
        <f t="shared" si="7"/>
        <v/>
      </c>
      <c r="U47" s="105" t="str">
        <f t="shared" si="8"/>
        <v xml:space="preserve"> </v>
      </c>
      <c r="V47" s="106" t="str">
        <f t="shared" si="9"/>
        <v xml:space="preserve"> </v>
      </c>
      <c r="W47" s="92" t="str">
        <f t="shared" si="4"/>
        <v xml:space="preserve"> </v>
      </c>
      <c r="X47" s="91" t="str">
        <f>IF(ISNUMBER(N47),"PE",IF(ISNA(VLOOKUP(Q47,'INM - Regras'!$D$24:$F$37,3)),"",VLOOKUP(Q47,'INM - Regras'!$D$24:$F$37,3)))</f>
        <v/>
      </c>
      <c r="Y47" s="91"/>
    </row>
    <row r="48" spans="1:29" ht="12" customHeight="1" x14ac:dyDescent="0.25">
      <c r="A48" s="74"/>
      <c r="B48" s="75"/>
      <c r="C48" s="75"/>
      <c r="D48" s="75"/>
      <c r="E48" s="75"/>
      <c r="F48" s="76"/>
      <c r="G48" s="20"/>
      <c r="H48" s="20"/>
      <c r="I48" s="20"/>
      <c r="J48" s="20"/>
      <c r="K48" s="20" t="str">
        <f t="shared" si="5"/>
        <v/>
      </c>
      <c r="L48" s="21" t="str">
        <f t="shared" si="6"/>
        <v/>
      </c>
      <c r="M48" s="22" t="str">
        <f t="shared" si="0"/>
        <v/>
      </c>
      <c r="N48" s="23" t="str">
        <f t="shared" si="1"/>
        <v/>
      </c>
      <c r="O48" s="24" t="str">
        <f>IF(H48="I",N48*Contagem!$W$11,IF(H48="E",N48*Contagem!$W$13,IF(H48="A",N48*Contagem!$W$12,IF(H48="T",N48*Contagem!$W$14,""))))</f>
        <v/>
      </c>
      <c r="P48" s="19"/>
      <c r="Q48" s="196"/>
      <c r="R48" s="197" t="str">
        <f>IF(ISNUMBER(N48),0,IF(ISNA(VLOOKUP(Q48,'INM - Regras'!$D$24:$E$37,2)),"",VLOOKUP(Q48,'INM - Regras'!$D$24:$E$37,2)))</f>
        <v/>
      </c>
      <c r="S48" s="198"/>
      <c r="T48" s="105" t="str">
        <f t="shared" si="7"/>
        <v/>
      </c>
      <c r="U48" s="105" t="str">
        <f t="shared" si="8"/>
        <v xml:space="preserve"> </v>
      </c>
      <c r="V48" s="106" t="str">
        <f t="shared" si="9"/>
        <v xml:space="preserve"> </v>
      </c>
      <c r="W48" s="92" t="str">
        <f t="shared" si="4"/>
        <v xml:space="preserve"> </v>
      </c>
      <c r="X48" s="91" t="str">
        <f>IF(ISNUMBER(N48),"PE",IF(ISNA(VLOOKUP(Q48,'INM - Regras'!$D$24:$F$37,3)),"",VLOOKUP(Q48,'INM - Regras'!$D$24:$F$37,3)))</f>
        <v/>
      </c>
      <c r="Y48" s="91"/>
    </row>
    <row r="49" spans="1:25" ht="12" customHeight="1" x14ac:dyDescent="0.25">
      <c r="A49" s="74"/>
      <c r="B49" s="75"/>
      <c r="C49" s="75"/>
      <c r="D49" s="75"/>
      <c r="E49" s="75"/>
      <c r="F49" s="76"/>
      <c r="G49" s="20"/>
      <c r="H49" s="20"/>
      <c r="I49" s="20"/>
      <c r="J49" s="20"/>
      <c r="K49" s="20" t="str">
        <f t="shared" si="5"/>
        <v/>
      </c>
      <c r="L49" s="21" t="str">
        <f t="shared" si="6"/>
        <v/>
      </c>
      <c r="M49" s="22" t="str">
        <f t="shared" si="0"/>
        <v/>
      </c>
      <c r="N49" s="23" t="str">
        <f t="shared" si="1"/>
        <v/>
      </c>
      <c r="O49" s="24" t="str">
        <f>IF(H49="I",N49*Contagem!$W$11,IF(H49="E",N49*Contagem!$W$13,IF(H49="A",N49*Contagem!$W$12,IF(H49="T",N49*Contagem!$W$14,""))))</f>
        <v/>
      </c>
      <c r="P49" s="19"/>
      <c r="Q49" s="196"/>
      <c r="R49" s="197" t="str">
        <f>IF(ISNUMBER(N49),0,IF(ISNA(VLOOKUP(Q49,'INM - Regras'!$D$24:$E$37,2)),"",VLOOKUP(Q49,'INM - Regras'!$D$24:$E$37,2)))</f>
        <v/>
      </c>
      <c r="S49" s="198"/>
      <c r="T49" s="105" t="str">
        <f t="shared" si="7"/>
        <v/>
      </c>
      <c r="U49" s="105" t="str">
        <f t="shared" si="8"/>
        <v xml:space="preserve"> </v>
      </c>
      <c r="V49" s="106" t="str">
        <f t="shared" si="9"/>
        <v xml:space="preserve"> </v>
      </c>
      <c r="W49" s="92" t="str">
        <f t="shared" si="4"/>
        <v xml:space="preserve"> </v>
      </c>
      <c r="X49" s="91" t="str">
        <f>IF(ISNUMBER(N49),"PE",IF(ISNA(VLOOKUP(Q49,'INM - Regras'!$D$24:$F$37,3)),"",VLOOKUP(Q49,'INM - Regras'!$D$24:$F$37,3)))</f>
        <v/>
      </c>
      <c r="Y49" s="91"/>
    </row>
    <row r="50" spans="1:25" ht="12" customHeight="1" x14ac:dyDescent="0.25">
      <c r="A50" s="74"/>
      <c r="B50" s="75"/>
      <c r="C50" s="75"/>
      <c r="D50" s="75"/>
      <c r="E50" s="75"/>
      <c r="F50" s="76"/>
      <c r="G50" s="20"/>
      <c r="H50" s="20"/>
      <c r="I50" s="20"/>
      <c r="J50" s="20"/>
      <c r="K50" s="20" t="str">
        <f t="shared" si="5"/>
        <v/>
      </c>
      <c r="L50" s="21" t="str">
        <f t="shared" si="6"/>
        <v/>
      </c>
      <c r="M50" s="22" t="str">
        <f t="shared" si="0"/>
        <v/>
      </c>
      <c r="N50" s="23" t="str">
        <f t="shared" si="1"/>
        <v/>
      </c>
      <c r="O50" s="24" t="str">
        <f>IF(H50="I",N50*Contagem!$W$11,IF(H50="E",N50*Contagem!$W$13,IF(H50="A",N50*Contagem!$W$12,IF(H50="T",N50*Contagem!$W$14,""))))</f>
        <v/>
      </c>
      <c r="P50" s="19"/>
      <c r="Q50" s="196"/>
      <c r="R50" s="197" t="str">
        <f>IF(ISNUMBER(N50),0,IF(ISNA(VLOOKUP(Q50,'INM - Regras'!$D$24:$E$37,2)),"",VLOOKUP(Q50,'INM - Regras'!$D$24:$E$37,2)))</f>
        <v/>
      </c>
      <c r="S50" s="198"/>
      <c r="T50" s="105" t="str">
        <f t="shared" si="7"/>
        <v/>
      </c>
      <c r="U50" s="105" t="str">
        <f t="shared" si="8"/>
        <v xml:space="preserve"> </v>
      </c>
      <c r="V50" s="106" t="str">
        <f t="shared" si="9"/>
        <v xml:space="preserve"> </v>
      </c>
      <c r="W50" s="92" t="str">
        <f t="shared" si="4"/>
        <v xml:space="preserve"> </v>
      </c>
      <c r="X50" s="91" t="str">
        <f>IF(ISNUMBER(N50),"PE",IF(ISNA(VLOOKUP(Q50,'INM - Regras'!$D$24:$F$37,3)),"",VLOOKUP(Q50,'INM - Regras'!$D$24:$F$37,3)))</f>
        <v/>
      </c>
      <c r="Y50" s="91"/>
    </row>
    <row r="51" spans="1:25" ht="12" customHeight="1" x14ac:dyDescent="0.25">
      <c r="A51" s="74"/>
      <c r="B51" s="75"/>
      <c r="C51" s="75"/>
      <c r="D51" s="75"/>
      <c r="E51" s="75"/>
      <c r="F51" s="76"/>
      <c r="G51" s="20"/>
      <c r="H51" s="20"/>
      <c r="I51" s="20"/>
      <c r="J51" s="20"/>
      <c r="K51" s="20" t="str">
        <f t="shared" si="5"/>
        <v/>
      </c>
      <c r="L51" s="21" t="str">
        <f t="shared" si="6"/>
        <v/>
      </c>
      <c r="M51" s="22" t="str">
        <f t="shared" si="0"/>
        <v/>
      </c>
      <c r="N51" s="23" t="str">
        <f t="shared" si="1"/>
        <v/>
      </c>
      <c r="O51" s="24" t="str">
        <f>IF(H51="I",N51*Contagem!$W$11,IF(H51="E",N51*Contagem!$W$13,IF(H51="A",N51*Contagem!$W$12,IF(H51="T",N51*Contagem!$W$14,""))))</f>
        <v/>
      </c>
      <c r="P51" s="19"/>
      <c r="Q51" s="196"/>
      <c r="R51" s="197" t="str">
        <f>IF(ISNUMBER(N51),0,IF(ISNA(VLOOKUP(Q51,'INM - Regras'!$D$24:$E$37,2)),"",VLOOKUP(Q51,'INM - Regras'!$D$24:$E$37,2)))</f>
        <v/>
      </c>
      <c r="S51" s="198"/>
      <c r="T51" s="105" t="str">
        <f t="shared" si="7"/>
        <v/>
      </c>
      <c r="U51" s="105" t="str">
        <f t="shared" si="8"/>
        <v xml:space="preserve"> </v>
      </c>
      <c r="V51" s="106" t="str">
        <f t="shared" si="9"/>
        <v xml:space="preserve"> </v>
      </c>
      <c r="W51" s="92" t="str">
        <f t="shared" si="4"/>
        <v xml:space="preserve"> </v>
      </c>
      <c r="X51" s="91" t="str">
        <f>IF(ISNUMBER(N51),"PE",IF(ISNA(VLOOKUP(Q51,'INM - Regras'!$D$24:$F$37,3)),"",VLOOKUP(Q51,'INM - Regras'!$D$24:$F$37,3)))</f>
        <v/>
      </c>
      <c r="Y51" s="91"/>
    </row>
    <row r="52" spans="1:25" ht="12" customHeight="1" x14ac:dyDescent="0.25">
      <c r="A52" s="74"/>
      <c r="B52" s="75"/>
      <c r="C52" s="75"/>
      <c r="D52" s="75"/>
      <c r="E52" s="75"/>
      <c r="F52" s="76"/>
      <c r="G52" s="20"/>
      <c r="H52" s="20"/>
      <c r="I52" s="20"/>
      <c r="J52" s="20"/>
      <c r="K52" s="20" t="str">
        <f t="shared" si="5"/>
        <v/>
      </c>
      <c r="L52" s="21" t="str">
        <f t="shared" si="6"/>
        <v/>
      </c>
      <c r="M52" s="22" t="str">
        <f t="shared" si="0"/>
        <v/>
      </c>
      <c r="N52" s="23" t="str">
        <f t="shared" si="1"/>
        <v/>
      </c>
      <c r="O52" s="24" t="str">
        <f>IF(H52="I",N52*Contagem!$W$11,IF(H52="E",N52*Contagem!$W$13,IF(H52="A",N52*Contagem!$W$12,IF(H52="T",N52*Contagem!$W$14,""))))</f>
        <v/>
      </c>
      <c r="P52" s="19"/>
      <c r="Q52" s="196"/>
      <c r="R52" s="197" t="str">
        <f>IF(ISNUMBER(N52),0,IF(ISNA(VLOOKUP(Q52,'INM - Regras'!$D$24:$E$37,2)),"",VLOOKUP(Q52,'INM - Regras'!$D$24:$E$37,2)))</f>
        <v/>
      </c>
      <c r="S52" s="198"/>
      <c r="T52" s="105" t="str">
        <f t="shared" si="7"/>
        <v/>
      </c>
      <c r="U52" s="105" t="str">
        <f t="shared" si="8"/>
        <v xml:space="preserve"> </v>
      </c>
      <c r="V52" s="106" t="str">
        <f t="shared" si="9"/>
        <v xml:space="preserve"> </v>
      </c>
      <c r="W52" s="92" t="str">
        <f t="shared" si="4"/>
        <v xml:space="preserve"> </v>
      </c>
      <c r="X52" s="91" t="str">
        <f>IF(ISNUMBER(N52),"PE",IF(ISNA(VLOOKUP(Q52,'INM - Regras'!$D$24:$F$37,3)),"",VLOOKUP(Q52,'INM - Regras'!$D$24:$F$37,3)))</f>
        <v/>
      </c>
      <c r="Y52" s="91"/>
    </row>
    <row r="53" spans="1:25" ht="12" customHeight="1" x14ac:dyDescent="0.25">
      <c r="A53" s="74"/>
      <c r="B53" s="75"/>
      <c r="C53" s="75"/>
      <c r="D53" s="75"/>
      <c r="E53" s="75"/>
      <c r="F53" s="76"/>
      <c r="G53" s="20"/>
      <c r="H53" s="20"/>
      <c r="I53" s="20"/>
      <c r="J53" s="20"/>
      <c r="K53" s="20" t="str">
        <f t="shared" si="5"/>
        <v/>
      </c>
      <c r="L53" s="21" t="str">
        <f t="shared" si="6"/>
        <v/>
      </c>
      <c r="M53" s="22" t="str">
        <f t="shared" si="0"/>
        <v/>
      </c>
      <c r="N53" s="23" t="str">
        <f t="shared" si="1"/>
        <v/>
      </c>
      <c r="O53" s="24" t="str">
        <f>IF(H53="I",N53*Contagem!$W$11,IF(H53="E",N53*Contagem!$W$13,IF(H53="A",N53*Contagem!$W$12,IF(H53="T",N53*Contagem!$W$14,""))))</f>
        <v/>
      </c>
      <c r="P53" s="19"/>
      <c r="Q53" s="196"/>
      <c r="R53" s="197" t="str">
        <f>IF(ISNUMBER(N53),0,IF(ISNA(VLOOKUP(Q53,'INM - Regras'!$D$24:$E$37,2)),"",VLOOKUP(Q53,'INM - Regras'!$D$24:$E$37,2)))</f>
        <v/>
      </c>
      <c r="S53" s="198"/>
      <c r="T53" s="105" t="str">
        <f t="shared" si="7"/>
        <v/>
      </c>
      <c r="U53" s="105" t="str">
        <f t="shared" si="8"/>
        <v xml:space="preserve"> </v>
      </c>
      <c r="V53" s="106" t="str">
        <f t="shared" si="9"/>
        <v xml:space="preserve"> </v>
      </c>
      <c r="W53" s="92" t="str">
        <f t="shared" si="4"/>
        <v xml:space="preserve"> </v>
      </c>
      <c r="X53" s="91" t="str">
        <f>IF(ISNUMBER(N53),"PE",IF(ISNA(VLOOKUP(Q53,'INM - Regras'!$D$24:$F$37,3)),"",VLOOKUP(Q53,'INM - Regras'!$D$24:$F$37,3)))</f>
        <v/>
      </c>
      <c r="Y53" s="91"/>
    </row>
    <row r="54" spans="1:25" ht="12" customHeight="1" x14ac:dyDescent="0.25">
      <c r="A54" s="74"/>
      <c r="B54" s="75"/>
      <c r="C54" s="75"/>
      <c r="D54" s="75"/>
      <c r="E54" s="75"/>
      <c r="F54" s="76"/>
      <c r="G54" s="20"/>
      <c r="H54" s="20"/>
      <c r="I54" s="20"/>
      <c r="J54" s="20"/>
      <c r="K54" s="20" t="str">
        <f t="shared" si="5"/>
        <v/>
      </c>
      <c r="L54" s="21" t="str">
        <f t="shared" si="6"/>
        <v/>
      </c>
      <c r="M54" s="22" t="str">
        <f t="shared" si="0"/>
        <v/>
      </c>
      <c r="N54" s="23" t="str">
        <f t="shared" si="1"/>
        <v/>
      </c>
      <c r="O54" s="24" t="str">
        <f>IF(H54="I",N54*Contagem!$W$11,IF(H54="E",N54*Contagem!$W$13,IF(H54="A",N54*Contagem!$W$12,IF(H54="T",N54*Contagem!$W$14,""))))</f>
        <v/>
      </c>
      <c r="P54" s="19"/>
      <c r="Q54" s="196"/>
      <c r="R54" s="197" t="str">
        <f>IF(ISNUMBER(N54),0,IF(ISNA(VLOOKUP(Q54,'INM - Regras'!$D$24:$E$37,2)),"",VLOOKUP(Q54,'INM - Regras'!$D$24:$E$37,2)))</f>
        <v/>
      </c>
      <c r="S54" s="198"/>
      <c r="T54" s="105" t="str">
        <f t="shared" si="7"/>
        <v/>
      </c>
      <c r="U54" s="105" t="str">
        <f t="shared" si="8"/>
        <v xml:space="preserve"> </v>
      </c>
      <c r="V54" s="106" t="str">
        <f t="shared" si="9"/>
        <v xml:space="preserve"> </v>
      </c>
      <c r="W54" s="92" t="str">
        <f t="shared" si="4"/>
        <v xml:space="preserve"> </v>
      </c>
      <c r="X54" s="91" t="str">
        <f>IF(ISNUMBER(N54),"PE",IF(ISNA(VLOOKUP(Q54,'INM - Regras'!$D$24:$F$37,3)),"",VLOOKUP(Q54,'INM - Regras'!$D$24:$F$37,3)))</f>
        <v/>
      </c>
      <c r="Y54" s="91"/>
    </row>
    <row r="55" spans="1:25" ht="12" customHeight="1" x14ac:dyDescent="0.25">
      <c r="A55" s="74"/>
      <c r="B55" s="75"/>
      <c r="C55" s="75"/>
      <c r="D55" s="75"/>
      <c r="E55" s="75"/>
      <c r="F55" s="76"/>
      <c r="G55" s="20"/>
      <c r="H55" s="20"/>
      <c r="I55" s="20"/>
      <c r="J55" s="20"/>
      <c r="K55" s="20" t="str">
        <f t="shared" si="5"/>
        <v/>
      </c>
      <c r="L55" s="21" t="str">
        <f t="shared" si="6"/>
        <v/>
      </c>
      <c r="M55" s="22" t="str">
        <f t="shared" si="0"/>
        <v/>
      </c>
      <c r="N55" s="23" t="str">
        <f t="shared" si="1"/>
        <v/>
      </c>
      <c r="O55" s="24" t="str">
        <f>IF(H55="I",N55*Contagem!$W$11,IF(H55="E",N55*Contagem!$W$13,IF(H55="A",N55*Contagem!$W$12,IF(H55="T",N55*Contagem!$W$14,""))))</f>
        <v/>
      </c>
      <c r="P55" s="19"/>
      <c r="Q55" s="196"/>
      <c r="R55" s="197" t="str">
        <f>IF(ISNUMBER(N55),0,IF(ISNA(VLOOKUP(Q55,'INM - Regras'!$D$24:$E$37,2)),"",VLOOKUP(Q55,'INM - Regras'!$D$24:$E$37,2)))</f>
        <v/>
      </c>
      <c r="S55" s="198"/>
      <c r="T55" s="105" t="str">
        <f t="shared" si="7"/>
        <v/>
      </c>
      <c r="U55" s="105" t="str">
        <f t="shared" si="8"/>
        <v xml:space="preserve"> </v>
      </c>
      <c r="V55" s="106" t="str">
        <f t="shared" si="9"/>
        <v xml:space="preserve"> </v>
      </c>
      <c r="W55" s="92" t="str">
        <f t="shared" si="4"/>
        <v xml:space="preserve"> </v>
      </c>
      <c r="X55" s="91" t="str">
        <f>IF(ISNUMBER(N55),"PE",IF(ISNA(VLOOKUP(Q55,'INM - Regras'!$D$24:$F$37,3)),"",VLOOKUP(Q55,'INM - Regras'!$D$24:$F$37,3)))</f>
        <v/>
      </c>
      <c r="Y55" s="91"/>
    </row>
    <row r="56" spans="1:25" ht="12" customHeight="1" x14ac:dyDescent="0.25">
      <c r="A56" s="74"/>
      <c r="B56" s="75"/>
      <c r="C56" s="75"/>
      <c r="D56" s="75"/>
      <c r="E56" s="75"/>
      <c r="F56" s="76"/>
      <c r="G56" s="20"/>
      <c r="H56" s="20"/>
      <c r="I56" s="20"/>
      <c r="J56" s="20"/>
      <c r="K56" s="20" t="str">
        <f t="shared" si="5"/>
        <v/>
      </c>
      <c r="L56" s="21" t="str">
        <f t="shared" si="6"/>
        <v/>
      </c>
      <c r="M56" s="22" t="str">
        <f t="shared" si="0"/>
        <v/>
      </c>
      <c r="N56" s="23" t="str">
        <f t="shared" si="1"/>
        <v/>
      </c>
      <c r="O56" s="24" t="str">
        <f>IF(H56="I",N56*Contagem!$W$11,IF(H56="E",N56*Contagem!$W$13,IF(H56="A",N56*Contagem!$W$12,IF(H56="T",N56*Contagem!$W$14,""))))</f>
        <v/>
      </c>
      <c r="P56" s="19"/>
      <c r="Q56" s="196"/>
      <c r="R56" s="197" t="str">
        <f>IF(ISNUMBER(N56),0,IF(ISNA(VLOOKUP(Q56,'INM - Regras'!$D$24:$E$37,2)),"",VLOOKUP(Q56,'INM - Regras'!$D$24:$E$37,2)))</f>
        <v/>
      </c>
      <c r="S56" s="198"/>
      <c r="T56" s="105" t="str">
        <f t="shared" si="7"/>
        <v/>
      </c>
      <c r="U56" s="105" t="str">
        <f t="shared" si="8"/>
        <v xml:space="preserve"> </v>
      </c>
      <c r="V56" s="106" t="str">
        <f t="shared" si="9"/>
        <v xml:space="preserve"> </v>
      </c>
      <c r="W56" s="92" t="str">
        <f t="shared" si="4"/>
        <v xml:space="preserve"> </v>
      </c>
      <c r="X56" s="91" t="str">
        <f>IF(ISNUMBER(N56),"PE",IF(ISNA(VLOOKUP(Q56,'INM - Regras'!$D$24:$F$37,3)),"",VLOOKUP(Q56,'INM - Regras'!$D$24:$F$37,3)))</f>
        <v/>
      </c>
      <c r="Y56" s="91"/>
    </row>
    <row r="57" spans="1:25" ht="12" customHeight="1" x14ac:dyDescent="0.25">
      <c r="A57" s="74"/>
      <c r="B57" s="75"/>
      <c r="C57" s="75"/>
      <c r="D57" s="75"/>
      <c r="E57" s="75"/>
      <c r="F57" s="76"/>
      <c r="G57" s="20"/>
      <c r="H57" s="20"/>
      <c r="I57" s="20"/>
      <c r="J57" s="20"/>
      <c r="K57" s="20" t="str">
        <f t="shared" si="5"/>
        <v/>
      </c>
      <c r="L57" s="21" t="str">
        <f t="shared" si="6"/>
        <v/>
      </c>
      <c r="M57" s="22" t="str">
        <f t="shared" si="0"/>
        <v/>
      </c>
      <c r="N57" s="23" t="str">
        <f t="shared" si="1"/>
        <v/>
      </c>
      <c r="O57" s="24" t="str">
        <f>IF(H57="I",N57*Contagem!$W$11,IF(H57="E",N57*Contagem!$W$13,IF(H57="A",N57*Contagem!$W$12,IF(H57="T",N57*Contagem!$W$14,""))))</f>
        <v/>
      </c>
      <c r="P57" s="19"/>
      <c r="Q57" s="196"/>
      <c r="R57" s="197" t="str">
        <f>IF(ISNUMBER(N57),0,IF(ISNA(VLOOKUP(Q57,'INM - Regras'!$D$24:$E$37,2)),"",VLOOKUP(Q57,'INM - Regras'!$D$24:$E$37,2)))</f>
        <v/>
      </c>
      <c r="S57" s="198"/>
      <c r="T57" s="105" t="str">
        <f t="shared" si="7"/>
        <v/>
      </c>
      <c r="U57" s="105" t="str">
        <f t="shared" si="8"/>
        <v xml:space="preserve"> </v>
      </c>
      <c r="V57" s="106" t="str">
        <f t="shared" si="9"/>
        <v xml:space="preserve"> </v>
      </c>
      <c r="W57" s="92" t="str">
        <f t="shared" si="4"/>
        <v xml:space="preserve"> </v>
      </c>
      <c r="X57" s="91" t="str">
        <f>IF(ISNUMBER(N57),"PE",IF(ISNA(VLOOKUP(Q57,'INM - Regras'!$D$24:$F$37,3)),"",VLOOKUP(Q57,'INM - Regras'!$D$24:$F$37,3)))</f>
        <v/>
      </c>
      <c r="Y57" s="91"/>
    </row>
    <row r="58" spans="1:25" ht="12" customHeight="1" x14ac:dyDescent="0.25">
      <c r="A58" s="74"/>
      <c r="B58" s="75"/>
      <c r="C58" s="75"/>
      <c r="D58" s="75"/>
      <c r="E58" s="75"/>
      <c r="F58" s="76"/>
      <c r="G58" s="20"/>
      <c r="H58" s="20"/>
      <c r="I58" s="20"/>
      <c r="J58" s="20"/>
      <c r="K58" s="20" t="str">
        <f t="shared" si="5"/>
        <v/>
      </c>
      <c r="L58" s="21" t="str">
        <f t="shared" si="6"/>
        <v/>
      </c>
      <c r="M58" s="22" t="str">
        <f t="shared" si="0"/>
        <v/>
      </c>
      <c r="N58" s="23" t="str">
        <f t="shared" si="1"/>
        <v/>
      </c>
      <c r="O58" s="24" t="str">
        <f>IF(H58="I",N58*Contagem!$W$11,IF(H58="E",N58*Contagem!$W$13,IF(H58="A",N58*Contagem!$W$12,IF(H58="T",N58*Contagem!$W$14,""))))</f>
        <v/>
      </c>
      <c r="P58" s="19"/>
      <c r="Q58" s="196"/>
      <c r="R58" s="197" t="str">
        <f>IF(ISNUMBER(N58),0,IF(ISNA(VLOOKUP(Q58,'INM - Regras'!$D$24:$E$37,2)),"",VLOOKUP(Q58,'INM - Regras'!$D$24:$E$37,2)))</f>
        <v/>
      </c>
      <c r="S58" s="198"/>
      <c r="T58" s="105" t="str">
        <f t="shared" si="7"/>
        <v/>
      </c>
      <c r="U58" s="105" t="str">
        <f t="shared" si="8"/>
        <v xml:space="preserve"> </v>
      </c>
      <c r="V58" s="106" t="str">
        <f t="shared" si="9"/>
        <v xml:space="preserve"> </v>
      </c>
      <c r="W58" s="92" t="str">
        <f t="shared" si="4"/>
        <v xml:space="preserve"> </v>
      </c>
      <c r="X58" s="91" t="str">
        <f>IF(ISNUMBER(N58),"PE",IF(ISNA(VLOOKUP(Q58,'INM - Regras'!$D$24:$F$37,3)),"",VLOOKUP(Q58,'INM - Regras'!$D$24:$F$37,3)))</f>
        <v/>
      </c>
      <c r="Y58" s="91"/>
    </row>
    <row r="59" spans="1:25" ht="12" customHeight="1" x14ac:dyDescent="0.25">
      <c r="A59" s="74"/>
      <c r="B59" s="75"/>
      <c r="C59" s="75"/>
      <c r="D59" s="75"/>
      <c r="E59" s="75"/>
      <c r="F59" s="76"/>
      <c r="G59" s="20"/>
      <c r="H59" s="20"/>
      <c r="I59" s="20"/>
      <c r="J59" s="20"/>
      <c r="K59" s="20" t="str">
        <f t="shared" si="5"/>
        <v/>
      </c>
      <c r="L59" s="21" t="str">
        <f t="shared" si="6"/>
        <v/>
      </c>
      <c r="M59" s="22" t="str">
        <f t="shared" si="0"/>
        <v/>
      </c>
      <c r="N59" s="23" t="str">
        <f t="shared" si="1"/>
        <v/>
      </c>
      <c r="O59" s="24" t="str">
        <f>IF(H59="I",N59*Contagem!$W$11,IF(H59="E",N59*Contagem!$W$13,IF(H59="A",N59*Contagem!$W$12,IF(H59="T",N59*Contagem!$W$14,""))))</f>
        <v/>
      </c>
      <c r="P59" s="19"/>
      <c r="Q59" s="196"/>
      <c r="R59" s="197" t="str">
        <f>IF(ISNUMBER(N59),0,IF(ISNA(VLOOKUP(Q59,'INM - Regras'!$D$24:$E$37,2)),"",VLOOKUP(Q59,'INM - Regras'!$D$24:$E$37,2)))</f>
        <v/>
      </c>
      <c r="S59" s="198"/>
      <c r="T59" s="105" t="str">
        <f t="shared" si="7"/>
        <v/>
      </c>
      <c r="U59" s="105" t="str">
        <f t="shared" si="8"/>
        <v xml:space="preserve"> </v>
      </c>
      <c r="V59" s="106" t="str">
        <f t="shared" si="9"/>
        <v xml:space="preserve"> </v>
      </c>
      <c r="W59" s="92" t="str">
        <f t="shared" si="4"/>
        <v xml:space="preserve"> </v>
      </c>
      <c r="X59" s="91" t="str">
        <f>IF(ISNUMBER(N59),"PE",IF(ISNA(VLOOKUP(Q59,'INM - Regras'!$D$24:$F$37,3)),"",VLOOKUP(Q59,'INM - Regras'!$D$24:$F$37,3)))</f>
        <v/>
      </c>
      <c r="Y59" s="91"/>
    </row>
    <row r="60" spans="1:25" ht="12" customHeight="1" x14ac:dyDescent="0.25">
      <c r="A60" s="74"/>
      <c r="B60" s="75"/>
      <c r="C60" s="75"/>
      <c r="D60" s="75"/>
      <c r="E60" s="75"/>
      <c r="F60" s="76"/>
      <c r="G60" s="20"/>
      <c r="H60" s="20"/>
      <c r="I60" s="20"/>
      <c r="J60" s="20"/>
      <c r="K60" s="20" t="str">
        <f t="shared" si="5"/>
        <v/>
      </c>
      <c r="L60" s="21" t="str">
        <f t="shared" si="6"/>
        <v/>
      </c>
      <c r="M60" s="22" t="str">
        <f t="shared" si="0"/>
        <v/>
      </c>
      <c r="N60" s="23" t="str">
        <f t="shared" si="1"/>
        <v/>
      </c>
      <c r="O60" s="24" t="str">
        <f>IF(H60="I",N60*Contagem!$W$11,IF(H60="E",N60*Contagem!$W$13,IF(H60="A",N60*Contagem!$W$12,IF(H60="T",N60*Contagem!$W$14,""))))</f>
        <v/>
      </c>
      <c r="P60" s="19"/>
      <c r="Q60" s="196"/>
      <c r="R60" s="197" t="str">
        <f>IF(ISNUMBER(N60),0,IF(ISNA(VLOOKUP(Q60,'INM - Regras'!$D$24:$E$37,2)),"",VLOOKUP(Q60,'INM - Regras'!$D$24:$E$37,2)))</f>
        <v/>
      </c>
      <c r="S60" s="198"/>
      <c r="T60" s="105" t="str">
        <f t="shared" si="7"/>
        <v/>
      </c>
      <c r="U60" s="105" t="str">
        <f t="shared" si="8"/>
        <v xml:space="preserve"> </v>
      </c>
      <c r="V60" s="106" t="str">
        <f t="shared" si="9"/>
        <v xml:space="preserve"> </v>
      </c>
      <c r="W60" s="92" t="str">
        <f t="shared" si="4"/>
        <v xml:space="preserve"> </v>
      </c>
      <c r="X60" s="91" t="str">
        <f>IF(ISNUMBER(N60),"PE",IF(ISNA(VLOOKUP(Q60,'INM - Regras'!$D$24:$F$37,3)),"",VLOOKUP(Q60,'INM - Regras'!$D$24:$F$37,3)))</f>
        <v/>
      </c>
      <c r="Y60" s="91"/>
    </row>
    <row r="61" spans="1:25" ht="12" customHeight="1" x14ac:dyDescent="0.25">
      <c r="A61" s="74"/>
      <c r="B61" s="75"/>
      <c r="C61" s="75"/>
      <c r="D61" s="75"/>
      <c r="E61" s="75"/>
      <c r="F61" s="76"/>
      <c r="G61" s="20"/>
      <c r="H61" s="20"/>
      <c r="I61" s="20"/>
      <c r="J61" s="20"/>
      <c r="K61" s="20" t="str">
        <f t="shared" si="5"/>
        <v/>
      </c>
      <c r="L61" s="21" t="str">
        <f t="shared" si="6"/>
        <v/>
      </c>
      <c r="M61" s="22" t="str">
        <f t="shared" si="0"/>
        <v/>
      </c>
      <c r="N61" s="23" t="str">
        <f t="shared" si="1"/>
        <v/>
      </c>
      <c r="O61" s="24" t="str">
        <f>IF(H61="I",N61*Contagem!$W$11,IF(H61="E",N61*Contagem!$W$13,IF(H61="A",N61*Contagem!$W$12,IF(H61="T",N61*Contagem!$W$14,""))))</f>
        <v/>
      </c>
      <c r="P61" s="19"/>
      <c r="Q61" s="196"/>
      <c r="R61" s="197" t="str">
        <f>IF(ISNUMBER(N61),0,IF(ISNA(VLOOKUP(Q61,'INM - Regras'!$D$24:$E$37,2)),"",VLOOKUP(Q61,'INM - Regras'!$D$24:$E$37,2)))</f>
        <v/>
      </c>
      <c r="S61" s="198"/>
      <c r="T61" s="105" t="str">
        <f t="shared" si="7"/>
        <v/>
      </c>
      <c r="U61" s="105" t="str">
        <f t="shared" si="8"/>
        <v xml:space="preserve"> </v>
      </c>
      <c r="V61" s="106" t="str">
        <f t="shared" si="9"/>
        <v xml:space="preserve"> </v>
      </c>
      <c r="W61" s="92" t="str">
        <f t="shared" si="4"/>
        <v xml:space="preserve"> </v>
      </c>
      <c r="X61" s="91" t="str">
        <f>IF(ISNUMBER(N61),"PE",IF(ISNA(VLOOKUP(Q61,'INM - Regras'!$D$24:$F$37,3)),"",VLOOKUP(Q61,'INM - Regras'!$D$24:$F$37,3)))</f>
        <v/>
      </c>
      <c r="Y61" s="91"/>
    </row>
    <row r="62" spans="1:25" ht="12" customHeight="1" x14ac:dyDescent="0.25">
      <c r="A62" s="74"/>
      <c r="B62" s="75"/>
      <c r="C62" s="75"/>
      <c r="D62" s="75"/>
      <c r="E62" s="75"/>
      <c r="F62" s="76"/>
      <c r="G62" s="20"/>
      <c r="H62" s="20"/>
      <c r="I62" s="20"/>
      <c r="J62" s="20"/>
      <c r="K62" s="20" t="str">
        <f t="shared" si="5"/>
        <v/>
      </c>
      <c r="L62" s="21" t="str">
        <f t="shared" si="6"/>
        <v/>
      </c>
      <c r="M62" s="22" t="str">
        <f t="shared" si="0"/>
        <v/>
      </c>
      <c r="N62" s="23" t="str">
        <f t="shared" si="1"/>
        <v/>
      </c>
      <c r="O62" s="24" t="str">
        <f>IF(H62="I",N62*Contagem!$W$11,IF(H62="E",N62*Contagem!$W$13,IF(H62="A",N62*Contagem!$W$12,IF(H62="T",N62*Contagem!$W$14,""))))</f>
        <v/>
      </c>
      <c r="P62" s="19"/>
      <c r="Q62" s="196"/>
      <c r="R62" s="197" t="str">
        <f>IF(ISNUMBER(N62),0,IF(ISNA(VLOOKUP(Q62,'INM - Regras'!$D$24:$E$37,2)),"",VLOOKUP(Q62,'INM - Regras'!$D$24:$E$37,2)))</f>
        <v/>
      </c>
      <c r="S62" s="198"/>
      <c r="T62" s="105" t="str">
        <f t="shared" si="7"/>
        <v/>
      </c>
      <c r="U62" s="105" t="str">
        <f t="shared" si="8"/>
        <v xml:space="preserve"> </v>
      </c>
      <c r="V62" s="106" t="str">
        <f t="shared" si="9"/>
        <v xml:space="preserve"> </v>
      </c>
      <c r="W62" s="92" t="str">
        <f t="shared" si="4"/>
        <v xml:space="preserve"> </v>
      </c>
      <c r="X62" s="91" t="str">
        <f>IF(ISNUMBER(N62),"PE",IF(ISNA(VLOOKUP(Q62,'INM - Regras'!$D$24:$F$37,3)),"",VLOOKUP(Q62,'INM - Regras'!$D$24:$F$37,3)))</f>
        <v/>
      </c>
      <c r="Y62" s="91"/>
    </row>
    <row r="63" spans="1:25" ht="12" customHeight="1" x14ac:dyDescent="0.25">
      <c r="A63" s="74"/>
      <c r="B63" s="75"/>
      <c r="C63" s="75"/>
      <c r="D63" s="75"/>
      <c r="E63" s="75"/>
      <c r="F63" s="76"/>
      <c r="G63" s="20"/>
      <c r="H63" s="20"/>
      <c r="I63" s="20"/>
      <c r="J63" s="20"/>
      <c r="K63" s="20" t="str">
        <f t="shared" si="5"/>
        <v/>
      </c>
      <c r="L63" s="21" t="str">
        <f t="shared" si="6"/>
        <v/>
      </c>
      <c r="M63" s="22" t="str">
        <f t="shared" si="0"/>
        <v/>
      </c>
      <c r="N63" s="23" t="str">
        <f t="shared" si="1"/>
        <v/>
      </c>
      <c r="O63" s="24" t="str">
        <f>IF(H63="I",N63*Contagem!$W$11,IF(H63="E",N63*Contagem!$W$13,IF(H63="A",N63*Contagem!$W$12,IF(H63="T",N63*Contagem!$W$14,""))))</f>
        <v/>
      </c>
      <c r="P63" s="19"/>
      <c r="Q63" s="196"/>
      <c r="R63" s="197" t="str">
        <f>IF(ISNUMBER(N63),0,IF(ISNA(VLOOKUP(Q63,'INM - Regras'!$D$24:$E$37,2)),"",VLOOKUP(Q63,'INM - Regras'!$D$24:$E$37,2)))</f>
        <v/>
      </c>
      <c r="S63" s="198"/>
      <c r="T63" s="105" t="str">
        <f t="shared" si="7"/>
        <v/>
      </c>
      <c r="U63" s="105" t="str">
        <f t="shared" si="8"/>
        <v xml:space="preserve"> </v>
      </c>
      <c r="V63" s="106" t="str">
        <f t="shared" si="9"/>
        <v xml:space="preserve"> </v>
      </c>
      <c r="W63" s="92" t="str">
        <f t="shared" si="4"/>
        <v xml:space="preserve"> </v>
      </c>
      <c r="X63" s="91" t="str">
        <f>IF(ISNUMBER(N63),"PE",IF(ISNA(VLOOKUP(Q63,'INM - Regras'!$D$24:$F$37,3)),"",VLOOKUP(Q63,'INM - Regras'!$D$24:$F$37,3)))</f>
        <v/>
      </c>
      <c r="Y63" s="91"/>
    </row>
    <row r="64" spans="1:25" ht="12" customHeight="1" x14ac:dyDescent="0.25">
      <c r="A64" s="74"/>
      <c r="B64" s="75"/>
      <c r="C64" s="75"/>
      <c r="D64" s="75"/>
      <c r="E64" s="75"/>
      <c r="F64" s="76"/>
      <c r="G64" s="20"/>
      <c r="H64" s="20"/>
      <c r="I64" s="20"/>
      <c r="J64" s="20"/>
      <c r="K64" s="20" t="str">
        <f t="shared" si="5"/>
        <v/>
      </c>
      <c r="L64" s="21" t="str">
        <f t="shared" si="6"/>
        <v/>
      </c>
      <c r="M64" s="22" t="str">
        <f t="shared" si="0"/>
        <v/>
      </c>
      <c r="N64" s="23" t="str">
        <f t="shared" si="1"/>
        <v/>
      </c>
      <c r="O64" s="24" t="str">
        <f>IF(H64="I",N64*Contagem!$W$11,IF(H64="E",N64*Contagem!$W$13,IF(H64="A",N64*Contagem!$W$12,IF(H64="T",N64*Contagem!$W$14,""))))</f>
        <v/>
      </c>
      <c r="P64" s="19"/>
      <c r="Q64" s="196"/>
      <c r="R64" s="197" t="str">
        <f>IF(ISNUMBER(N64),0,IF(ISNA(VLOOKUP(Q64,'INM - Regras'!$D$24:$E$37,2)),"",VLOOKUP(Q64,'INM - Regras'!$D$24:$E$37,2)))</f>
        <v/>
      </c>
      <c r="S64" s="198"/>
      <c r="T64" s="105" t="str">
        <f t="shared" si="7"/>
        <v/>
      </c>
      <c r="U64" s="105" t="str">
        <f t="shared" si="8"/>
        <v xml:space="preserve"> </v>
      </c>
      <c r="V64" s="106" t="str">
        <f t="shared" si="9"/>
        <v xml:space="preserve"> </v>
      </c>
      <c r="W64" s="92" t="str">
        <f t="shared" si="4"/>
        <v xml:space="preserve"> </v>
      </c>
      <c r="X64" s="91" t="str">
        <f>IF(ISNUMBER(N64),"PE",IF(ISNA(VLOOKUP(Q64,'INM - Regras'!$D$24:$F$37,3)),"",VLOOKUP(Q64,'INM - Regras'!$D$24:$F$37,3)))</f>
        <v/>
      </c>
      <c r="Y64" s="91"/>
    </row>
    <row r="65" spans="1:25" ht="12" customHeight="1" x14ac:dyDescent="0.25">
      <c r="A65" s="74"/>
      <c r="B65" s="75"/>
      <c r="C65" s="75"/>
      <c r="D65" s="75"/>
      <c r="E65" s="75"/>
      <c r="F65" s="76"/>
      <c r="G65" s="20"/>
      <c r="H65" s="20"/>
      <c r="I65" s="20"/>
      <c r="J65" s="20"/>
      <c r="K65" s="20" t="str">
        <f t="shared" si="5"/>
        <v/>
      </c>
      <c r="L65" s="21" t="str">
        <f t="shared" si="6"/>
        <v/>
      </c>
      <c r="M65" s="22" t="str">
        <f t="shared" si="0"/>
        <v/>
      </c>
      <c r="N65" s="23" t="str">
        <f t="shared" si="1"/>
        <v/>
      </c>
      <c r="O65" s="24" t="str">
        <f>IF(H65="I",N65*Contagem!$W$11,IF(H65="E",N65*Contagem!$W$13,IF(H65="A",N65*Contagem!$W$12,IF(H65="T",N65*Contagem!$W$14,""))))</f>
        <v/>
      </c>
      <c r="P65" s="19"/>
      <c r="Q65" s="196"/>
      <c r="R65" s="197" t="str">
        <f>IF(ISNUMBER(N65),0,IF(ISNA(VLOOKUP(Q65,'INM - Regras'!$D$24:$E$37,2)),"",VLOOKUP(Q65,'INM - Regras'!$D$24:$E$37,2)))</f>
        <v/>
      </c>
      <c r="S65" s="198"/>
      <c r="T65" s="105" t="str">
        <f t="shared" si="7"/>
        <v/>
      </c>
      <c r="U65" s="105" t="str">
        <f t="shared" si="8"/>
        <v xml:space="preserve"> </v>
      </c>
      <c r="V65" s="106" t="str">
        <f t="shared" si="9"/>
        <v xml:space="preserve"> </v>
      </c>
      <c r="W65" s="92" t="str">
        <f t="shared" si="4"/>
        <v xml:space="preserve"> </v>
      </c>
      <c r="X65" s="91" t="str">
        <f>IF(ISNUMBER(N65),"PE",IF(ISNA(VLOOKUP(Q65,'INM - Regras'!$D$24:$F$37,3)),"",VLOOKUP(Q65,'INM - Regras'!$D$24:$F$37,3)))</f>
        <v/>
      </c>
      <c r="Y65" s="91"/>
    </row>
    <row r="66" spans="1:25" ht="12" customHeight="1" x14ac:dyDescent="0.25">
      <c r="A66" s="74"/>
      <c r="B66" s="75"/>
      <c r="C66" s="75"/>
      <c r="D66" s="75"/>
      <c r="E66" s="75"/>
      <c r="F66" s="76"/>
      <c r="G66" s="20"/>
      <c r="H66" s="20"/>
      <c r="I66" s="20"/>
      <c r="J66" s="20"/>
      <c r="K66" s="20" t="str">
        <f t="shared" si="5"/>
        <v/>
      </c>
      <c r="L66" s="21" t="str">
        <f t="shared" si="6"/>
        <v/>
      </c>
      <c r="M66" s="22" t="str">
        <f t="shared" si="0"/>
        <v/>
      </c>
      <c r="N66" s="23" t="str">
        <f t="shared" si="1"/>
        <v/>
      </c>
      <c r="O66" s="24" t="str">
        <f>IF(H66="I",N66*Contagem!$W$11,IF(H66="E",N66*Contagem!$W$13,IF(H66="A",N66*Contagem!$W$12,IF(H66="T",N66*Contagem!$W$14,""))))</f>
        <v/>
      </c>
      <c r="P66" s="19"/>
      <c r="Q66" s="196"/>
      <c r="R66" s="197" t="str">
        <f>IF(ISNUMBER(N66),0,IF(ISNA(VLOOKUP(Q66,'INM - Regras'!$D$24:$E$37,2)),"",VLOOKUP(Q66,'INM - Regras'!$D$24:$E$37,2)))</f>
        <v/>
      </c>
      <c r="S66" s="198"/>
      <c r="T66" s="105" t="str">
        <f t="shared" si="7"/>
        <v/>
      </c>
      <c r="U66" s="105" t="str">
        <f t="shared" si="8"/>
        <v xml:space="preserve"> </v>
      </c>
      <c r="V66" s="106" t="str">
        <f t="shared" si="9"/>
        <v xml:space="preserve"> </v>
      </c>
      <c r="W66" s="92" t="str">
        <f t="shared" si="4"/>
        <v xml:space="preserve"> </v>
      </c>
      <c r="X66" s="91" t="str">
        <f>IF(ISNUMBER(N66),"PE",IF(ISNA(VLOOKUP(Q66,'INM - Regras'!$D$24:$F$37,3)),"",VLOOKUP(Q66,'INM - Regras'!$D$24:$F$37,3)))</f>
        <v/>
      </c>
      <c r="Y66" s="91"/>
    </row>
    <row r="67" spans="1:25" ht="12" customHeight="1" x14ac:dyDescent="0.25">
      <c r="A67" s="74"/>
      <c r="B67" s="75"/>
      <c r="C67" s="75"/>
      <c r="D67" s="75"/>
      <c r="E67" s="75"/>
      <c r="F67" s="76"/>
      <c r="G67" s="20"/>
      <c r="H67" s="20"/>
      <c r="I67" s="20"/>
      <c r="J67" s="20"/>
      <c r="K67" s="20" t="str">
        <f t="shared" si="5"/>
        <v/>
      </c>
      <c r="L67" s="21" t="str">
        <f t="shared" si="6"/>
        <v/>
      </c>
      <c r="M67" s="22" t="str">
        <f t="shared" si="0"/>
        <v/>
      </c>
      <c r="N67" s="23" t="str">
        <f t="shared" si="1"/>
        <v/>
      </c>
      <c r="O67" s="24" t="str">
        <f>IF(H67="I",N67*Contagem!$W$11,IF(H67="E",N67*Contagem!$W$13,IF(H67="A",N67*Contagem!$W$12,IF(H67="T",N67*Contagem!$W$14,""))))</f>
        <v/>
      </c>
      <c r="P67" s="19"/>
      <c r="Q67" s="196"/>
      <c r="R67" s="197" t="str">
        <f>IF(ISNUMBER(N67),0,IF(ISNA(VLOOKUP(Q67,'INM - Regras'!$D$24:$E$37,2)),"",VLOOKUP(Q67,'INM - Regras'!$D$24:$E$37,2)))</f>
        <v/>
      </c>
      <c r="S67" s="198"/>
      <c r="T67" s="105" t="str">
        <f t="shared" si="7"/>
        <v/>
      </c>
      <c r="U67" s="105" t="str">
        <f t="shared" si="8"/>
        <v xml:space="preserve"> </v>
      </c>
      <c r="V67" s="106" t="str">
        <f t="shared" si="9"/>
        <v xml:space="preserve"> </v>
      </c>
      <c r="W67" s="92" t="str">
        <f t="shared" si="4"/>
        <v xml:space="preserve"> </v>
      </c>
      <c r="X67" s="91" t="str">
        <f>IF(ISNUMBER(N67),"PE",IF(ISNA(VLOOKUP(Q67,'INM - Regras'!$D$24:$F$37,3)),"",VLOOKUP(Q67,'INM - Regras'!$D$24:$F$37,3)))</f>
        <v/>
      </c>
      <c r="Y67" s="91"/>
    </row>
    <row r="68" spans="1:25" ht="12" customHeight="1" x14ac:dyDescent="0.25">
      <c r="A68" s="74"/>
      <c r="B68" s="75"/>
      <c r="C68" s="75"/>
      <c r="D68" s="75"/>
      <c r="E68" s="75"/>
      <c r="F68" s="76"/>
      <c r="G68" s="20"/>
      <c r="H68" s="20"/>
      <c r="I68" s="20"/>
      <c r="J68" s="20"/>
      <c r="K68" s="20" t="str">
        <f t="shared" si="5"/>
        <v/>
      </c>
      <c r="L68" s="21" t="str">
        <f t="shared" si="6"/>
        <v/>
      </c>
      <c r="M68" s="22" t="str">
        <f t="shared" si="0"/>
        <v/>
      </c>
      <c r="N68" s="23" t="str">
        <f t="shared" si="1"/>
        <v/>
      </c>
      <c r="O68" s="24" t="str">
        <f>IF(H68="I",N68*Contagem!$W$11,IF(H68="E",N68*Contagem!$W$13,IF(H68="A",N68*Contagem!$W$12,IF(H68="T",N68*Contagem!$W$14,""))))</f>
        <v/>
      </c>
      <c r="P68" s="19"/>
      <c r="Q68" s="196"/>
      <c r="R68" s="197" t="str">
        <f>IF(ISNUMBER(N68),0,IF(ISNA(VLOOKUP(Q68,'INM - Regras'!$D$24:$E$37,2)),"",VLOOKUP(Q68,'INM - Regras'!$D$24:$E$37,2)))</f>
        <v/>
      </c>
      <c r="S68" s="198"/>
      <c r="T68" s="105" t="str">
        <f t="shared" si="7"/>
        <v/>
      </c>
      <c r="U68" s="105" t="str">
        <f t="shared" si="8"/>
        <v xml:space="preserve"> </v>
      </c>
      <c r="V68" s="106" t="str">
        <f t="shared" si="9"/>
        <v xml:space="preserve"> </v>
      </c>
      <c r="W68" s="92" t="str">
        <f t="shared" si="4"/>
        <v xml:space="preserve"> </v>
      </c>
      <c r="X68" s="91" t="str">
        <f>IF(ISNUMBER(N68),"PE",IF(ISNA(VLOOKUP(Q68,'INM - Regras'!$D$24:$F$37,3)),"",VLOOKUP(Q68,'INM - Regras'!$D$24:$F$37,3)))</f>
        <v/>
      </c>
      <c r="Y68" s="91"/>
    </row>
    <row r="69" spans="1:25" ht="12" customHeight="1" x14ac:dyDescent="0.25">
      <c r="A69" s="74"/>
      <c r="B69" s="75"/>
      <c r="C69" s="75"/>
      <c r="D69" s="75"/>
      <c r="E69" s="75"/>
      <c r="F69" s="76"/>
      <c r="G69" s="20"/>
      <c r="H69" s="20"/>
      <c r="I69" s="20"/>
      <c r="J69" s="20"/>
      <c r="K69" s="20" t="str">
        <f t="shared" si="5"/>
        <v/>
      </c>
      <c r="L69" s="21" t="str">
        <f t="shared" si="6"/>
        <v/>
      </c>
      <c r="M69" s="22" t="str">
        <f t="shared" si="0"/>
        <v/>
      </c>
      <c r="N69" s="23" t="str">
        <f t="shared" si="1"/>
        <v/>
      </c>
      <c r="O69" s="24" t="str">
        <f>IF(H69="I",N69*Contagem!$W$11,IF(H69="E",N69*Contagem!$W$13,IF(H69="A",N69*Contagem!$W$12,IF(H69="T",N69*Contagem!$W$14,""))))</f>
        <v/>
      </c>
      <c r="P69" s="19"/>
      <c r="Q69" s="196"/>
      <c r="R69" s="197" t="str">
        <f>IF(ISNUMBER(N69),0,IF(ISNA(VLOOKUP(Q69,'INM - Regras'!$D$24:$E$37,2)),"",VLOOKUP(Q69,'INM - Regras'!$D$24:$E$37,2)))</f>
        <v/>
      </c>
      <c r="S69" s="198"/>
      <c r="T69" s="105" t="str">
        <f t="shared" si="7"/>
        <v/>
      </c>
      <c r="U69" s="105" t="str">
        <f t="shared" si="8"/>
        <v xml:space="preserve"> </v>
      </c>
      <c r="V69" s="106" t="str">
        <f t="shared" si="9"/>
        <v xml:space="preserve"> </v>
      </c>
      <c r="W69" s="92" t="str">
        <f t="shared" si="4"/>
        <v xml:space="preserve"> </v>
      </c>
      <c r="X69" s="91" t="str">
        <f>IF(ISNUMBER(N69),"PE",IF(ISNA(VLOOKUP(Q69,'INM - Regras'!$D$24:$F$37,3)),"",VLOOKUP(Q69,'INM - Regras'!$D$24:$F$37,3)))</f>
        <v/>
      </c>
      <c r="Y69" s="91"/>
    </row>
    <row r="70" spans="1:25" ht="12" customHeight="1" x14ac:dyDescent="0.25">
      <c r="A70" s="74"/>
      <c r="B70" s="75"/>
      <c r="C70" s="75"/>
      <c r="D70" s="75"/>
      <c r="E70" s="75"/>
      <c r="F70" s="76"/>
      <c r="G70" s="20"/>
      <c r="H70" s="20"/>
      <c r="I70" s="20"/>
      <c r="J70" s="20"/>
      <c r="K70" s="20" t="str">
        <f t="shared" si="5"/>
        <v/>
      </c>
      <c r="L70" s="21" t="str">
        <f t="shared" si="6"/>
        <v/>
      </c>
      <c r="M70" s="22" t="str">
        <f t="shared" si="0"/>
        <v/>
      </c>
      <c r="N70" s="23" t="str">
        <f t="shared" si="1"/>
        <v/>
      </c>
      <c r="O70" s="24" t="str">
        <f>IF(H70="I",N70*Contagem!$W$11,IF(H70="E",N70*Contagem!$W$13,IF(H70="A",N70*Contagem!$W$12,IF(H70="T",N70*Contagem!$W$14,""))))</f>
        <v/>
      </c>
      <c r="P70" s="19"/>
      <c r="Q70" s="196"/>
      <c r="R70" s="197" t="str">
        <f>IF(ISNUMBER(N70),0,IF(ISNA(VLOOKUP(Q70,'INM - Regras'!$D$24:$E$37,2)),"",VLOOKUP(Q70,'INM - Regras'!$D$24:$E$37,2)))</f>
        <v/>
      </c>
      <c r="S70" s="198"/>
      <c r="T70" s="105" t="str">
        <f t="shared" si="7"/>
        <v/>
      </c>
      <c r="U70" s="105" t="str">
        <f t="shared" si="8"/>
        <v xml:space="preserve"> </v>
      </c>
      <c r="V70" s="106" t="str">
        <f t="shared" si="9"/>
        <v xml:space="preserve"> </v>
      </c>
      <c r="W70" s="92" t="str">
        <f t="shared" si="4"/>
        <v xml:space="preserve"> </v>
      </c>
      <c r="X70" s="91" t="str">
        <f>IF(ISNUMBER(N70),"PE",IF(ISNA(VLOOKUP(Q70,'INM - Regras'!$D$24:$F$37,3)),"",VLOOKUP(Q70,'INM - Regras'!$D$24:$F$37,3)))</f>
        <v/>
      </c>
      <c r="Y70" s="91"/>
    </row>
    <row r="71" spans="1:25" ht="12" customHeight="1" x14ac:dyDescent="0.25">
      <c r="A71" s="74"/>
      <c r="B71" s="75"/>
      <c r="C71" s="75"/>
      <c r="D71" s="75"/>
      <c r="E71" s="75"/>
      <c r="F71" s="76"/>
      <c r="G71" s="20"/>
      <c r="H71" s="20"/>
      <c r="I71" s="20"/>
      <c r="J71" s="20"/>
      <c r="K71" s="20" t="str">
        <f t="shared" si="5"/>
        <v/>
      </c>
      <c r="L71" s="21" t="str">
        <f t="shared" si="6"/>
        <v/>
      </c>
      <c r="M71" s="22" t="str">
        <f t="shared" si="0"/>
        <v/>
      </c>
      <c r="N71" s="23" t="str">
        <f t="shared" si="1"/>
        <v/>
      </c>
      <c r="O71" s="24" t="str">
        <f>IF(H71="I",N71*Contagem!$W$11,IF(H71="E",N71*Contagem!$W$13,IF(H71="A",N71*Contagem!$W$12,IF(H71="T",N71*Contagem!$W$14,""))))</f>
        <v/>
      </c>
      <c r="P71" s="19"/>
      <c r="Q71" s="196"/>
      <c r="R71" s="197" t="str">
        <f>IF(ISNUMBER(N71),0,IF(ISNA(VLOOKUP(Q71,'INM - Regras'!$D$24:$E$37,2)),"",VLOOKUP(Q71,'INM - Regras'!$D$24:$E$37,2)))</f>
        <v/>
      </c>
      <c r="S71" s="198"/>
      <c r="T71" s="105" t="str">
        <f t="shared" si="7"/>
        <v/>
      </c>
      <c r="U71" s="105" t="str">
        <f t="shared" si="8"/>
        <v xml:space="preserve"> </v>
      </c>
      <c r="V71" s="106" t="str">
        <f t="shared" si="9"/>
        <v xml:space="preserve"> </v>
      </c>
      <c r="W71" s="92" t="str">
        <f t="shared" si="4"/>
        <v xml:space="preserve"> </v>
      </c>
      <c r="X71" s="91" t="str">
        <f>IF(ISNUMBER(N71),"PE",IF(ISNA(VLOOKUP(Q71,'INM - Regras'!$D$24:$F$37,3)),"",VLOOKUP(Q71,'INM - Regras'!$D$24:$F$37,3)))</f>
        <v/>
      </c>
      <c r="Y71" s="91"/>
    </row>
    <row r="72" spans="1:25" ht="12" customHeight="1" x14ac:dyDescent="0.25">
      <c r="A72" s="74"/>
      <c r="B72" s="75"/>
      <c r="C72" s="75"/>
      <c r="D72" s="75"/>
      <c r="E72" s="75"/>
      <c r="F72" s="76"/>
      <c r="G72" s="20"/>
      <c r="H72" s="20"/>
      <c r="I72" s="20"/>
      <c r="J72" s="20"/>
      <c r="K72" s="20" t="str">
        <f t="shared" ref="K72:K113" si="10">CONCATENATE(G72,L72)</f>
        <v/>
      </c>
      <c r="L72" s="21" t="str">
        <f t="shared" ref="L72:L113" si="11">IF(OR(ISBLANK(I72),ISBLANK(J72)),IF(OR(G72="ALI",G72="AIE"),"L",IF(ISBLANK(G72),"","A")),IF(G72="EE",IF(J72&gt;=3,IF(I72&gt;=5,"H","A"),IF(J72&gt;=2,IF(I72&gt;=16,"H",IF(I72&lt;=4,"L","A")),IF(I72&lt;=15,"L","A"))),IF(OR(G72="SE",G72="CE"),IF(J72&gt;=4,IF(I72&gt;=6,"H","A"),IF(J72&gt;=2,IF(I72&gt;=20,"H",IF(I72&lt;=5,"L","A")),IF(I72&lt;=19,"L","A"))),IF(OR(G72="ALI",G72="AIE"),IF(J72&gt;=6,IF(I72&gt;=20,"H","A"),IF(J72&gt;=2,IF(I72&gt;=51,"H",IF(I72&lt;=19,"L","A")),IF(I72&lt;=50,"L","A")))))))</f>
        <v/>
      </c>
      <c r="M72" s="22" t="str">
        <f t="shared" ref="M72:M113" si="12">IF(L72="L","Baixa",IF(L72="A","Média",IF(L72="","","Alta")))</f>
        <v/>
      </c>
      <c r="N72" s="23" t="str">
        <f t="shared" ref="N72:N113" si="13">IF(ISBLANK(G72),"",IF(G72="ALI",IF(L72="L",7,IF(L72="A",10,15)),IF(G72="AIE",IF(L72="L",5,IF(L72="A",7,10)),IF(G72="SE",IF(L72="L",4,IF(L72="A",5,7)),IF(OR(G72="EE",G72="CE"),IF(L72="L",3,IF(L72="A",4,6)))))))</f>
        <v/>
      </c>
      <c r="O72" s="24" t="str">
        <f>IF(H72="I",N72*Contagem!$W$11,IF(H72="E",N72*Contagem!$W$13,IF(H72="A",N72*Contagem!$W$12,IF(H72="T",N72*Contagem!$W$14,""))))</f>
        <v/>
      </c>
      <c r="P72" s="19"/>
      <c r="Q72" s="196"/>
      <c r="R72" s="197" t="str">
        <f>IF(ISNUMBER(N72),0,IF(ISNA(VLOOKUP(Q72,'INM - Regras'!$D$24:$E$37,2)),"",VLOOKUP(Q72,'INM - Regras'!$D$24:$E$37,2)))</f>
        <v/>
      </c>
      <c r="S72" s="198"/>
      <c r="T72" s="105" t="str">
        <f t="shared" si="7"/>
        <v/>
      </c>
      <c r="U72" s="105" t="str">
        <f t="shared" si="8"/>
        <v xml:space="preserve"> </v>
      </c>
      <c r="V72" s="106" t="str">
        <f t="shared" si="9"/>
        <v xml:space="preserve"> </v>
      </c>
      <c r="W72" s="92" t="str">
        <f t="shared" ref="W72:W113" si="14">IF(ISNUMBER(N72),0,IF(ISNUMBER(T72),IF(X72="S",T72,0)," "))</f>
        <v xml:space="preserve"> </v>
      </c>
      <c r="X72" s="91" t="str">
        <f>IF(ISNUMBER(N72),"PE",IF(ISNA(VLOOKUP(Q72,'INM - Regras'!$D$24:$F$37,3)),"",VLOOKUP(Q72,'INM - Regras'!$D$24:$F$37,3)))</f>
        <v/>
      </c>
      <c r="Y72" s="91"/>
    </row>
    <row r="73" spans="1:25" ht="12" customHeight="1" x14ac:dyDescent="0.25">
      <c r="A73" s="74"/>
      <c r="B73" s="75"/>
      <c r="C73" s="75"/>
      <c r="D73" s="75"/>
      <c r="E73" s="75"/>
      <c r="F73" s="76"/>
      <c r="G73" s="20"/>
      <c r="H73" s="20"/>
      <c r="I73" s="20"/>
      <c r="J73" s="20"/>
      <c r="K73" s="20" t="str">
        <f t="shared" si="10"/>
        <v/>
      </c>
      <c r="L73" s="21" t="str">
        <f t="shared" si="11"/>
        <v/>
      </c>
      <c r="M73" s="22" t="str">
        <f t="shared" si="12"/>
        <v/>
      </c>
      <c r="N73" s="23" t="str">
        <f t="shared" si="13"/>
        <v/>
      </c>
      <c r="O73" s="24" t="str">
        <f>IF(H73="I",N73*Contagem!$W$11,IF(H73="E",N73*Contagem!$W$13,IF(H73="A",N73*Contagem!$W$12,IF(H73="T",N73*Contagem!$W$14,""))))</f>
        <v/>
      </c>
      <c r="P73" s="19"/>
      <c r="Q73" s="196"/>
      <c r="R73" s="197" t="str">
        <f>IF(ISNUMBER(N73),0,IF(ISNA(VLOOKUP(Q73,'INM - Regras'!$D$24:$E$37,2)),"",VLOOKUP(Q73,'INM - Regras'!$D$24:$E$37,2)))</f>
        <v/>
      </c>
      <c r="S73" s="198"/>
      <c r="T73" s="105" t="str">
        <f t="shared" ref="T73:T113" si="15">IF(ISNUMBER(R73),R73*S73,"")</f>
        <v/>
      </c>
      <c r="U73" s="105" t="str">
        <f t="shared" ref="U73:U113" si="16">IF(X73="PE",0,IF(W73=0,U72,IF(ISNUMBER(W73),IF(ISNUMBER(U72),T73+U72,T73)," ")))</f>
        <v xml:space="preserve"> </v>
      </c>
      <c r="V73" s="106" t="str">
        <f t="shared" ref="V73:V113" si="17">IF(ISNUMBER(W73),IF(X73="PE",0.3*N73,IF(X73="S",ROUND((IF(ISNUMBER(V72),V72,0))-T73,2),IF(ISNUMBER(V72),V72,0)))," ")</f>
        <v xml:space="preserve"> </v>
      </c>
      <c r="W73" s="92" t="str">
        <f t="shared" si="14"/>
        <v xml:space="preserve"> </v>
      </c>
      <c r="X73" s="91" t="str">
        <f>IF(ISNUMBER(N73),"PE",IF(ISNA(VLOOKUP(Q73,'INM - Regras'!$D$24:$F$37,3)),"",VLOOKUP(Q73,'INM - Regras'!$D$24:$F$37,3)))</f>
        <v/>
      </c>
      <c r="Y73" s="91"/>
    </row>
    <row r="74" spans="1:25" ht="12" customHeight="1" x14ac:dyDescent="0.25">
      <c r="A74" s="74"/>
      <c r="B74" s="75"/>
      <c r="C74" s="75"/>
      <c r="D74" s="75"/>
      <c r="E74" s="75"/>
      <c r="F74" s="76"/>
      <c r="G74" s="20"/>
      <c r="H74" s="20"/>
      <c r="I74" s="20"/>
      <c r="J74" s="20"/>
      <c r="K74" s="20" t="str">
        <f t="shared" si="10"/>
        <v/>
      </c>
      <c r="L74" s="21" t="str">
        <f t="shared" si="11"/>
        <v/>
      </c>
      <c r="M74" s="22" t="str">
        <f t="shared" si="12"/>
        <v/>
      </c>
      <c r="N74" s="23" t="str">
        <f t="shared" si="13"/>
        <v/>
      </c>
      <c r="O74" s="24" t="str">
        <f>IF(H74="I",N74*Contagem!$W$11,IF(H74="E",N74*Contagem!$W$13,IF(H74="A",N74*Contagem!$W$12,IF(H74="T",N74*Contagem!$W$14,""))))</f>
        <v/>
      </c>
      <c r="P74" s="19"/>
      <c r="Q74" s="196"/>
      <c r="R74" s="197" t="str">
        <f>IF(ISNUMBER(N74),0,IF(ISNA(VLOOKUP(Q74,'INM - Regras'!$D$24:$E$37,2)),"",VLOOKUP(Q74,'INM - Regras'!$D$24:$E$37,2)))</f>
        <v/>
      </c>
      <c r="S74" s="198"/>
      <c r="T74" s="105" t="str">
        <f t="shared" si="15"/>
        <v/>
      </c>
      <c r="U74" s="105" t="str">
        <f t="shared" si="16"/>
        <v xml:space="preserve"> </v>
      </c>
      <c r="V74" s="106" t="str">
        <f t="shared" si="17"/>
        <v xml:space="preserve"> </v>
      </c>
      <c r="W74" s="92" t="str">
        <f t="shared" si="14"/>
        <v xml:space="preserve"> </v>
      </c>
      <c r="X74" s="91" t="str">
        <f>IF(ISNUMBER(N74),"PE",IF(ISNA(VLOOKUP(Q74,'INM - Regras'!$D$24:$F$37,3)),"",VLOOKUP(Q74,'INM - Regras'!$D$24:$F$37,3)))</f>
        <v/>
      </c>
      <c r="Y74" s="91"/>
    </row>
    <row r="75" spans="1:25" ht="12" customHeight="1" x14ac:dyDescent="0.25">
      <c r="A75" s="74"/>
      <c r="B75" s="75"/>
      <c r="C75" s="75"/>
      <c r="D75" s="75"/>
      <c r="E75" s="75"/>
      <c r="F75" s="76"/>
      <c r="G75" s="20"/>
      <c r="H75" s="20"/>
      <c r="I75" s="20"/>
      <c r="J75" s="20"/>
      <c r="K75" s="20" t="str">
        <f t="shared" si="10"/>
        <v/>
      </c>
      <c r="L75" s="21" t="str">
        <f t="shared" si="11"/>
        <v/>
      </c>
      <c r="M75" s="22" t="str">
        <f t="shared" si="12"/>
        <v/>
      </c>
      <c r="N75" s="23" t="str">
        <f t="shared" si="13"/>
        <v/>
      </c>
      <c r="O75" s="24" t="str">
        <f>IF(H75="I",N75*Contagem!$W$11,IF(H75="E",N75*Contagem!$W$13,IF(H75="A",N75*Contagem!$W$12,IF(H75="T",N75*Contagem!$W$14,""))))</f>
        <v/>
      </c>
      <c r="P75" s="19"/>
      <c r="Q75" s="196"/>
      <c r="R75" s="197" t="str">
        <f>IF(ISNUMBER(N75),0,IF(ISNA(VLOOKUP(Q75,'INM - Regras'!$D$24:$E$37,2)),"",VLOOKUP(Q75,'INM - Regras'!$D$24:$E$37,2)))</f>
        <v/>
      </c>
      <c r="S75" s="198"/>
      <c r="T75" s="105" t="str">
        <f t="shared" si="15"/>
        <v/>
      </c>
      <c r="U75" s="105" t="str">
        <f t="shared" si="16"/>
        <v xml:space="preserve"> </v>
      </c>
      <c r="V75" s="106" t="str">
        <f t="shared" si="17"/>
        <v xml:space="preserve"> </v>
      </c>
      <c r="W75" s="92" t="str">
        <f t="shared" si="14"/>
        <v xml:space="preserve"> </v>
      </c>
      <c r="X75" s="91" t="str">
        <f>IF(ISNUMBER(N75),"PE",IF(ISNA(VLOOKUP(Q75,'INM - Regras'!$D$24:$F$37,3)),"",VLOOKUP(Q75,'INM - Regras'!$D$24:$F$37,3)))</f>
        <v/>
      </c>
      <c r="Y75" s="91"/>
    </row>
    <row r="76" spans="1:25" ht="12" customHeight="1" x14ac:dyDescent="0.25">
      <c r="A76" s="74"/>
      <c r="B76" s="75"/>
      <c r="C76" s="75"/>
      <c r="D76" s="75"/>
      <c r="E76" s="75"/>
      <c r="F76" s="76"/>
      <c r="G76" s="20"/>
      <c r="H76" s="20"/>
      <c r="I76" s="20"/>
      <c r="J76" s="20"/>
      <c r="K76" s="20" t="str">
        <f t="shared" si="10"/>
        <v/>
      </c>
      <c r="L76" s="21" t="str">
        <f t="shared" si="11"/>
        <v/>
      </c>
      <c r="M76" s="22" t="str">
        <f t="shared" si="12"/>
        <v/>
      </c>
      <c r="N76" s="23" t="str">
        <f t="shared" si="13"/>
        <v/>
      </c>
      <c r="O76" s="24" t="str">
        <f>IF(H76="I",N76*Contagem!$W$11,IF(H76="E",N76*Contagem!$W$13,IF(H76="A",N76*Contagem!$W$12,IF(H76="T",N76*Contagem!$W$14,""))))</f>
        <v/>
      </c>
      <c r="P76" s="19"/>
      <c r="Q76" s="196"/>
      <c r="R76" s="197" t="str">
        <f>IF(ISNUMBER(N76),0,IF(ISNA(VLOOKUP(Q76,'INM - Regras'!$D$24:$E$37,2)),"",VLOOKUP(Q76,'INM - Regras'!$D$24:$E$37,2)))</f>
        <v/>
      </c>
      <c r="S76" s="198"/>
      <c r="T76" s="105" t="str">
        <f t="shared" si="15"/>
        <v/>
      </c>
      <c r="U76" s="105" t="str">
        <f t="shared" si="16"/>
        <v xml:space="preserve"> </v>
      </c>
      <c r="V76" s="106" t="str">
        <f t="shared" si="17"/>
        <v xml:space="preserve"> </v>
      </c>
      <c r="W76" s="92" t="str">
        <f t="shared" si="14"/>
        <v xml:space="preserve"> </v>
      </c>
      <c r="X76" s="91" t="str">
        <f>IF(ISNUMBER(N76),"PE",IF(ISNA(VLOOKUP(Q76,'INM - Regras'!$D$24:$F$37,3)),"",VLOOKUP(Q76,'INM - Regras'!$D$24:$F$37,3)))</f>
        <v/>
      </c>
      <c r="Y76" s="91"/>
    </row>
    <row r="77" spans="1:25" ht="12" customHeight="1" x14ac:dyDescent="0.25">
      <c r="A77" s="74"/>
      <c r="B77" s="75"/>
      <c r="C77" s="75"/>
      <c r="D77" s="75"/>
      <c r="E77" s="75"/>
      <c r="F77" s="76"/>
      <c r="G77" s="20"/>
      <c r="H77" s="20"/>
      <c r="I77" s="20"/>
      <c r="J77" s="20"/>
      <c r="K77" s="20" t="str">
        <f t="shared" si="10"/>
        <v/>
      </c>
      <c r="L77" s="21" t="str">
        <f t="shared" si="11"/>
        <v/>
      </c>
      <c r="M77" s="22" t="str">
        <f t="shared" si="12"/>
        <v/>
      </c>
      <c r="N77" s="23" t="str">
        <f t="shared" si="13"/>
        <v/>
      </c>
      <c r="O77" s="24" t="str">
        <f>IF(H77="I",N77*Contagem!$W$11,IF(H77="E",N77*Contagem!$W$13,IF(H77="A",N77*Contagem!$W$12,IF(H77="T",N77*Contagem!$W$14,""))))</f>
        <v/>
      </c>
      <c r="P77" s="19"/>
      <c r="Q77" s="196"/>
      <c r="R77" s="197" t="str">
        <f>IF(ISNUMBER(N77),0,IF(ISNA(VLOOKUP(Q77,'INM - Regras'!$D$24:$E$37,2)),"",VLOOKUP(Q77,'INM - Regras'!$D$24:$E$37,2)))</f>
        <v/>
      </c>
      <c r="S77" s="198"/>
      <c r="T77" s="105" t="str">
        <f t="shared" si="15"/>
        <v/>
      </c>
      <c r="U77" s="105" t="str">
        <f t="shared" si="16"/>
        <v xml:space="preserve"> </v>
      </c>
      <c r="V77" s="106" t="str">
        <f t="shared" si="17"/>
        <v xml:space="preserve"> </v>
      </c>
      <c r="W77" s="92" t="str">
        <f t="shared" si="14"/>
        <v xml:space="preserve"> </v>
      </c>
      <c r="X77" s="91" t="str">
        <f>IF(ISNUMBER(N77),"PE",IF(ISNA(VLOOKUP(Q77,'INM - Regras'!$D$24:$F$37,3)),"",VLOOKUP(Q77,'INM - Regras'!$D$24:$F$37,3)))</f>
        <v/>
      </c>
      <c r="Y77" s="91"/>
    </row>
    <row r="78" spans="1:25" ht="12" customHeight="1" x14ac:dyDescent="0.25">
      <c r="A78" s="74"/>
      <c r="B78" s="75"/>
      <c r="C78" s="75"/>
      <c r="D78" s="75"/>
      <c r="E78" s="75"/>
      <c r="F78" s="76"/>
      <c r="G78" s="20"/>
      <c r="H78" s="20"/>
      <c r="I78" s="20"/>
      <c r="J78" s="20"/>
      <c r="K78" s="20" t="str">
        <f t="shared" si="10"/>
        <v/>
      </c>
      <c r="L78" s="21" t="str">
        <f t="shared" si="11"/>
        <v/>
      </c>
      <c r="M78" s="22" t="str">
        <f t="shared" si="12"/>
        <v/>
      </c>
      <c r="N78" s="23" t="str">
        <f t="shared" si="13"/>
        <v/>
      </c>
      <c r="O78" s="24" t="str">
        <f>IF(H78="I",N78*Contagem!$W$11,IF(H78="E",N78*Contagem!$W$13,IF(H78="A",N78*Contagem!$W$12,IF(H78="T",N78*Contagem!$W$14,""))))</f>
        <v/>
      </c>
      <c r="P78" s="19"/>
      <c r="Q78" s="196"/>
      <c r="R78" s="197" t="str">
        <f>IF(ISNUMBER(N78),0,IF(ISNA(VLOOKUP(Q78,'INM - Regras'!$D$24:$E$37,2)),"",VLOOKUP(Q78,'INM - Regras'!$D$24:$E$37,2)))</f>
        <v/>
      </c>
      <c r="S78" s="198"/>
      <c r="T78" s="105" t="str">
        <f t="shared" si="15"/>
        <v/>
      </c>
      <c r="U78" s="105" t="str">
        <f t="shared" si="16"/>
        <v xml:space="preserve"> </v>
      </c>
      <c r="V78" s="106" t="str">
        <f t="shared" si="17"/>
        <v xml:space="preserve"> </v>
      </c>
      <c r="W78" s="92" t="str">
        <f t="shared" si="14"/>
        <v xml:space="preserve"> </v>
      </c>
      <c r="X78" s="91" t="str">
        <f>IF(ISNUMBER(N78),"PE",IF(ISNA(VLOOKUP(Q78,'INM - Regras'!$D$24:$F$37,3)),"",VLOOKUP(Q78,'INM - Regras'!$D$24:$F$37,3)))</f>
        <v/>
      </c>
      <c r="Y78" s="91"/>
    </row>
    <row r="79" spans="1:25" ht="12" customHeight="1" x14ac:dyDescent="0.25">
      <c r="A79" s="74"/>
      <c r="B79" s="75"/>
      <c r="C79" s="75"/>
      <c r="D79" s="75"/>
      <c r="E79" s="75"/>
      <c r="F79" s="76"/>
      <c r="G79" s="20"/>
      <c r="H79" s="20"/>
      <c r="I79" s="20"/>
      <c r="J79" s="20"/>
      <c r="K79" s="20" t="str">
        <f t="shared" si="10"/>
        <v/>
      </c>
      <c r="L79" s="21" t="str">
        <f t="shared" si="11"/>
        <v/>
      </c>
      <c r="M79" s="22" t="str">
        <f t="shared" si="12"/>
        <v/>
      </c>
      <c r="N79" s="23" t="str">
        <f t="shared" si="13"/>
        <v/>
      </c>
      <c r="O79" s="24" t="str">
        <f>IF(H79="I",N79*Contagem!$W$11,IF(H79="E",N79*Contagem!$W$13,IF(H79="A",N79*Contagem!$W$12,IF(H79="T",N79*Contagem!$W$14,""))))</f>
        <v/>
      </c>
      <c r="P79" s="19"/>
      <c r="Q79" s="196"/>
      <c r="R79" s="197" t="str">
        <f>IF(ISNUMBER(N79),0,IF(ISNA(VLOOKUP(Q79,'INM - Regras'!$D$24:$E$37,2)),"",VLOOKUP(Q79,'INM - Regras'!$D$24:$E$37,2)))</f>
        <v/>
      </c>
      <c r="S79" s="198"/>
      <c r="T79" s="105" t="str">
        <f t="shared" si="15"/>
        <v/>
      </c>
      <c r="U79" s="105" t="str">
        <f t="shared" si="16"/>
        <v xml:space="preserve"> </v>
      </c>
      <c r="V79" s="106" t="str">
        <f t="shared" si="17"/>
        <v xml:space="preserve"> </v>
      </c>
      <c r="W79" s="92" t="str">
        <f t="shared" si="14"/>
        <v xml:space="preserve"> </v>
      </c>
      <c r="X79" s="91" t="str">
        <f>IF(ISNUMBER(N79),"PE",IF(ISNA(VLOOKUP(Q79,'INM - Regras'!$D$24:$F$37,3)),"",VLOOKUP(Q79,'INM - Regras'!$D$24:$F$37,3)))</f>
        <v/>
      </c>
      <c r="Y79" s="91"/>
    </row>
    <row r="80" spans="1:25" ht="12" customHeight="1" x14ac:dyDescent="0.25">
      <c r="A80" s="74"/>
      <c r="B80" s="75"/>
      <c r="C80" s="75"/>
      <c r="D80" s="75"/>
      <c r="E80" s="75"/>
      <c r="F80" s="76"/>
      <c r="G80" s="20"/>
      <c r="H80" s="20"/>
      <c r="I80" s="20"/>
      <c r="J80" s="20"/>
      <c r="K80" s="20" t="str">
        <f t="shared" si="10"/>
        <v/>
      </c>
      <c r="L80" s="21" t="str">
        <f t="shared" si="11"/>
        <v/>
      </c>
      <c r="M80" s="22" t="str">
        <f t="shared" si="12"/>
        <v/>
      </c>
      <c r="N80" s="23" t="str">
        <f t="shared" si="13"/>
        <v/>
      </c>
      <c r="O80" s="24" t="str">
        <f>IF(H80="I",N80*Contagem!$W$11,IF(H80="E",N80*Contagem!$W$13,IF(H80="A",N80*Contagem!$W$12,IF(H80="T",N80*Contagem!$W$14,""))))</f>
        <v/>
      </c>
      <c r="P80" s="19"/>
      <c r="Q80" s="196"/>
      <c r="R80" s="197" t="str">
        <f>IF(ISNUMBER(N80),0,IF(ISNA(VLOOKUP(Q80,'INM - Regras'!$D$24:$E$37,2)),"",VLOOKUP(Q80,'INM - Regras'!$D$24:$E$37,2)))</f>
        <v/>
      </c>
      <c r="S80" s="198"/>
      <c r="T80" s="105" t="str">
        <f t="shared" si="15"/>
        <v/>
      </c>
      <c r="U80" s="105" t="str">
        <f t="shared" si="16"/>
        <v xml:space="preserve"> </v>
      </c>
      <c r="V80" s="106" t="str">
        <f t="shared" si="17"/>
        <v xml:space="preserve"> </v>
      </c>
      <c r="W80" s="92" t="str">
        <f t="shared" si="14"/>
        <v xml:space="preserve"> </v>
      </c>
      <c r="X80" s="91" t="str">
        <f>IF(ISNUMBER(N80),"PE",IF(ISNA(VLOOKUP(Q80,'INM - Regras'!$D$24:$F$37,3)),"",VLOOKUP(Q80,'INM - Regras'!$D$24:$F$37,3)))</f>
        <v/>
      </c>
      <c r="Y80" s="91"/>
    </row>
    <row r="81" spans="1:25" ht="12" customHeight="1" x14ac:dyDescent="0.25">
      <c r="A81" s="74"/>
      <c r="B81" s="75"/>
      <c r="C81" s="75"/>
      <c r="D81" s="75"/>
      <c r="E81" s="75"/>
      <c r="F81" s="76"/>
      <c r="G81" s="20"/>
      <c r="H81" s="20"/>
      <c r="I81" s="20"/>
      <c r="J81" s="20"/>
      <c r="K81" s="20" t="str">
        <f t="shared" si="10"/>
        <v/>
      </c>
      <c r="L81" s="21" t="str">
        <f t="shared" si="11"/>
        <v/>
      </c>
      <c r="M81" s="22" t="str">
        <f t="shared" si="12"/>
        <v/>
      </c>
      <c r="N81" s="23" t="str">
        <f t="shared" si="13"/>
        <v/>
      </c>
      <c r="O81" s="24" t="str">
        <f>IF(H81="I",N81*Contagem!$W$11,IF(H81="E",N81*Contagem!$W$13,IF(H81="A",N81*Contagem!$W$12,IF(H81="T",N81*Contagem!$W$14,""))))</f>
        <v/>
      </c>
      <c r="P81" s="19"/>
      <c r="Q81" s="196"/>
      <c r="R81" s="197" t="str">
        <f>IF(ISNUMBER(N81),0,IF(ISNA(VLOOKUP(Q81,'INM - Regras'!$D$24:$E$37,2)),"",VLOOKUP(Q81,'INM - Regras'!$D$24:$E$37,2)))</f>
        <v/>
      </c>
      <c r="S81" s="198"/>
      <c r="T81" s="105" t="str">
        <f t="shared" si="15"/>
        <v/>
      </c>
      <c r="U81" s="105" t="str">
        <f t="shared" si="16"/>
        <v xml:space="preserve"> </v>
      </c>
      <c r="V81" s="106" t="str">
        <f t="shared" si="17"/>
        <v xml:space="preserve"> </v>
      </c>
      <c r="W81" s="92" t="str">
        <f t="shared" si="14"/>
        <v xml:space="preserve"> </v>
      </c>
      <c r="X81" s="91" t="str">
        <f>IF(ISNUMBER(N81),"PE",IF(ISNA(VLOOKUP(Q81,'INM - Regras'!$D$24:$F$37,3)),"",VLOOKUP(Q81,'INM - Regras'!$D$24:$F$37,3)))</f>
        <v/>
      </c>
      <c r="Y81" s="91"/>
    </row>
    <row r="82" spans="1:25" ht="12" customHeight="1" x14ac:dyDescent="0.25">
      <c r="A82" s="74"/>
      <c r="B82" s="75"/>
      <c r="C82" s="75"/>
      <c r="D82" s="75"/>
      <c r="E82" s="75"/>
      <c r="F82" s="76"/>
      <c r="G82" s="20"/>
      <c r="H82" s="20"/>
      <c r="I82" s="20"/>
      <c r="J82" s="20"/>
      <c r="K82" s="20" t="str">
        <f t="shared" si="10"/>
        <v/>
      </c>
      <c r="L82" s="21" t="str">
        <f t="shared" si="11"/>
        <v/>
      </c>
      <c r="M82" s="22" t="str">
        <f t="shared" si="12"/>
        <v/>
      </c>
      <c r="N82" s="23" t="str">
        <f t="shared" si="13"/>
        <v/>
      </c>
      <c r="O82" s="24" t="str">
        <f>IF(H82="I",N82*Contagem!$W$11,IF(H82="E",N82*Contagem!$W$13,IF(H82="A",N82*Contagem!$W$12,IF(H82="T",N82*Contagem!$W$14,""))))</f>
        <v/>
      </c>
      <c r="P82" s="19"/>
      <c r="Q82" s="196"/>
      <c r="R82" s="197" t="str">
        <f>IF(ISNUMBER(N82),0,IF(ISNA(VLOOKUP(Q82,'INM - Regras'!$D$24:$E$37,2)),"",VLOOKUP(Q82,'INM - Regras'!$D$24:$E$37,2)))</f>
        <v/>
      </c>
      <c r="S82" s="198"/>
      <c r="T82" s="105" t="str">
        <f t="shared" si="15"/>
        <v/>
      </c>
      <c r="U82" s="105" t="str">
        <f t="shared" si="16"/>
        <v xml:space="preserve"> </v>
      </c>
      <c r="V82" s="106" t="str">
        <f t="shared" si="17"/>
        <v xml:space="preserve"> </v>
      </c>
      <c r="W82" s="92" t="str">
        <f t="shared" si="14"/>
        <v xml:space="preserve"> </v>
      </c>
      <c r="X82" s="91" t="str">
        <f>IF(ISNUMBER(N82),"PE",IF(ISNA(VLOOKUP(Q82,'INM - Regras'!$D$24:$F$37,3)),"",VLOOKUP(Q82,'INM - Regras'!$D$24:$F$37,3)))</f>
        <v/>
      </c>
      <c r="Y82" s="91"/>
    </row>
    <row r="83" spans="1:25" ht="12" customHeight="1" x14ac:dyDescent="0.25">
      <c r="A83" s="74"/>
      <c r="B83" s="75"/>
      <c r="C83" s="75"/>
      <c r="D83" s="75"/>
      <c r="E83" s="75"/>
      <c r="F83" s="76"/>
      <c r="G83" s="20"/>
      <c r="H83" s="20"/>
      <c r="I83" s="20"/>
      <c r="J83" s="20"/>
      <c r="K83" s="20" t="str">
        <f t="shared" si="10"/>
        <v/>
      </c>
      <c r="L83" s="21" t="str">
        <f t="shared" si="11"/>
        <v/>
      </c>
      <c r="M83" s="22" t="str">
        <f t="shared" si="12"/>
        <v/>
      </c>
      <c r="N83" s="23" t="str">
        <f t="shared" si="13"/>
        <v/>
      </c>
      <c r="O83" s="24" t="str">
        <f>IF(H83="I",N83*Contagem!$W$11,IF(H83="E",N83*Contagem!$W$13,IF(H83="A",N83*Contagem!$W$12,IF(H83="T",N83*Contagem!$W$14,""))))</f>
        <v/>
      </c>
      <c r="P83" s="19"/>
      <c r="Q83" s="196"/>
      <c r="R83" s="197" t="str">
        <f>IF(ISNUMBER(N83),0,IF(ISNA(VLOOKUP(Q83,'INM - Regras'!$D$24:$E$37,2)),"",VLOOKUP(Q83,'INM - Regras'!$D$24:$E$37,2)))</f>
        <v/>
      </c>
      <c r="S83" s="198"/>
      <c r="T83" s="105" t="str">
        <f t="shared" si="15"/>
        <v/>
      </c>
      <c r="U83" s="105" t="str">
        <f t="shared" si="16"/>
        <v xml:space="preserve"> </v>
      </c>
      <c r="V83" s="106" t="str">
        <f t="shared" si="17"/>
        <v xml:space="preserve"> </v>
      </c>
      <c r="W83" s="92" t="str">
        <f t="shared" si="14"/>
        <v xml:space="preserve"> </v>
      </c>
      <c r="X83" s="91" t="str">
        <f>IF(ISNUMBER(N83),"PE",IF(ISNA(VLOOKUP(Q83,'INM - Regras'!$D$24:$F$37,3)),"",VLOOKUP(Q83,'INM - Regras'!$D$24:$F$37,3)))</f>
        <v/>
      </c>
      <c r="Y83" s="91"/>
    </row>
    <row r="84" spans="1:25" ht="12" customHeight="1" x14ac:dyDescent="0.25">
      <c r="A84" s="74"/>
      <c r="B84" s="75"/>
      <c r="C84" s="75"/>
      <c r="D84" s="75"/>
      <c r="E84" s="75"/>
      <c r="F84" s="76"/>
      <c r="G84" s="20"/>
      <c r="H84" s="20"/>
      <c r="I84" s="20"/>
      <c r="J84" s="20"/>
      <c r="K84" s="20" t="str">
        <f t="shared" si="10"/>
        <v/>
      </c>
      <c r="L84" s="21" t="str">
        <f t="shared" si="11"/>
        <v/>
      </c>
      <c r="M84" s="22" t="str">
        <f t="shared" si="12"/>
        <v/>
      </c>
      <c r="N84" s="23" t="str">
        <f t="shared" si="13"/>
        <v/>
      </c>
      <c r="O84" s="24" t="str">
        <f>IF(H84="I",N84*Contagem!$W$11,IF(H84="E",N84*Contagem!$W$13,IF(H84="A",N84*Contagem!$W$12,IF(H84="T",N84*Contagem!$W$14,""))))</f>
        <v/>
      </c>
      <c r="P84" s="19"/>
      <c r="Q84" s="196"/>
      <c r="R84" s="197" t="str">
        <f>IF(ISNUMBER(N84),0,IF(ISNA(VLOOKUP(Q84,'INM - Regras'!$D$24:$E$37,2)),"",VLOOKUP(Q84,'INM - Regras'!$D$24:$E$37,2)))</f>
        <v/>
      </c>
      <c r="S84" s="198"/>
      <c r="T84" s="105" t="str">
        <f t="shared" si="15"/>
        <v/>
      </c>
      <c r="U84" s="105" t="str">
        <f t="shared" si="16"/>
        <v xml:space="preserve"> </v>
      </c>
      <c r="V84" s="106" t="str">
        <f t="shared" si="17"/>
        <v xml:space="preserve"> </v>
      </c>
      <c r="W84" s="92" t="str">
        <f t="shared" si="14"/>
        <v xml:space="preserve"> </v>
      </c>
      <c r="X84" s="91" t="str">
        <f>IF(ISNUMBER(N84),"PE",IF(ISNA(VLOOKUP(Q84,'INM - Regras'!$D$24:$F$37,3)),"",VLOOKUP(Q84,'INM - Regras'!$D$24:$F$37,3)))</f>
        <v/>
      </c>
      <c r="Y84" s="91"/>
    </row>
    <row r="85" spans="1:25" ht="12" customHeight="1" x14ac:dyDescent="0.25">
      <c r="A85" s="74"/>
      <c r="B85" s="75"/>
      <c r="C85" s="75"/>
      <c r="D85" s="75"/>
      <c r="E85" s="75"/>
      <c r="F85" s="76"/>
      <c r="G85" s="20"/>
      <c r="H85" s="20"/>
      <c r="I85" s="20"/>
      <c r="J85" s="20"/>
      <c r="K85" s="20" t="str">
        <f t="shared" si="10"/>
        <v/>
      </c>
      <c r="L85" s="21" t="str">
        <f t="shared" si="11"/>
        <v/>
      </c>
      <c r="M85" s="22" t="str">
        <f t="shared" si="12"/>
        <v/>
      </c>
      <c r="N85" s="23" t="str">
        <f t="shared" si="13"/>
        <v/>
      </c>
      <c r="O85" s="24" t="str">
        <f>IF(H85="I",N85*Contagem!$W$11,IF(H85="E",N85*Contagem!$W$13,IF(H85="A",N85*Contagem!$W$12,IF(H85="T",N85*Contagem!$W$14,""))))</f>
        <v/>
      </c>
      <c r="P85" s="19"/>
      <c r="Q85" s="196"/>
      <c r="R85" s="197" t="str">
        <f>IF(ISNUMBER(N85),0,IF(ISNA(VLOOKUP(Q85,'INM - Regras'!$D$24:$E$37,2)),"",VLOOKUP(Q85,'INM - Regras'!$D$24:$E$37,2)))</f>
        <v/>
      </c>
      <c r="S85" s="198"/>
      <c r="T85" s="105" t="str">
        <f t="shared" si="15"/>
        <v/>
      </c>
      <c r="U85" s="105" t="str">
        <f t="shared" si="16"/>
        <v xml:space="preserve"> </v>
      </c>
      <c r="V85" s="106" t="str">
        <f t="shared" si="17"/>
        <v xml:space="preserve"> </v>
      </c>
      <c r="W85" s="92" t="str">
        <f t="shared" si="14"/>
        <v xml:space="preserve"> </v>
      </c>
      <c r="X85" s="91" t="str">
        <f>IF(ISNUMBER(N85),"PE",IF(ISNA(VLOOKUP(Q85,'INM - Regras'!$D$24:$F$37,3)),"",VLOOKUP(Q85,'INM - Regras'!$D$24:$F$37,3)))</f>
        <v/>
      </c>
      <c r="Y85" s="91"/>
    </row>
    <row r="86" spans="1:25" ht="12" customHeight="1" x14ac:dyDescent="0.25">
      <c r="A86" s="74"/>
      <c r="B86" s="75"/>
      <c r="C86" s="75"/>
      <c r="D86" s="75"/>
      <c r="E86" s="75"/>
      <c r="F86" s="76"/>
      <c r="G86" s="20"/>
      <c r="H86" s="20"/>
      <c r="I86" s="20"/>
      <c r="J86" s="20"/>
      <c r="K86" s="20" t="str">
        <f t="shared" si="10"/>
        <v/>
      </c>
      <c r="L86" s="21" t="str">
        <f t="shared" si="11"/>
        <v/>
      </c>
      <c r="M86" s="22" t="str">
        <f t="shared" si="12"/>
        <v/>
      </c>
      <c r="N86" s="23" t="str">
        <f t="shared" si="13"/>
        <v/>
      </c>
      <c r="O86" s="24" t="str">
        <f>IF(H86="I",N86*Contagem!$W$11,IF(H86="E",N86*Contagem!$W$13,IF(H86="A",N86*Contagem!$W$12,IF(H86="T",N86*Contagem!$W$14,""))))</f>
        <v/>
      </c>
      <c r="P86" s="19"/>
      <c r="Q86" s="196"/>
      <c r="R86" s="197" t="str">
        <f>IF(ISNUMBER(N86),0,IF(ISNA(VLOOKUP(Q86,'INM - Regras'!$D$24:$E$37,2)),"",VLOOKUP(Q86,'INM - Regras'!$D$24:$E$37,2)))</f>
        <v/>
      </c>
      <c r="S86" s="198"/>
      <c r="T86" s="105" t="str">
        <f t="shared" si="15"/>
        <v/>
      </c>
      <c r="U86" s="105" t="str">
        <f t="shared" si="16"/>
        <v xml:space="preserve"> </v>
      </c>
      <c r="V86" s="106" t="str">
        <f t="shared" si="17"/>
        <v xml:space="preserve"> </v>
      </c>
      <c r="W86" s="92" t="str">
        <f t="shared" si="14"/>
        <v xml:space="preserve"> </v>
      </c>
      <c r="X86" s="91" t="str">
        <f>IF(ISNUMBER(N86),"PE",IF(ISNA(VLOOKUP(Q86,'INM - Regras'!$D$24:$F$37,3)),"",VLOOKUP(Q86,'INM - Regras'!$D$24:$F$37,3)))</f>
        <v/>
      </c>
      <c r="Y86" s="91"/>
    </row>
    <row r="87" spans="1:25" ht="12" customHeight="1" x14ac:dyDescent="0.25">
      <c r="A87" s="74"/>
      <c r="B87" s="75"/>
      <c r="C87" s="75"/>
      <c r="D87" s="75"/>
      <c r="E87" s="75"/>
      <c r="F87" s="76"/>
      <c r="G87" s="20"/>
      <c r="H87" s="20"/>
      <c r="I87" s="20"/>
      <c r="J87" s="20"/>
      <c r="K87" s="20" t="str">
        <f t="shared" si="10"/>
        <v/>
      </c>
      <c r="L87" s="21" t="str">
        <f t="shared" si="11"/>
        <v/>
      </c>
      <c r="M87" s="22" t="str">
        <f t="shared" si="12"/>
        <v/>
      </c>
      <c r="N87" s="23" t="str">
        <f t="shared" si="13"/>
        <v/>
      </c>
      <c r="O87" s="24" t="str">
        <f>IF(H87="I",N87*Contagem!$W$11,IF(H87="E",N87*Contagem!$W$13,IF(H87="A",N87*Contagem!$W$12,IF(H87="T",N87*Contagem!$W$14,""))))</f>
        <v/>
      </c>
      <c r="P87" s="19"/>
      <c r="Q87" s="196"/>
      <c r="R87" s="197" t="str">
        <f>IF(ISNUMBER(N87),0,IF(ISNA(VLOOKUP(Q87,'INM - Regras'!$D$24:$E$37,2)),"",VLOOKUP(Q87,'INM - Regras'!$D$24:$E$37,2)))</f>
        <v/>
      </c>
      <c r="S87" s="198"/>
      <c r="T87" s="105" t="str">
        <f t="shared" si="15"/>
        <v/>
      </c>
      <c r="U87" s="105" t="str">
        <f t="shared" si="16"/>
        <v xml:space="preserve"> </v>
      </c>
      <c r="V87" s="106" t="str">
        <f t="shared" si="17"/>
        <v xml:space="preserve"> </v>
      </c>
      <c r="W87" s="92" t="str">
        <f t="shared" si="14"/>
        <v xml:space="preserve"> </v>
      </c>
      <c r="X87" s="91" t="str">
        <f>IF(ISNUMBER(N87),"PE",IF(ISNA(VLOOKUP(Q87,'INM - Regras'!$D$24:$F$37,3)),"",VLOOKUP(Q87,'INM - Regras'!$D$24:$F$37,3)))</f>
        <v/>
      </c>
      <c r="Y87" s="91"/>
    </row>
    <row r="88" spans="1:25" ht="12" customHeight="1" x14ac:dyDescent="0.25">
      <c r="A88" s="74"/>
      <c r="B88" s="75"/>
      <c r="C88" s="75"/>
      <c r="D88" s="75"/>
      <c r="E88" s="75"/>
      <c r="F88" s="76"/>
      <c r="G88" s="20"/>
      <c r="H88" s="20"/>
      <c r="I88" s="20"/>
      <c r="J88" s="20"/>
      <c r="K88" s="20" t="str">
        <f t="shared" si="10"/>
        <v/>
      </c>
      <c r="L88" s="21" t="str">
        <f t="shared" si="11"/>
        <v/>
      </c>
      <c r="M88" s="22" t="str">
        <f t="shared" si="12"/>
        <v/>
      </c>
      <c r="N88" s="23" t="str">
        <f t="shared" si="13"/>
        <v/>
      </c>
      <c r="O88" s="24" t="str">
        <f>IF(H88="I",N88*Contagem!$W$11,IF(H88="E",N88*Contagem!$W$13,IF(H88="A",N88*Contagem!$W$12,IF(H88="T",N88*Contagem!$W$14,""))))</f>
        <v/>
      </c>
      <c r="P88" s="19"/>
      <c r="Q88" s="196"/>
      <c r="R88" s="197" t="str">
        <f>IF(ISNUMBER(N88),0,IF(ISNA(VLOOKUP(Q88,'INM - Regras'!$D$24:$E$37,2)),"",VLOOKUP(Q88,'INM - Regras'!$D$24:$E$37,2)))</f>
        <v/>
      </c>
      <c r="S88" s="198"/>
      <c r="T88" s="105" t="str">
        <f t="shared" si="15"/>
        <v/>
      </c>
      <c r="U88" s="105" t="str">
        <f t="shared" si="16"/>
        <v xml:space="preserve"> </v>
      </c>
      <c r="V88" s="106" t="str">
        <f t="shared" si="17"/>
        <v xml:space="preserve"> </v>
      </c>
      <c r="W88" s="92" t="str">
        <f t="shared" si="14"/>
        <v xml:space="preserve"> </v>
      </c>
      <c r="X88" s="91" t="str">
        <f>IF(ISNUMBER(N88),"PE",IF(ISNA(VLOOKUP(Q88,'INM - Regras'!$D$24:$F$37,3)),"",VLOOKUP(Q88,'INM - Regras'!$D$24:$F$37,3)))</f>
        <v/>
      </c>
      <c r="Y88" s="91"/>
    </row>
    <row r="89" spans="1:25" ht="12" customHeight="1" x14ac:dyDescent="0.25">
      <c r="A89" s="74"/>
      <c r="B89" s="75"/>
      <c r="C89" s="75"/>
      <c r="D89" s="75"/>
      <c r="E89" s="75"/>
      <c r="F89" s="76"/>
      <c r="G89" s="20"/>
      <c r="H89" s="20"/>
      <c r="I89" s="20"/>
      <c r="J89" s="20"/>
      <c r="K89" s="20" t="str">
        <f t="shared" si="10"/>
        <v/>
      </c>
      <c r="L89" s="21" t="str">
        <f t="shared" si="11"/>
        <v/>
      </c>
      <c r="M89" s="22" t="str">
        <f t="shared" si="12"/>
        <v/>
      </c>
      <c r="N89" s="23" t="str">
        <f t="shared" si="13"/>
        <v/>
      </c>
      <c r="O89" s="24" t="str">
        <f>IF(H89="I",N89*Contagem!$W$11,IF(H89="E",N89*Contagem!$W$13,IF(H89="A",N89*Contagem!$W$12,IF(H89="T",N89*Contagem!$W$14,""))))</f>
        <v/>
      </c>
      <c r="P89" s="19"/>
      <c r="Q89" s="196"/>
      <c r="R89" s="197" t="str">
        <f>IF(ISNUMBER(N89),0,IF(ISNA(VLOOKUP(Q89,'INM - Regras'!$D$24:$E$37,2)),"",VLOOKUP(Q89,'INM - Regras'!$D$24:$E$37,2)))</f>
        <v/>
      </c>
      <c r="S89" s="198"/>
      <c r="T89" s="105" t="str">
        <f t="shared" si="15"/>
        <v/>
      </c>
      <c r="U89" s="105" t="str">
        <f t="shared" si="16"/>
        <v xml:space="preserve"> </v>
      </c>
      <c r="V89" s="106" t="str">
        <f t="shared" si="17"/>
        <v xml:space="preserve"> </v>
      </c>
      <c r="W89" s="92" t="str">
        <f t="shared" si="14"/>
        <v xml:space="preserve"> </v>
      </c>
      <c r="X89" s="91" t="str">
        <f>IF(ISNUMBER(N89),"PE",IF(ISNA(VLOOKUP(Q89,'INM - Regras'!$D$24:$F$37,3)),"",VLOOKUP(Q89,'INM - Regras'!$D$24:$F$37,3)))</f>
        <v/>
      </c>
      <c r="Y89" s="91"/>
    </row>
    <row r="90" spans="1:25" ht="12" customHeight="1" x14ac:dyDescent="0.25">
      <c r="A90" s="74"/>
      <c r="B90" s="75"/>
      <c r="C90" s="75"/>
      <c r="D90" s="75"/>
      <c r="E90" s="75"/>
      <c r="F90" s="76"/>
      <c r="G90" s="20"/>
      <c r="H90" s="20"/>
      <c r="I90" s="20"/>
      <c r="J90" s="20"/>
      <c r="K90" s="20" t="str">
        <f t="shared" si="10"/>
        <v/>
      </c>
      <c r="L90" s="21" t="str">
        <f t="shared" si="11"/>
        <v/>
      </c>
      <c r="M90" s="22" t="str">
        <f t="shared" si="12"/>
        <v/>
      </c>
      <c r="N90" s="23" t="str">
        <f t="shared" si="13"/>
        <v/>
      </c>
      <c r="O90" s="24" t="str">
        <f>IF(H90="I",N90*Contagem!$W$11,IF(H90="E",N90*Contagem!$W$13,IF(H90="A",N90*Contagem!$W$12,IF(H90="T",N90*Contagem!$W$14,""))))</f>
        <v/>
      </c>
      <c r="P90" s="19"/>
      <c r="Q90" s="196"/>
      <c r="R90" s="197" t="str">
        <f>IF(ISNUMBER(N90),0,IF(ISNA(VLOOKUP(Q90,'INM - Regras'!$D$24:$E$37,2)),"",VLOOKUP(Q90,'INM - Regras'!$D$24:$E$37,2)))</f>
        <v/>
      </c>
      <c r="S90" s="198"/>
      <c r="T90" s="105" t="str">
        <f t="shared" si="15"/>
        <v/>
      </c>
      <c r="U90" s="105" t="str">
        <f t="shared" si="16"/>
        <v xml:space="preserve"> </v>
      </c>
      <c r="V90" s="106" t="str">
        <f t="shared" si="17"/>
        <v xml:space="preserve"> </v>
      </c>
      <c r="W90" s="92" t="str">
        <f t="shared" si="14"/>
        <v xml:space="preserve"> </v>
      </c>
      <c r="X90" s="91" t="str">
        <f>IF(ISNUMBER(N90),"PE",IF(ISNA(VLOOKUP(Q90,'INM - Regras'!$D$24:$F$37,3)),"",VLOOKUP(Q90,'INM - Regras'!$D$24:$F$37,3)))</f>
        <v/>
      </c>
      <c r="Y90" s="91"/>
    </row>
    <row r="91" spans="1:25" ht="12" customHeight="1" x14ac:dyDescent="0.25">
      <c r="A91" s="74"/>
      <c r="B91" s="75"/>
      <c r="C91" s="75"/>
      <c r="D91" s="75"/>
      <c r="E91" s="75"/>
      <c r="F91" s="76"/>
      <c r="G91" s="20"/>
      <c r="H91" s="20"/>
      <c r="I91" s="20"/>
      <c r="J91" s="20"/>
      <c r="K91" s="20" t="str">
        <f t="shared" si="10"/>
        <v/>
      </c>
      <c r="L91" s="21" t="str">
        <f t="shared" si="11"/>
        <v/>
      </c>
      <c r="M91" s="22" t="str">
        <f t="shared" si="12"/>
        <v/>
      </c>
      <c r="N91" s="23" t="str">
        <f t="shared" si="13"/>
        <v/>
      </c>
      <c r="O91" s="24" t="str">
        <f>IF(H91="I",N91*Contagem!$W$11,IF(H91="E",N91*Contagem!$W$13,IF(H91="A",N91*Contagem!$W$12,IF(H91="T",N91*Contagem!$W$14,""))))</f>
        <v/>
      </c>
      <c r="P91" s="19"/>
      <c r="Q91" s="196"/>
      <c r="R91" s="197" t="str">
        <f>IF(ISNUMBER(N91),0,IF(ISNA(VLOOKUP(Q91,'INM - Regras'!$D$24:$E$37,2)),"",VLOOKUP(Q91,'INM - Regras'!$D$24:$E$37,2)))</f>
        <v/>
      </c>
      <c r="S91" s="198"/>
      <c r="T91" s="105" t="str">
        <f t="shared" si="15"/>
        <v/>
      </c>
      <c r="U91" s="105" t="str">
        <f t="shared" si="16"/>
        <v xml:space="preserve"> </v>
      </c>
      <c r="V91" s="106" t="str">
        <f t="shared" si="17"/>
        <v xml:space="preserve"> </v>
      </c>
      <c r="W91" s="92" t="str">
        <f t="shared" si="14"/>
        <v xml:space="preserve"> </v>
      </c>
      <c r="X91" s="91" t="str">
        <f>IF(ISNUMBER(N91),"PE",IF(ISNA(VLOOKUP(Q91,'INM - Regras'!$D$24:$F$37,3)),"",VLOOKUP(Q91,'INM - Regras'!$D$24:$F$37,3)))</f>
        <v/>
      </c>
      <c r="Y91" s="91"/>
    </row>
    <row r="92" spans="1:25" ht="12" customHeight="1" x14ac:dyDescent="0.25">
      <c r="A92" s="74"/>
      <c r="B92" s="75"/>
      <c r="C92" s="75"/>
      <c r="D92" s="75"/>
      <c r="E92" s="75"/>
      <c r="F92" s="76"/>
      <c r="G92" s="20"/>
      <c r="H92" s="20"/>
      <c r="I92" s="20"/>
      <c r="J92" s="20"/>
      <c r="K92" s="20" t="str">
        <f t="shared" si="10"/>
        <v/>
      </c>
      <c r="L92" s="21" t="str">
        <f t="shared" si="11"/>
        <v/>
      </c>
      <c r="M92" s="22" t="str">
        <f t="shared" si="12"/>
        <v/>
      </c>
      <c r="N92" s="23" t="str">
        <f t="shared" si="13"/>
        <v/>
      </c>
      <c r="O92" s="24" t="str">
        <f>IF(H92="I",N92*Contagem!$W$11,IF(H92="E",N92*Contagem!$W$13,IF(H92="A",N92*Contagem!$W$12,IF(H92="T",N92*Contagem!$W$14,""))))</f>
        <v/>
      </c>
      <c r="P92" s="19"/>
      <c r="Q92" s="196"/>
      <c r="R92" s="197" t="str">
        <f>IF(ISNUMBER(N92),0,IF(ISNA(VLOOKUP(Q92,'INM - Regras'!$D$24:$E$37,2)),"",VLOOKUP(Q92,'INM - Regras'!$D$24:$E$37,2)))</f>
        <v/>
      </c>
      <c r="S92" s="198"/>
      <c r="T92" s="105" t="str">
        <f t="shared" si="15"/>
        <v/>
      </c>
      <c r="U92" s="105" t="str">
        <f t="shared" si="16"/>
        <v xml:space="preserve"> </v>
      </c>
      <c r="V92" s="106" t="str">
        <f t="shared" si="17"/>
        <v xml:space="preserve"> </v>
      </c>
      <c r="W92" s="92" t="str">
        <f t="shared" si="14"/>
        <v xml:space="preserve"> </v>
      </c>
      <c r="X92" s="91" t="str">
        <f>IF(ISNUMBER(N92),"PE",IF(ISNA(VLOOKUP(Q92,'INM - Regras'!$D$24:$F$37,3)),"",VLOOKUP(Q92,'INM - Regras'!$D$24:$F$37,3)))</f>
        <v/>
      </c>
      <c r="Y92" s="91"/>
    </row>
    <row r="93" spans="1:25" ht="12" customHeight="1" x14ac:dyDescent="0.25">
      <c r="A93" s="74"/>
      <c r="B93" s="75"/>
      <c r="C93" s="75"/>
      <c r="D93" s="75"/>
      <c r="E93" s="75"/>
      <c r="F93" s="76"/>
      <c r="G93" s="20"/>
      <c r="H93" s="20"/>
      <c r="I93" s="20"/>
      <c r="J93" s="20"/>
      <c r="K93" s="20" t="str">
        <f t="shared" si="10"/>
        <v/>
      </c>
      <c r="L93" s="21" t="str">
        <f t="shared" si="11"/>
        <v/>
      </c>
      <c r="M93" s="22" t="str">
        <f t="shared" si="12"/>
        <v/>
      </c>
      <c r="N93" s="23" t="str">
        <f t="shared" si="13"/>
        <v/>
      </c>
      <c r="O93" s="24" t="str">
        <f>IF(H93="I",N93*Contagem!$W$11,IF(H93="E",N93*Contagem!$W$13,IF(H93="A",N93*Contagem!$W$12,IF(H93="T",N93*Contagem!$W$14,""))))</f>
        <v/>
      </c>
      <c r="P93" s="19"/>
      <c r="Q93" s="196"/>
      <c r="R93" s="197" t="str">
        <f>IF(ISNUMBER(N93),0,IF(ISNA(VLOOKUP(Q93,'INM - Regras'!$D$24:$E$37,2)),"",VLOOKUP(Q93,'INM - Regras'!$D$24:$E$37,2)))</f>
        <v/>
      </c>
      <c r="S93" s="198"/>
      <c r="T93" s="105" t="str">
        <f t="shared" si="15"/>
        <v/>
      </c>
      <c r="U93" s="105" t="str">
        <f t="shared" si="16"/>
        <v xml:space="preserve"> </v>
      </c>
      <c r="V93" s="106" t="str">
        <f t="shared" si="17"/>
        <v xml:space="preserve"> </v>
      </c>
      <c r="W93" s="92" t="str">
        <f t="shared" si="14"/>
        <v xml:space="preserve"> </v>
      </c>
      <c r="X93" s="91" t="str">
        <f>IF(ISNUMBER(N93),"PE",IF(ISNA(VLOOKUP(Q93,'INM - Regras'!$D$24:$F$37,3)),"",VLOOKUP(Q93,'INM - Regras'!$D$24:$F$37,3)))</f>
        <v/>
      </c>
      <c r="Y93" s="91"/>
    </row>
    <row r="94" spans="1:25" ht="12" customHeight="1" x14ac:dyDescent="0.25">
      <c r="A94" s="74"/>
      <c r="B94" s="75"/>
      <c r="C94" s="75"/>
      <c r="D94" s="75"/>
      <c r="E94" s="75"/>
      <c r="F94" s="76"/>
      <c r="G94" s="20"/>
      <c r="H94" s="20"/>
      <c r="I94" s="20"/>
      <c r="J94" s="20"/>
      <c r="K94" s="20" t="str">
        <f t="shared" si="10"/>
        <v/>
      </c>
      <c r="L94" s="21" t="str">
        <f t="shared" si="11"/>
        <v/>
      </c>
      <c r="M94" s="22" t="str">
        <f t="shared" si="12"/>
        <v/>
      </c>
      <c r="N94" s="23" t="str">
        <f t="shared" si="13"/>
        <v/>
      </c>
      <c r="O94" s="24" t="str">
        <f>IF(H94="I",N94*Contagem!$W$11,IF(H94="E",N94*Contagem!$W$13,IF(H94="A",N94*Contagem!$W$12,IF(H94="T",N94*Contagem!$W$14,""))))</f>
        <v/>
      </c>
      <c r="P94" s="19"/>
      <c r="Q94" s="196"/>
      <c r="R94" s="197" t="str">
        <f>IF(ISNUMBER(N94),0,IF(ISNA(VLOOKUP(Q94,'INM - Regras'!$D$24:$E$37,2)),"",VLOOKUP(Q94,'INM - Regras'!$D$24:$E$37,2)))</f>
        <v/>
      </c>
      <c r="S94" s="198"/>
      <c r="T94" s="105" t="str">
        <f t="shared" si="15"/>
        <v/>
      </c>
      <c r="U94" s="105" t="str">
        <f t="shared" si="16"/>
        <v xml:space="preserve"> </v>
      </c>
      <c r="V94" s="106" t="str">
        <f t="shared" si="17"/>
        <v xml:space="preserve"> </v>
      </c>
      <c r="W94" s="92" t="str">
        <f t="shared" si="14"/>
        <v xml:space="preserve"> </v>
      </c>
      <c r="X94" s="91" t="str">
        <f>IF(ISNUMBER(N94),"PE",IF(ISNA(VLOOKUP(Q94,'INM - Regras'!$D$24:$F$37,3)),"",VLOOKUP(Q94,'INM - Regras'!$D$24:$F$37,3)))</f>
        <v/>
      </c>
      <c r="Y94" s="91"/>
    </row>
    <row r="95" spans="1:25" ht="12" customHeight="1" x14ac:dyDescent="0.25">
      <c r="A95" s="74"/>
      <c r="B95" s="75"/>
      <c r="C95" s="75"/>
      <c r="D95" s="75"/>
      <c r="E95" s="75"/>
      <c r="F95" s="76"/>
      <c r="G95" s="20"/>
      <c r="H95" s="20"/>
      <c r="I95" s="20"/>
      <c r="J95" s="20"/>
      <c r="K95" s="20" t="str">
        <f t="shared" si="10"/>
        <v/>
      </c>
      <c r="L95" s="21" t="str">
        <f t="shared" si="11"/>
        <v/>
      </c>
      <c r="M95" s="22" t="str">
        <f t="shared" si="12"/>
        <v/>
      </c>
      <c r="N95" s="23" t="str">
        <f t="shared" si="13"/>
        <v/>
      </c>
      <c r="O95" s="24" t="str">
        <f>IF(H95="I",N95*Contagem!$W$11,IF(H95="E",N95*Contagem!$W$13,IF(H95="A",N95*Contagem!$W$12,IF(H95="T",N95*Contagem!$W$14,""))))</f>
        <v/>
      </c>
      <c r="P95" s="19"/>
      <c r="Q95" s="196"/>
      <c r="R95" s="197" t="str">
        <f>IF(ISNUMBER(N95),0,IF(ISNA(VLOOKUP(Q95,'INM - Regras'!$D$24:$E$37,2)),"",VLOOKUP(Q95,'INM - Regras'!$D$24:$E$37,2)))</f>
        <v/>
      </c>
      <c r="S95" s="198"/>
      <c r="T95" s="105" t="str">
        <f t="shared" si="15"/>
        <v/>
      </c>
      <c r="U95" s="105" t="str">
        <f t="shared" si="16"/>
        <v xml:space="preserve"> </v>
      </c>
      <c r="V95" s="106" t="str">
        <f t="shared" si="17"/>
        <v xml:space="preserve"> </v>
      </c>
      <c r="W95" s="92" t="str">
        <f t="shared" si="14"/>
        <v xml:space="preserve"> </v>
      </c>
      <c r="X95" s="91" t="str">
        <f>IF(ISNUMBER(N95),"PE",IF(ISNA(VLOOKUP(Q95,'INM - Regras'!$D$24:$F$37,3)),"",VLOOKUP(Q95,'INM - Regras'!$D$24:$F$37,3)))</f>
        <v/>
      </c>
      <c r="Y95" s="91"/>
    </row>
    <row r="96" spans="1:25" ht="12" customHeight="1" x14ac:dyDescent="0.25">
      <c r="A96" s="74"/>
      <c r="B96" s="75"/>
      <c r="C96" s="75"/>
      <c r="D96" s="75"/>
      <c r="E96" s="75"/>
      <c r="F96" s="76"/>
      <c r="G96" s="20"/>
      <c r="H96" s="20"/>
      <c r="I96" s="20"/>
      <c r="J96" s="20"/>
      <c r="K96" s="20" t="str">
        <f t="shared" si="10"/>
        <v/>
      </c>
      <c r="L96" s="21" t="str">
        <f t="shared" si="11"/>
        <v/>
      </c>
      <c r="M96" s="22" t="str">
        <f t="shared" si="12"/>
        <v/>
      </c>
      <c r="N96" s="23" t="str">
        <f t="shared" si="13"/>
        <v/>
      </c>
      <c r="O96" s="24" t="str">
        <f>IF(H96="I",N96*Contagem!$W$11,IF(H96="E",N96*Contagem!$W$13,IF(H96="A",N96*Contagem!$W$12,IF(H96="T",N96*Contagem!$W$14,""))))</f>
        <v/>
      </c>
      <c r="P96" s="19"/>
      <c r="Q96" s="196"/>
      <c r="R96" s="197" t="str">
        <f>IF(ISNUMBER(N96),0,IF(ISNA(VLOOKUP(Q96,'INM - Regras'!$D$24:$E$37,2)),"",VLOOKUP(Q96,'INM - Regras'!$D$24:$E$37,2)))</f>
        <v/>
      </c>
      <c r="S96" s="198"/>
      <c r="T96" s="105" t="str">
        <f t="shared" si="15"/>
        <v/>
      </c>
      <c r="U96" s="105" t="str">
        <f t="shared" si="16"/>
        <v xml:space="preserve"> </v>
      </c>
      <c r="V96" s="106" t="str">
        <f t="shared" si="17"/>
        <v xml:space="preserve"> </v>
      </c>
      <c r="W96" s="92" t="str">
        <f t="shared" si="14"/>
        <v xml:space="preserve"> </v>
      </c>
      <c r="X96" s="91" t="str">
        <f>IF(ISNUMBER(N96),"PE",IF(ISNA(VLOOKUP(Q96,'INM - Regras'!$D$24:$F$37,3)),"",VLOOKUP(Q96,'INM - Regras'!$D$24:$F$37,3)))</f>
        <v/>
      </c>
      <c r="Y96" s="91"/>
    </row>
    <row r="97" spans="1:25" ht="12" customHeight="1" x14ac:dyDescent="0.25">
      <c r="A97" s="74"/>
      <c r="B97" s="75"/>
      <c r="C97" s="75"/>
      <c r="D97" s="75"/>
      <c r="E97" s="75"/>
      <c r="F97" s="76"/>
      <c r="G97" s="20"/>
      <c r="H97" s="20"/>
      <c r="I97" s="20"/>
      <c r="J97" s="20"/>
      <c r="K97" s="20" t="str">
        <f t="shared" si="10"/>
        <v/>
      </c>
      <c r="L97" s="21" t="str">
        <f t="shared" si="11"/>
        <v/>
      </c>
      <c r="M97" s="22" t="str">
        <f t="shared" si="12"/>
        <v/>
      </c>
      <c r="N97" s="23" t="str">
        <f t="shared" si="13"/>
        <v/>
      </c>
      <c r="O97" s="24" t="str">
        <f>IF(H97="I",N97*Contagem!$W$11,IF(H97="E",N97*Contagem!$W$13,IF(H97="A",N97*Contagem!$W$12,IF(H97="T",N97*Contagem!$W$14,""))))</f>
        <v/>
      </c>
      <c r="P97" s="19"/>
      <c r="Q97" s="196"/>
      <c r="R97" s="197" t="str">
        <f>IF(ISNUMBER(N97),0,IF(ISNA(VLOOKUP(Q97,'INM - Regras'!$D$24:$E$37,2)),"",VLOOKUP(Q97,'INM - Regras'!$D$24:$E$37,2)))</f>
        <v/>
      </c>
      <c r="S97" s="198"/>
      <c r="T97" s="105" t="str">
        <f t="shared" si="15"/>
        <v/>
      </c>
      <c r="U97" s="105" t="str">
        <f t="shared" si="16"/>
        <v xml:space="preserve"> </v>
      </c>
      <c r="V97" s="106" t="str">
        <f t="shared" si="17"/>
        <v xml:space="preserve"> </v>
      </c>
      <c r="W97" s="92" t="str">
        <f t="shared" si="14"/>
        <v xml:space="preserve"> </v>
      </c>
      <c r="X97" s="91" t="str">
        <f>IF(ISNUMBER(N97),"PE",IF(ISNA(VLOOKUP(Q97,'INM - Regras'!$D$24:$F$37,3)),"",VLOOKUP(Q97,'INM - Regras'!$D$24:$F$37,3)))</f>
        <v/>
      </c>
      <c r="Y97" s="91"/>
    </row>
    <row r="98" spans="1:25" ht="12" customHeight="1" x14ac:dyDescent="0.25">
      <c r="A98" s="74"/>
      <c r="B98" s="75"/>
      <c r="C98" s="75"/>
      <c r="D98" s="75"/>
      <c r="E98" s="75"/>
      <c r="F98" s="76"/>
      <c r="G98" s="20"/>
      <c r="H98" s="20"/>
      <c r="I98" s="20"/>
      <c r="J98" s="20"/>
      <c r="K98" s="20" t="str">
        <f t="shared" si="10"/>
        <v/>
      </c>
      <c r="L98" s="21" t="str">
        <f t="shared" si="11"/>
        <v/>
      </c>
      <c r="M98" s="22" t="str">
        <f t="shared" si="12"/>
        <v/>
      </c>
      <c r="N98" s="23" t="str">
        <f t="shared" si="13"/>
        <v/>
      </c>
      <c r="O98" s="24" t="str">
        <f>IF(H98="I",N98*Contagem!$W$11,IF(H98="E",N98*Contagem!$W$13,IF(H98="A",N98*Contagem!$W$12,IF(H98="T",N98*Contagem!$W$14,""))))</f>
        <v/>
      </c>
      <c r="P98" s="19"/>
      <c r="Q98" s="196"/>
      <c r="R98" s="197" t="str">
        <f>IF(ISNUMBER(N98),0,IF(ISNA(VLOOKUP(Q98,'INM - Regras'!$D$24:$E$37,2)),"",VLOOKUP(Q98,'INM - Regras'!$D$24:$E$37,2)))</f>
        <v/>
      </c>
      <c r="S98" s="198"/>
      <c r="T98" s="105" t="str">
        <f t="shared" si="15"/>
        <v/>
      </c>
      <c r="U98" s="105" t="str">
        <f t="shared" si="16"/>
        <v xml:space="preserve"> </v>
      </c>
      <c r="V98" s="106" t="str">
        <f t="shared" si="17"/>
        <v xml:space="preserve"> </v>
      </c>
      <c r="W98" s="92" t="str">
        <f t="shared" si="14"/>
        <v xml:space="preserve"> </v>
      </c>
      <c r="X98" s="91" t="str">
        <f>IF(ISNUMBER(N98),"PE",IF(ISNA(VLOOKUP(Q98,'INM - Regras'!$D$24:$F$37,3)),"",VLOOKUP(Q98,'INM - Regras'!$D$24:$F$37,3)))</f>
        <v/>
      </c>
      <c r="Y98" s="91"/>
    </row>
    <row r="99" spans="1:25" ht="12" customHeight="1" x14ac:dyDescent="0.25">
      <c r="A99" s="74"/>
      <c r="B99" s="75"/>
      <c r="C99" s="75"/>
      <c r="D99" s="75"/>
      <c r="E99" s="75"/>
      <c r="F99" s="76"/>
      <c r="G99" s="20"/>
      <c r="H99" s="20"/>
      <c r="I99" s="20"/>
      <c r="J99" s="20"/>
      <c r="K99" s="20" t="str">
        <f t="shared" si="10"/>
        <v/>
      </c>
      <c r="L99" s="21" t="str">
        <f t="shared" si="11"/>
        <v/>
      </c>
      <c r="M99" s="22" t="str">
        <f t="shared" si="12"/>
        <v/>
      </c>
      <c r="N99" s="23" t="str">
        <f t="shared" si="13"/>
        <v/>
      </c>
      <c r="O99" s="24" t="str">
        <f>IF(H99="I",N99*Contagem!$W$11,IF(H99="E",N99*Contagem!$W$13,IF(H99="A",N99*Contagem!$W$12,IF(H99="T",N99*Contagem!$W$14,""))))</f>
        <v/>
      </c>
      <c r="P99" s="19"/>
      <c r="Q99" s="196"/>
      <c r="R99" s="197" t="str">
        <f>IF(ISNUMBER(N99),0,IF(ISNA(VLOOKUP(Q99,'INM - Regras'!$D$24:$E$37,2)),"",VLOOKUP(Q99,'INM - Regras'!$D$24:$E$37,2)))</f>
        <v/>
      </c>
      <c r="S99" s="198"/>
      <c r="T99" s="105" t="str">
        <f t="shared" si="15"/>
        <v/>
      </c>
      <c r="U99" s="105" t="str">
        <f t="shared" si="16"/>
        <v xml:space="preserve"> </v>
      </c>
      <c r="V99" s="106" t="str">
        <f t="shared" si="17"/>
        <v xml:space="preserve"> </v>
      </c>
      <c r="W99" s="92" t="str">
        <f t="shared" si="14"/>
        <v xml:space="preserve"> </v>
      </c>
      <c r="X99" s="91" t="str">
        <f>IF(ISNUMBER(N99),"PE",IF(ISNA(VLOOKUP(Q99,'INM - Regras'!$D$24:$F$37,3)),"",VLOOKUP(Q99,'INM - Regras'!$D$24:$F$37,3)))</f>
        <v/>
      </c>
      <c r="Y99" s="91"/>
    </row>
    <row r="100" spans="1:25" ht="12" customHeight="1" x14ac:dyDescent="0.25">
      <c r="A100" s="74"/>
      <c r="B100" s="75"/>
      <c r="C100" s="75"/>
      <c r="D100" s="75"/>
      <c r="E100" s="75"/>
      <c r="F100" s="76"/>
      <c r="G100" s="20"/>
      <c r="H100" s="20"/>
      <c r="I100" s="20"/>
      <c r="J100" s="20"/>
      <c r="K100" s="20" t="str">
        <f t="shared" si="10"/>
        <v/>
      </c>
      <c r="L100" s="21" t="str">
        <f t="shared" si="11"/>
        <v/>
      </c>
      <c r="M100" s="22" t="str">
        <f t="shared" si="12"/>
        <v/>
      </c>
      <c r="N100" s="23" t="str">
        <f t="shared" si="13"/>
        <v/>
      </c>
      <c r="O100" s="24" t="str">
        <f>IF(H100="I",N100*Contagem!$W$11,IF(H100="E",N100*Contagem!$W$13,IF(H100="A",N100*Contagem!$W$12,IF(H100="T",N100*Contagem!$W$14,""))))</f>
        <v/>
      </c>
      <c r="P100" s="19"/>
      <c r="Q100" s="196"/>
      <c r="R100" s="197" t="str">
        <f>IF(ISNUMBER(N100),0,IF(ISNA(VLOOKUP(Q100,'INM - Regras'!$D$24:$E$37,2)),"",VLOOKUP(Q100,'INM - Regras'!$D$24:$E$37,2)))</f>
        <v/>
      </c>
      <c r="S100" s="198"/>
      <c r="T100" s="105" t="str">
        <f t="shared" si="15"/>
        <v/>
      </c>
      <c r="U100" s="105" t="str">
        <f t="shared" si="16"/>
        <v xml:space="preserve"> </v>
      </c>
      <c r="V100" s="106" t="str">
        <f t="shared" si="17"/>
        <v xml:space="preserve"> </v>
      </c>
      <c r="W100" s="92" t="str">
        <f t="shared" si="14"/>
        <v xml:space="preserve"> </v>
      </c>
      <c r="X100" s="91" t="str">
        <f>IF(ISNUMBER(N100),"PE",IF(ISNA(VLOOKUP(Q100,'INM - Regras'!$D$24:$F$37,3)),"",VLOOKUP(Q100,'INM - Regras'!$D$24:$F$37,3)))</f>
        <v/>
      </c>
      <c r="Y100" s="91"/>
    </row>
    <row r="101" spans="1:25" ht="12" customHeight="1" x14ac:dyDescent="0.25">
      <c r="A101" s="74"/>
      <c r="B101" s="75"/>
      <c r="C101" s="75"/>
      <c r="D101" s="75"/>
      <c r="E101" s="75"/>
      <c r="F101" s="76"/>
      <c r="G101" s="20"/>
      <c r="H101" s="20"/>
      <c r="I101" s="20"/>
      <c r="J101" s="20"/>
      <c r="K101" s="20" t="str">
        <f t="shared" si="10"/>
        <v/>
      </c>
      <c r="L101" s="21" t="str">
        <f t="shared" si="11"/>
        <v/>
      </c>
      <c r="M101" s="22" t="str">
        <f t="shared" si="12"/>
        <v/>
      </c>
      <c r="N101" s="23" t="str">
        <f t="shared" si="13"/>
        <v/>
      </c>
      <c r="O101" s="24" t="str">
        <f>IF(H101="I",N101*Contagem!$W$11,IF(H101="E",N101*Contagem!$W$13,IF(H101="A",N101*Contagem!$W$12,IF(H101="T",N101*Contagem!$W$14,""))))</f>
        <v/>
      </c>
      <c r="P101" s="19"/>
      <c r="Q101" s="196"/>
      <c r="R101" s="197" t="str">
        <f>IF(ISNUMBER(N101),0,IF(ISNA(VLOOKUP(Q101,'INM - Regras'!$D$24:$E$37,2)),"",VLOOKUP(Q101,'INM - Regras'!$D$24:$E$37,2)))</f>
        <v/>
      </c>
      <c r="S101" s="198"/>
      <c r="T101" s="105" t="str">
        <f t="shared" si="15"/>
        <v/>
      </c>
      <c r="U101" s="105" t="str">
        <f t="shared" si="16"/>
        <v xml:space="preserve"> </v>
      </c>
      <c r="V101" s="106" t="str">
        <f t="shared" si="17"/>
        <v xml:space="preserve"> </v>
      </c>
      <c r="W101" s="92" t="str">
        <f t="shared" si="14"/>
        <v xml:space="preserve"> </v>
      </c>
      <c r="X101" s="91" t="str">
        <f>IF(ISNUMBER(N101),"PE",IF(ISNA(VLOOKUP(Q101,'INM - Regras'!$D$24:$F$37,3)),"",VLOOKUP(Q101,'INM - Regras'!$D$24:$F$37,3)))</f>
        <v/>
      </c>
      <c r="Y101" s="91"/>
    </row>
    <row r="102" spans="1:25" ht="12" customHeight="1" x14ac:dyDescent="0.25">
      <c r="A102" s="74"/>
      <c r="B102" s="75"/>
      <c r="C102" s="75"/>
      <c r="D102" s="75"/>
      <c r="E102" s="75"/>
      <c r="F102" s="76"/>
      <c r="G102" s="20"/>
      <c r="H102" s="20"/>
      <c r="I102" s="20"/>
      <c r="J102" s="20"/>
      <c r="K102" s="20" t="str">
        <f t="shared" si="10"/>
        <v/>
      </c>
      <c r="L102" s="21" t="str">
        <f t="shared" si="11"/>
        <v/>
      </c>
      <c r="M102" s="22" t="str">
        <f t="shared" si="12"/>
        <v/>
      </c>
      <c r="N102" s="23" t="str">
        <f t="shared" si="13"/>
        <v/>
      </c>
      <c r="O102" s="24" t="str">
        <f>IF(H102="I",N102*Contagem!$W$11,IF(H102="E",N102*Contagem!$W$13,IF(H102="A",N102*Contagem!$W$12,IF(H102="T",N102*Contagem!$W$14,""))))</f>
        <v/>
      </c>
      <c r="P102" s="19"/>
      <c r="Q102" s="196"/>
      <c r="R102" s="197" t="str">
        <f>IF(ISNUMBER(N102),0,IF(ISNA(VLOOKUP(Q102,'INM - Regras'!$D$24:$E$37,2)),"",VLOOKUP(Q102,'INM - Regras'!$D$24:$E$37,2)))</f>
        <v/>
      </c>
      <c r="S102" s="198"/>
      <c r="T102" s="105" t="str">
        <f t="shared" si="15"/>
        <v/>
      </c>
      <c r="U102" s="105" t="str">
        <f t="shared" si="16"/>
        <v xml:space="preserve"> </v>
      </c>
      <c r="V102" s="106" t="str">
        <f t="shared" si="17"/>
        <v xml:space="preserve"> </v>
      </c>
      <c r="W102" s="92" t="str">
        <f t="shared" si="14"/>
        <v xml:space="preserve"> </v>
      </c>
      <c r="X102" s="91" t="str">
        <f>IF(ISNUMBER(N102),"PE",IF(ISNA(VLOOKUP(Q102,'INM - Regras'!$D$24:$F$37,3)),"",VLOOKUP(Q102,'INM - Regras'!$D$24:$F$37,3)))</f>
        <v/>
      </c>
      <c r="Y102" s="91"/>
    </row>
    <row r="103" spans="1:25" ht="12" customHeight="1" x14ac:dyDescent="0.25">
      <c r="A103" s="74"/>
      <c r="B103" s="75"/>
      <c r="C103" s="75"/>
      <c r="D103" s="75"/>
      <c r="E103" s="75"/>
      <c r="F103" s="76"/>
      <c r="G103" s="20"/>
      <c r="H103" s="20"/>
      <c r="I103" s="20"/>
      <c r="J103" s="20"/>
      <c r="K103" s="20" t="str">
        <f t="shared" si="10"/>
        <v/>
      </c>
      <c r="L103" s="21" t="str">
        <f t="shared" si="11"/>
        <v/>
      </c>
      <c r="M103" s="22" t="str">
        <f t="shared" si="12"/>
        <v/>
      </c>
      <c r="N103" s="23" t="str">
        <f t="shared" si="13"/>
        <v/>
      </c>
      <c r="O103" s="24" t="str">
        <f>IF(H103="I",N103*Contagem!$W$11,IF(H103="E",N103*Contagem!$W$13,IF(H103="A",N103*Contagem!$W$12,IF(H103="T",N103*Contagem!$W$14,""))))</f>
        <v/>
      </c>
      <c r="P103" s="19"/>
      <c r="Q103" s="196"/>
      <c r="R103" s="197" t="str">
        <f>IF(ISNUMBER(N103),0,IF(ISNA(VLOOKUP(Q103,'INM - Regras'!$D$24:$E$37,2)),"",VLOOKUP(Q103,'INM - Regras'!$D$24:$E$37,2)))</f>
        <v/>
      </c>
      <c r="S103" s="198"/>
      <c r="T103" s="105" t="str">
        <f t="shared" si="15"/>
        <v/>
      </c>
      <c r="U103" s="105" t="str">
        <f t="shared" si="16"/>
        <v xml:space="preserve"> </v>
      </c>
      <c r="V103" s="106" t="str">
        <f t="shared" si="17"/>
        <v xml:space="preserve"> </v>
      </c>
      <c r="W103" s="92" t="str">
        <f t="shared" si="14"/>
        <v xml:space="preserve"> </v>
      </c>
      <c r="X103" s="91" t="str">
        <f>IF(ISNUMBER(N103),"PE",IF(ISNA(VLOOKUP(Q103,'INM - Regras'!$D$24:$F$37,3)),"",VLOOKUP(Q103,'INM - Regras'!$D$24:$F$37,3)))</f>
        <v/>
      </c>
      <c r="Y103" s="91"/>
    </row>
    <row r="104" spans="1:25" ht="12" customHeight="1" x14ac:dyDescent="0.25">
      <c r="A104" s="74"/>
      <c r="B104" s="75"/>
      <c r="C104" s="75"/>
      <c r="D104" s="75"/>
      <c r="E104" s="75"/>
      <c r="F104" s="76"/>
      <c r="G104" s="20"/>
      <c r="H104" s="20"/>
      <c r="I104" s="20"/>
      <c r="J104" s="20"/>
      <c r="K104" s="20" t="str">
        <f t="shared" si="10"/>
        <v/>
      </c>
      <c r="L104" s="21" t="str">
        <f t="shared" si="11"/>
        <v/>
      </c>
      <c r="M104" s="22" t="str">
        <f t="shared" si="12"/>
        <v/>
      </c>
      <c r="N104" s="23" t="str">
        <f t="shared" si="13"/>
        <v/>
      </c>
      <c r="O104" s="24" t="str">
        <f>IF(H104="I",N104*Contagem!$W$11,IF(H104="E",N104*Contagem!$W$13,IF(H104="A",N104*Contagem!$W$12,IF(H104="T",N104*Contagem!$W$14,""))))</f>
        <v/>
      </c>
      <c r="P104" s="19"/>
      <c r="Q104" s="196"/>
      <c r="R104" s="197" t="str">
        <f>IF(ISNUMBER(N104),0,IF(ISNA(VLOOKUP(Q104,'INM - Regras'!$D$24:$E$37,2)),"",VLOOKUP(Q104,'INM - Regras'!$D$24:$E$37,2)))</f>
        <v/>
      </c>
      <c r="S104" s="198"/>
      <c r="T104" s="105" t="str">
        <f t="shared" si="15"/>
        <v/>
      </c>
      <c r="U104" s="105" t="str">
        <f t="shared" si="16"/>
        <v xml:space="preserve"> </v>
      </c>
      <c r="V104" s="106" t="str">
        <f t="shared" si="17"/>
        <v xml:space="preserve"> </v>
      </c>
      <c r="W104" s="92" t="str">
        <f t="shared" si="14"/>
        <v xml:space="preserve"> </v>
      </c>
      <c r="X104" s="91" t="str">
        <f>IF(ISNUMBER(N104),"PE",IF(ISNA(VLOOKUP(Q104,'INM - Regras'!$D$24:$F$37,3)),"",VLOOKUP(Q104,'INM - Regras'!$D$24:$F$37,3)))</f>
        <v/>
      </c>
      <c r="Y104" s="91"/>
    </row>
    <row r="105" spans="1:25" ht="12" customHeight="1" x14ac:dyDescent="0.25">
      <c r="A105" s="74"/>
      <c r="B105" s="75"/>
      <c r="C105" s="75"/>
      <c r="D105" s="75"/>
      <c r="E105" s="75"/>
      <c r="F105" s="76"/>
      <c r="G105" s="20"/>
      <c r="H105" s="20"/>
      <c r="I105" s="20"/>
      <c r="J105" s="20"/>
      <c r="K105" s="20" t="str">
        <f t="shared" si="10"/>
        <v/>
      </c>
      <c r="L105" s="21" t="str">
        <f t="shared" si="11"/>
        <v/>
      </c>
      <c r="M105" s="22" t="str">
        <f t="shared" si="12"/>
        <v/>
      </c>
      <c r="N105" s="23" t="str">
        <f t="shared" si="13"/>
        <v/>
      </c>
      <c r="O105" s="24" t="str">
        <f>IF(H105="I",N105*Contagem!$W$11,IF(H105="E",N105*Contagem!$W$13,IF(H105="A",N105*Contagem!$W$12,IF(H105="T",N105*Contagem!$W$14,""))))</f>
        <v/>
      </c>
      <c r="P105" s="19"/>
      <c r="Q105" s="196"/>
      <c r="R105" s="197" t="str">
        <f>IF(ISNUMBER(N105),0,IF(ISNA(VLOOKUP(Q105,'INM - Regras'!$D$24:$E$37,2)),"",VLOOKUP(Q105,'INM - Regras'!$D$24:$E$37,2)))</f>
        <v/>
      </c>
      <c r="S105" s="198"/>
      <c r="T105" s="105" t="str">
        <f t="shared" si="15"/>
        <v/>
      </c>
      <c r="U105" s="105" t="str">
        <f t="shared" si="16"/>
        <v xml:space="preserve"> </v>
      </c>
      <c r="V105" s="106" t="str">
        <f t="shared" si="17"/>
        <v xml:space="preserve"> </v>
      </c>
      <c r="W105" s="92" t="str">
        <f t="shared" si="14"/>
        <v xml:space="preserve"> </v>
      </c>
      <c r="X105" s="91" t="str">
        <f>IF(ISNUMBER(N105),"PE",IF(ISNA(VLOOKUP(Q105,'INM - Regras'!$D$24:$F$37,3)),"",VLOOKUP(Q105,'INM - Regras'!$D$24:$F$37,3)))</f>
        <v/>
      </c>
      <c r="Y105" s="91"/>
    </row>
    <row r="106" spans="1:25" ht="12" customHeight="1" x14ac:dyDescent="0.25">
      <c r="A106" s="74"/>
      <c r="B106" s="75"/>
      <c r="C106" s="75"/>
      <c r="D106" s="75"/>
      <c r="E106" s="75"/>
      <c r="F106" s="76"/>
      <c r="G106" s="20"/>
      <c r="H106" s="20"/>
      <c r="I106" s="20"/>
      <c r="J106" s="20"/>
      <c r="K106" s="20" t="str">
        <f t="shared" si="10"/>
        <v/>
      </c>
      <c r="L106" s="21" t="str">
        <f t="shared" si="11"/>
        <v/>
      </c>
      <c r="M106" s="22" t="str">
        <f t="shared" si="12"/>
        <v/>
      </c>
      <c r="N106" s="23" t="str">
        <f t="shared" si="13"/>
        <v/>
      </c>
      <c r="O106" s="24" t="str">
        <f>IF(H106="I",N106*Contagem!$W$11,IF(H106="E",N106*Contagem!$W$13,IF(H106="A",N106*Contagem!$W$12,IF(H106="T",N106*Contagem!$W$14,""))))</f>
        <v/>
      </c>
      <c r="P106" s="19"/>
      <c r="Q106" s="196"/>
      <c r="R106" s="197" t="str">
        <f>IF(ISNUMBER(N106),0,IF(ISNA(VLOOKUP(Q106,'INM - Regras'!$D$24:$E$37,2)),"",VLOOKUP(Q106,'INM - Regras'!$D$24:$E$37,2)))</f>
        <v/>
      </c>
      <c r="S106" s="198"/>
      <c r="T106" s="105" t="str">
        <f t="shared" si="15"/>
        <v/>
      </c>
      <c r="U106" s="105" t="str">
        <f t="shared" si="16"/>
        <v xml:space="preserve"> </v>
      </c>
      <c r="V106" s="106" t="str">
        <f t="shared" si="17"/>
        <v xml:space="preserve"> </v>
      </c>
      <c r="W106" s="92" t="str">
        <f t="shared" si="14"/>
        <v xml:space="preserve"> </v>
      </c>
      <c r="X106" s="91" t="str">
        <f>IF(ISNUMBER(N106),"PE",IF(ISNA(VLOOKUP(Q106,'INM - Regras'!$D$24:$F$37,3)),"",VLOOKUP(Q106,'INM - Regras'!$D$24:$F$37,3)))</f>
        <v/>
      </c>
      <c r="Y106" s="91"/>
    </row>
    <row r="107" spans="1:25" ht="12" customHeight="1" x14ac:dyDescent="0.25">
      <c r="A107" s="74"/>
      <c r="B107" s="75"/>
      <c r="C107" s="75"/>
      <c r="D107" s="75"/>
      <c r="E107" s="75"/>
      <c r="F107" s="76"/>
      <c r="G107" s="20"/>
      <c r="H107" s="20"/>
      <c r="I107" s="20"/>
      <c r="J107" s="20"/>
      <c r="K107" s="20" t="str">
        <f t="shared" si="10"/>
        <v/>
      </c>
      <c r="L107" s="21" t="str">
        <f t="shared" si="11"/>
        <v/>
      </c>
      <c r="M107" s="22" t="str">
        <f t="shared" si="12"/>
        <v/>
      </c>
      <c r="N107" s="23" t="str">
        <f t="shared" si="13"/>
        <v/>
      </c>
      <c r="O107" s="24" t="str">
        <f>IF(H107="I",N107*Contagem!$W$11,IF(H107="E",N107*Contagem!$W$13,IF(H107="A",N107*Contagem!$W$12,IF(H107="T",N107*Contagem!$W$14,""))))</f>
        <v/>
      </c>
      <c r="P107" s="19"/>
      <c r="Q107" s="196"/>
      <c r="R107" s="197" t="str">
        <f>IF(ISNUMBER(N107),0,IF(ISNA(VLOOKUP(Q107,'INM - Regras'!$D$24:$E$37,2)),"",VLOOKUP(Q107,'INM - Regras'!$D$24:$E$37,2)))</f>
        <v/>
      </c>
      <c r="S107" s="198"/>
      <c r="T107" s="105" t="str">
        <f t="shared" si="15"/>
        <v/>
      </c>
      <c r="U107" s="105" t="str">
        <f t="shared" si="16"/>
        <v xml:space="preserve"> </v>
      </c>
      <c r="V107" s="106" t="str">
        <f t="shared" si="17"/>
        <v xml:space="preserve"> </v>
      </c>
      <c r="W107" s="92" t="str">
        <f t="shared" si="14"/>
        <v xml:space="preserve"> </v>
      </c>
      <c r="X107" s="91" t="str">
        <f>IF(ISNUMBER(N107),"PE",IF(ISNA(VLOOKUP(Q107,'INM - Regras'!$D$24:$F$37,3)),"",VLOOKUP(Q107,'INM - Regras'!$D$24:$F$37,3)))</f>
        <v/>
      </c>
      <c r="Y107" s="91"/>
    </row>
    <row r="108" spans="1:25" ht="12" customHeight="1" x14ac:dyDescent="0.25">
      <c r="A108" s="74"/>
      <c r="B108" s="75"/>
      <c r="C108" s="75"/>
      <c r="D108" s="75"/>
      <c r="E108" s="75"/>
      <c r="F108" s="76"/>
      <c r="G108" s="20"/>
      <c r="H108" s="20"/>
      <c r="I108" s="20"/>
      <c r="J108" s="20"/>
      <c r="K108" s="20" t="str">
        <f t="shared" si="10"/>
        <v/>
      </c>
      <c r="L108" s="21" t="str">
        <f t="shared" si="11"/>
        <v/>
      </c>
      <c r="M108" s="22" t="str">
        <f t="shared" si="12"/>
        <v/>
      </c>
      <c r="N108" s="23" t="str">
        <f t="shared" si="13"/>
        <v/>
      </c>
      <c r="O108" s="24" t="str">
        <f>IF(H108="I",N108*Contagem!$W$11,IF(H108="E",N108*Contagem!$W$13,IF(H108="A",N108*Contagem!$W$12,IF(H108="T",N108*Contagem!$W$14,""))))</f>
        <v/>
      </c>
      <c r="P108" s="19"/>
      <c r="Q108" s="196"/>
      <c r="R108" s="197" t="str">
        <f>IF(ISNUMBER(N108),0,IF(ISNA(VLOOKUP(Q108,'INM - Regras'!$D$24:$E$37,2)),"",VLOOKUP(Q108,'INM - Regras'!$D$24:$E$37,2)))</f>
        <v/>
      </c>
      <c r="S108" s="198"/>
      <c r="T108" s="105" t="str">
        <f t="shared" si="15"/>
        <v/>
      </c>
      <c r="U108" s="105" t="str">
        <f t="shared" si="16"/>
        <v xml:space="preserve"> </v>
      </c>
      <c r="V108" s="106" t="str">
        <f t="shared" si="17"/>
        <v xml:space="preserve"> </v>
      </c>
      <c r="W108" s="92" t="str">
        <f t="shared" si="14"/>
        <v xml:space="preserve"> </v>
      </c>
      <c r="X108" s="91" t="str">
        <f>IF(ISNUMBER(N108),"PE",IF(ISNA(VLOOKUP(Q108,'INM - Regras'!$D$24:$F$37,3)),"",VLOOKUP(Q108,'INM - Regras'!$D$24:$F$37,3)))</f>
        <v/>
      </c>
      <c r="Y108" s="91"/>
    </row>
    <row r="109" spans="1:25" ht="12" customHeight="1" x14ac:dyDescent="0.25">
      <c r="A109" s="74"/>
      <c r="B109" s="75"/>
      <c r="C109" s="75"/>
      <c r="D109" s="75"/>
      <c r="E109" s="75"/>
      <c r="F109" s="76"/>
      <c r="G109" s="20"/>
      <c r="H109" s="20"/>
      <c r="I109" s="20"/>
      <c r="J109" s="20"/>
      <c r="K109" s="20" t="str">
        <f t="shared" si="10"/>
        <v/>
      </c>
      <c r="L109" s="21" t="str">
        <f t="shared" si="11"/>
        <v/>
      </c>
      <c r="M109" s="22" t="str">
        <f t="shared" si="12"/>
        <v/>
      </c>
      <c r="N109" s="23" t="str">
        <f t="shared" si="13"/>
        <v/>
      </c>
      <c r="O109" s="24" t="str">
        <f>IF(H109="I",N109*Contagem!$W$11,IF(H109="E",N109*Contagem!$W$13,IF(H109="A",N109*Contagem!$W$12,IF(H109="T",N109*Contagem!$W$14,""))))</f>
        <v/>
      </c>
      <c r="P109" s="19"/>
      <c r="Q109" s="196"/>
      <c r="R109" s="197" t="str">
        <f>IF(ISNUMBER(N109),0,IF(ISNA(VLOOKUP(Q109,'INM - Regras'!$D$24:$E$37,2)),"",VLOOKUP(Q109,'INM - Regras'!$D$24:$E$37,2)))</f>
        <v/>
      </c>
      <c r="S109" s="198"/>
      <c r="T109" s="105" t="str">
        <f t="shared" si="15"/>
        <v/>
      </c>
      <c r="U109" s="105" t="str">
        <f t="shared" si="16"/>
        <v xml:space="preserve"> </v>
      </c>
      <c r="V109" s="106" t="str">
        <f t="shared" si="17"/>
        <v xml:space="preserve"> </v>
      </c>
      <c r="W109" s="92" t="str">
        <f t="shared" si="14"/>
        <v xml:space="preserve"> </v>
      </c>
      <c r="X109" s="91" t="str">
        <f>IF(ISNUMBER(N109),"PE",IF(ISNA(VLOOKUP(Q109,'INM - Regras'!$D$24:$F$37,3)),"",VLOOKUP(Q109,'INM - Regras'!$D$24:$F$37,3)))</f>
        <v/>
      </c>
      <c r="Y109" s="91"/>
    </row>
    <row r="110" spans="1:25" ht="12" customHeight="1" x14ac:dyDescent="0.25">
      <c r="A110" s="74"/>
      <c r="B110" s="75"/>
      <c r="C110" s="75"/>
      <c r="D110" s="75"/>
      <c r="E110" s="75"/>
      <c r="F110" s="76"/>
      <c r="G110" s="20"/>
      <c r="H110" s="20"/>
      <c r="I110" s="20"/>
      <c r="J110" s="20"/>
      <c r="K110" s="20" t="str">
        <f t="shared" si="10"/>
        <v/>
      </c>
      <c r="L110" s="21" t="str">
        <f t="shared" si="11"/>
        <v/>
      </c>
      <c r="M110" s="22" t="str">
        <f t="shared" si="12"/>
        <v/>
      </c>
      <c r="N110" s="23" t="str">
        <f t="shared" si="13"/>
        <v/>
      </c>
      <c r="O110" s="24" t="str">
        <f>IF(H110="I",N110*Contagem!$W$11,IF(H110="E",N110*Contagem!$W$13,IF(H110="A",N110*Contagem!$W$12,IF(H110="T",N110*Contagem!$W$14,""))))</f>
        <v/>
      </c>
      <c r="P110" s="19"/>
      <c r="Q110" s="196"/>
      <c r="R110" s="197" t="str">
        <f>IF(ISNUMBER(N110),0,IF(ISNA(VLOOKUP(Q110,'INM - Regras'!$D$24:$E$37,2)),"",VLOOKUP(Q110,'INM - Regras'!$D$24:$E$37,2)))</f>
        <v/>
      </c>
      <c r="S110" s="198"/>
      <c r="T110" s="105" t="str">
        <f t="shared" si="15"/>
        <v/>
      </c>
      <c r="U110" s="105" t="str">
        <f t="shared" si="16"/>
        <v xml:space="preserve"> </v>
      </c>
      <c r="V110" s="106" t="str">
        <f t="shared" si="17"/>
        <v xml:space="preserve"> </v>
      </c>
      <c r="W110" s="92" t="str">
        <f t="shared" si="14"/>
        <v xml:space="preserve"> </v>
      </c>
      <c r="X110" s="91" t="str">
        <f>IF(ISNUMBER(N110),"PE",IF(ISNA(VLOOKUP(Q110,'INM - Regras'!$D$24:$F$37,3)),"",VLOOKUP(Q110,'INM - Regras'!$D$24:$F$37,3)))</f>
        <v/>
      </c>
      <c r="Y110" s="91"/>
    </row>
    <row r="111" spans="1:25" ht="12" customHeight="1" x14ac:dyDescent="0.25">
      <c r="A111" s="74"/>
      <c r="B111" s="75"/>
      <c r="C111" s="75"/>
      <c r="D111" s="75"/>
      <c r="E111" s="75"/>
      <c r="F111" s="76"/>
      <c r="G111" s="20"/>
      <c r="H111" s="20"/>
      <c r="I111" s="20"/>
      <c r="J111" s="20"/>
      <c r="K111" s="20" t="str">
        <f t="shared" si="10"/>
        <v/>
      </c>
      <c r="L111" s="21" t="str">
        <f t="shared" si="11"/>
        <v/>
      </c>
      <c r="M111" s="22" t="str">
        <f t="shared" si="12"/>
        <v/>
      </c>
      <c r="N111" s="23" t="str">
        <f t="shared" si="13"/>
        <v/>
      </c>
      <c r="O111" s="24" t="str">
        <f>IF(H111="I",N111*Contagem!$W$11,IF(H111="E",N111*Contagem!$W$13,IF(H111="A",N111*Contagem!$W$12,IF(H111="T",N111*Contagem!$W$14,""))))</f>
        <v/>
      </c>
      <c r="P111" s="19"/>
      <c r="Q111" s="196"/>
      <c r="R111" s="197" t="str">
        <f>IF(ISNUMBER(N111),0,IF(ISNA(VLOOKUP(Q111,'INM - Regras'!$D$24:$E$37,2)),"",VLOOKUP(Q111,'INM - Regras'!$D$24:$E$37,2)))</f>
        <v/>
      </c>
      <c r="S111" s="198"/>
      <c r="T111" s="105" t="str">
        <f t="shared" si="15"/>
        <v/>
      </c>
      <c r="U111" s="105" t="str">
        <f t="shared" si="16"/>
        <v xml:space="preserve"> </v>
      </c>
      <c r="V111" s="106" t="str">
        <f t="shared" si="17"/>
        <v xml:space="preserve"> </v>
      </c>
      <c r="W111" s="92" t="str">
        <f t="shared" si="14"/>
        <v xml:space="preserve"> </v>
      </c>
      <c r="X111" s="91" t="str">
        <f>IF(ISNUMBER(N111),"PE",IF(ISNA(VLOOKUP(Q111,'INM - Regras'!$D$24:$F$37,3)),"",VLOOKUP(Q111,'INM - Regras'!$D$24:$F$37,3)))</f>
        <v/>
      </c>
      <c r="Y111" s="91"/>
    </row>
    <row r="112" spans="1:25" ht="12" customHeight="1" x14ac:dyDescent="0.25">
      <c r="A112" s="74"/>
      <c r="B112" s="75"/>
      <c r="C112" s="75"/>
      <c r="D112" s="75"/>
      <c r="E112" s="75"/>
      <c r="F112" s="76"/>
      <c r="G112" s="20"/>
      <c r="H112" s="20"/>
      <c r="I112" s="20"/>
      <c r="J112" s="20"/>
      <c r="K112" s="20" t="str">
        <f t="shared" si="10"/>
        <v/>
      </c>
      <c r="L112" s="21" t="str">
        <f t="shared" si="11"/>
        <v/>
      </c>
      <c r="M112" s="22" t="str">
        <f t="shared" si="12"/>
        <v/>
      </c>
      <c r="N112" s="23" t="str">
        <f t="shared" si="13"/>
        <v/>
      </c>
      <c r="O112" s="24" t="str">
        <f>IF(H112="I",N112*Contagem!$W$11,IF(H112="E",N112*Contagem!$W$13,IF(H112="A",N112*Contagem!$W$12,IF(H112="T",N112*Contagem!$W$14,""))))</f>
        <v/>
      </c>
      <c r="P112" s="19"/>
      <c r="Q112" s="196"/>
      <c r="R112" s="197" t="str">
        <f>IF(ISNUMBER(N112),0,IF(ISNA(VLOOKUP(Q112,'INM - Regras'!$D$24:$E$37,2)),"",VLOOKUP(Q112,'INM - Regras'!$D$24:$E$37,2)))</f>
        <v/>
      </c>
      <c r="S112" s="198"/>
      <c r="T112" s="105" t="str">
        <f t="shared" si="15"/>
        <v/>
      </c>
      <c r="U112" s="105" t="str">
        <f t="shared" si="16"/>
        <v xml:space="preserve"> </v>
      </c>
      <c r="V112" s="106" t="str">
        <f t="shared" si="17"/>
        <v xml:space="preserve"> </v>
      </c>
      <c r="W112" s="92" t="str">
        <f t="shared" si="14"/>
        <v xml:space="preserve"> </v>
      </c>
      <c r="X112" s="91" t="str">
        <f>IF(ISNUMBER(N112),"PE",IF(ISNA(VLOOKUP(Q112,'INM - Regras'!$D$24:$F$37,3)),"",VLOOKUP(Q112,'INM - Regras'!$D$24:$F$37,3)))</f>
        <v/>
      </c>
      <c r="Y112" s="91"/>
    </row>
    <row r="113" spans="1:25" ht="12" customHeight="1" x14ac:dyDescent="0.25">
      <c r="A113" s="74"/>
      <c r="B113" s="75"/>
      <c r="C113" s="75"/>
      <c r="D113" s="75"/>
      <c r="E113" s="75"/>
      <c r="F113" s="76"/>
      <c r="G113" s="20"/>
      <c r="H113" s="20"/>
      <c r="I113" s="20"/>
      <c r="J113" s="20"/>
      <c r="K113" s="20" t="str">
        <f t="shared" si="10"/>
        <v/>
      </c>
      <c r="L113" s="21" t="str">
        <f t="shared" si="11"/>
        <v/>
      </c>
      <c r="M113" s="22" t="str">
        <f t="shared" si="12"/>
        <v/>
      </c>
      <c r="N113" s="23" t="str">
        <f t="shared" si="13"/>
        <v/>
      </c>
      <c r="O113" s="24" t="str">
        <f>IF(H113="I",N113*Contagem!$W$11,IF(H113="E",N113*Contagem!$W$13,IF(H113="A",N113*Contagem!$W$12,IF(H113="T",N113*Contagem!$W$14,""))))</f>
        <v/>
      </c>
      <c r="P113" s="19"/>
      <c r="Q113" s="196"/>
      <c r="R113" s="197" t="str">
        <f>IF(ISNUMBER(N113),0,IF(ISNA(VLOOKUP(Q113,'INM - Regras'!$D$24:$E$37,2)),"",VLOOKUP(Q113,'INM - Regras'!$D$24:$E$37,2)))</f>
        <v/>
      </c>
      <c r="S113" s="198"/>
      <c r="T113" s="105" t="str">
        <f t="shared" si="15"/>
        <v/>
      </c>
      <c r="U113" s="105" t="str">
        <f t="shared" si="16"/>
        <v xml:space="preserve"> </v>
      </c>
      <c r="V113" s="106" t="str">
        <f t="shared" si="17"/>
        <v xml:space="preserve"> </v>
      </c>
      <c r="W113" s="92" t="str">
        <f t="shared" si="14"/>
        <v xml:space="preserve"> </v>
      </c>
      <c r="X113" s="91" t="str">
        <f>IF(ISNUMBER(N113),"PE",IF(ISNA(VLOOKUP(Q113,'INM - Regras'!$D$24:$F$37,3)),"",VLOOKUP(Q113,'INM - Regras'!$D$24:$F$37,3)))</f>
        <v/>
      </c>
      <c r="Y113" s="91"/>
    </row>
    <row r="114" spans="1:25" x14ac:dyDescent="0.25">
      <c r="T114" s="199"/>
      <c r="U114" s="199"/>
      <c r="V114" s="200"/>
    </row>
    <row r="115" spans="1:25" x14ac:dyDescent="0.25">
      <c r="S115" s="198"/>
      <c r="T115" s="201"/>
      <c r="U115" s="201"/>
      <c r="V115" s="156"/>
      <c r="W115" s="198"/>
      <c r="X115" s="198"/>
      <c r="Y115" s="198"/>
    </row>
    <row r="116" spans="1:25" x14ac:dyDescent="0.25">
      <c r="S116" s="198"/>
      <c r="T116" s="201"/>
      <c r="U116" s="201"/>
      <c r="V116" s="156"/>
      <c r="W116" s="198"/>
      <c r="X116" s="198"/>
      <c r="Y116" s="198"/>
    </row>
    <row r="117" spans="1:25" x14ac:dyDescent="0.25">
      <c r="S117" s="198"/>
      <c r="T117" s="201"/>
      <c r="U117" s="201"/>
      <c r="V117" s="156"/>
      <c r="W117" s="198"/>
      <c r="X117" s="198"/>
      <c r="Y117" s="198"/>
    </row>
    <row r="118" spans="1:25" x14ac:dyDescent="0.25">
      <c r="S118" s="198"/>
      <c r="T118" s="201"/>
      <c r="U118" s="201"/>
      <c r="V118" s="156"/>
      <c r="W118" s="198"/>
      <c r="X118" s="198"/>
      <c r="Y118" s="198"/>
    </row>
    <row r="119" spans="1:25" x14ac:dyDescent="0.25">
      <c r="S119" s="198"/>
      <c r="T119" s="201"/>
      <c r="U119" s="201"/>
      <c r="V119" s="156"/>
      <c r="W119" s="198"/>
      <c r="X119" s="198"/>
      <c r="Y119" s="198"/>
    </row>
    <row r="120" spans="1:25" x14ac:dyDescent="0.25">
      <c r="S120" s="198"/>
      <c r="T120" s="201"/>
      <c r="U120" s="201"/>
      <c r="V120" s="156"/>
      <c r="W120" s="198"/>
      <c r="X120" s="198"/>
      <c r="Y120" s="198"/>
    </row>
    <row r="121" spans="1:25" x14ac:dyDescent="0.25">
      <c r="S121" s="198"/>
      <c r="T121" s="201"/>
      <c r="U121" s="201"/>
      <c r="V121" s="156"/>
      <c r="W121" s="198"/>
      <c r="X121" s="198"/>
      <c r="Y121" s="198"/>
    </row>
    <row r="122" spans="1:25" x14ac:dyDescent="0.25">
      <c r="S122" s="198"/>
      <c r="T122" s="201"/>
      <c r="U122" s="201"/>
      <c r="V122" s="156"/>
      <c r="W122" s="198"/>
      <c r="X122" s="198"/>
      <c r="Y122" s="198"/>
    </row>
    <row r="123" spans="1:25" x14ac:dyDescent="0.25">
      <c r="S123" s="198"/>
      <c r="T123" s="201"/>
      <c r="U123" s="201"/>
      <c r="V123" s="156"/>
      <c r="W123" s="198"/>
      <c r="X123" s="198"/>
      <c r="Y123" s="198"/>
    </row>
    <row r="124" spans="1:25" x14ac:dyDescent="0.25">
      <c r="S124" s="198"/>
      <c r="T124" s="201"/>
      <c r="U124" s="201"/>
      <c r="V124" s="156"/>
      <c r="W124" s="198"/>
      <c r="X124" s="198"/>
      <c r="Y124" s="198"/>
    </row>
    <row r="125" spans="1:25" x14ac:dyDescent="0.25">
      <c r="S125" s="198"/>
      <c r="T125" s="201"/>
      <c r="U125" s="201"/>
      <c r="V125" s="156"/>
      <c r="W125" s="198"/>
      <c r="X125" s="198"/>
      <c r="Y125" s="198"/>
    </row>
    <row r="126" spans="1:25" x14ac:dyDescent="0.25">
      <c r="S126" s="198"/>
      <c r="T126" s="201"/>
      <c r="U126" s="201"/>
      <c r="V126" s="156"/>
      <c r="W126" s="198"/>
      <c r="X126" s="198"/>
      <c r="Y126" s="198"/>
    </row>
    <row r="127" spans="1:25" x14ac:dyDescent="0.25">
      <c r="S127" s="198"/>
      <c r="T127" s="201"/>
      <c r="U127" s="201"/>
      <c r="V127" s="156"/>
      <c r="W127" s="198"/>
      <c r="X127" s="198"/>
      <c r="Y127" s="198"/>
    </row>
    <row r="128" spans="1:25" x14ac:dyDescent="0.25">
      <c r="S128" s="198"/>
      <c r="T128" s="198"/>
      <c r="U128" s="198"/>
      <c r="V128" s="198"/>
      <c r="W128" s="198"/>
      <c r="X128" s="198"/>
      <c r="Y128" s="198"/>
    </row>
    <row r="129" spans="19:25" x14ac:dyDescent="0.25">
      <c r="S129" s="198"/>
      <c r="T129" s="198"/>
      <c r="U129" s="198"/>
      <c r="V129" s="198"/>
      <c r="W129" s="198"/>
      <c r="X129" s="198"/>
      <c r="Y129" s="198"/>
    </row>
  </sheetData>
  <mergeCells count="10">
    <mergeCell ref="AA2:AA17"/>
    <mergeCell ref="A7:F7"/>
    <mergeCell ref="P6:V6"/>
    <mergeCell ref="A6:N6"/>
    <mergeCell ref="A1:V3"/>
    <mergeCell ref="P5:V5"/>
    <mergeCell ref="A4:N4"/>
    <mergeCell ref="A5:N5"/>
    <mergeCell ref="P4:T4"/>
    <mergeCell ref="U4:V4"/>
  </mergeCells>
  <conditionalFormatting sqref="H8:H113">
    <cfRule type="cellIs" dxfId="6" priority="7" stopIfTrue="1" operator="equal">
      <formula>"I"</formula>
    </cfRule>
    <cfRule type="cellIs" dxfId="5" priority="8" stopIfTrue="1" operator="equal">
      <formula>"A"</formula>
    </cfRule>
    <cfRule type="cellIs" dxfId="4" priority="9" stopIfTrue="1" operator="equal">
      <formula>"E"</formula>
    </cfRule>
  </conditionalFormatting>
  <conditionalFormatting sqref="P6">
    <cfRule type="expression" dxfId="3" priority="2" stopIfTrue="1">
      <formula>$W$7&lt;0</formula>
    </cfRule>
  </conditionalFormatting>
  <conditionalFormatting sqref="A6">
    <cfRule type="expression" dxfId="2" priority="13">
      <formula>W7&lt;0</formula>
    </cfRule>
  </conditionalFormatting>
  <conditionalFormatting sqref="P6">
    <cfRule type="expression" dxfId="1" priority="16">
      <formula>#REF!&lt;0</formula>
    </cfRule>
  </conditionalFormatting>
  <dataValidations count="3">
    <dataValidation allowBlank="1" showInputMessage="1" showErrorMessage="1" promptTitle="Tipo da Manutenção na Função" prompt="I - Inclusão  _x000a_A - Alteração  _x000a_E - Exclusão  _x000a_T - Teste" sqref="H8:H113" xr:uid="{00000000-0002-0000-0300-000000000000}"/>
    <dataValidation allowBlank="1" showInputMessage="1" showErrorMessage="1" promptTitle="Tipo da Função" prompt="ALI, AIE, EE, SE, CE" sqref="G8:G113" xr:uid="{00000000-0002-0000-0300-000001000000}">
      <formula1>0</formula1>
      <formula2>0</formula2>
    </dataValidation>
    <dataValidation type="list" allowBlank="1" showInputMessage="1" showErrorMessage="1" sqref="Q9:Q113" xr:uid="{00000000-0002-0000-0300-000002000000}">
      <formula1>$AA$20:$AA$33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'INM - Regras'!$D$24:$D$37</xm:f>
          </x14:formula1>
          <xm:sqref>Q8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"/>
  <dimension ref="B1:F37"/>
  <sheetViews>
    <sheetView zoomScale="115" zoomScaleNormal="115" workbookViewId="0">
      <selection activeCell="D47" sqref="D47"/>
    </sheetView>
  </sheetViews>
  <sheetFormatPr defaultRowHeight="12.75" x14ac:dyDescent="0.2"/>
  <cols>
    <col min="1" max="1" width="3.42578125" customWidth="1"/>
    <col min="2" max="2" width="2" bestFit="1" customWidth="1"/>
    <col min="3" max="3" width="7.42578125" customWidth="1"/>
    <col min="4" max="4" width="107.5703125" customWidth="1"/>
    <col min="5" max="5" width="18.5703125" customWidth="1"/>
    <col min="6" max="6" width="24.85546875" customWidth="1"/>
    <col min="7" max="7" width="9.85546875" bestFit="1" customWidth="1"/>
  </cols>
  <sheetData>
    <row r="1" spans="2:6" ht="13.5" thickBot="1" x14ac:dyDescent="0.25"/>
    <row r="2" spans="2:6" ht="13.5" thickBot="1" x14ac:dyDescent="0.25">
      <c r="B2" s="341" t="s">
        <v>81</v>
      </c>
      <c r="C2" s="347"/>
      <c r="D2" s="347"/>
      <c r="E2" s="341" t="s">
        <v>82</v>
      </c>
      <c r="F2" s="342"/>
    </row>
    <row r="3" spans="2:6" ht="15" customHeight="1" x14ac:dyDescent="0.2">
      <c r="B3" s="326">
        <v>1</v>
      </c>
      <c r="C3" s="331" t="s">
        <v>83</v>
      </c>
      <c r="D3" s="331"/>
      <c r="E3" s="331"/>
      <c r="F3" s="332"/>
    </row>
    <row r="4" spans="2:6" ht="25.5" x14ac:dyDescent="0.2">
      <c r="B4" s="348"/>
      <c r="C4" s="80" t="s">
        <v>77</v>
      </c>
      <c r="D4" s="78" t="s">
        <v>112</v>
      </c>
      <c r="E4" s="343" t="s">
        <v>84</v>
      </c>
      <c r="F4" s="344"/>
    </row>
    <row r="5" spans="2:6" x14ac:dyDescent="0.2">
      <c r="B5" s="348"/>
      <c r="C5" s="80" t="s">
        <v>97</v>
      </c>
      <c r="D5" s="78" t="s">
        <v>113</v>
      </c>
      <c r="E5" s="343" t="s">
        <v>84</v>
      </c>
      <c r="F5" s="344"/>
    </row>
    <row r="6" spans="2:6" x14ac:dyDescent="0.2">
      <c r="B6" s="348"/>
      <c r="C6" s="80" t="s">
        <v>98</v>
      </c>
      <c r="D6" s="78" t="s">
        <v>114</v>
      </c>
      <c r="E6" s="343" t="s">
        <v>84</v>
      </c>
      <c r="F6" s="344"/>
    </row>
    <row r="7" spans="2:6" ht="13.5" thickBot="1" x14ac:dyDescent="0.25">
      <c r="B7" s="327"/>
      <c r="C7" s="81" t="s">
        <v>99</v>
      </c>
      <c r="D7" s="99" t="s">
        <v>115</v>
      </c>
      <c r="E7" s="333" t="s">
        <v>84</v>
      </c>
      <c r="F7" s="334"/>
    </row>
    <row r="8" spans="2:6" ht="13.5" thickBot="1" x14ac:dyDescent="0.25">
      <c r="B8" s="202">
        <v>2</v>
      </c>
      <c r="C8" s="203" t="s">
        <v>100</v>
      </c>
      <c r="D8" s="204" t="s">
        <v>116</v>
      </c>
      <c r="E8" s="345" t="s">
        <v>85</v>
      </c>
      <c r="F8" s="346"/>
    </row>
    <row r="9" spans="2:6" ht="13.5" thickBot="1" x14ac:dyDescent="0.25">
      <c r="B9" s="185">
        <v>3</v>
      </c>
      <c r="C9" s="186" t="s">
        <v>101</v>
      </c>
      <c r="D9" s="187" t="s">
        <v>111</v>
      </c>
      <c r="E9" s="321" t="s">
        <v>86</v>
      </c>
      <c r="F9" s="322"/>
    </row>
    <row r="10" spans="2:6" ht="15" customHeight="1" x14ac:dyDescent="0.2">
      <c r="B10" s="323">
        <v>4</v>
      </c>
      <c r="C10" s="329" t="s">
        <v>172</v>
      </c>
      <c r="D10" s="329"/>
      <c r="E10" s="329"/>
      <c r="F10" s="330"/>
    </row>
    <row r="11" spans="2:6" x14ac:dyDescent="0.2">
      <c r="B11" s="324"/>
      <c r="C11" s="95" t="s">
        <v>102</v>
      </c>
      <c r="D11" s="188" t="s">
        <v>173</v>
      </c>
      <c r="E11" s="335" t="s">
        <v>87</v>
      </c>
      <c r="F11" s="336"/>
    </row>
    <row r="12" spans="2:6" ht="13.5" thickBot="1" x14ac:dyDescent="0.25">
      <c r="B12" s="328"/>
      <c r="C12" s="189" t="s">
        <v>138</v>
      </c>
      <c r="D12" s="190" t="s">
        <v>174</v>
      </c>
      <c r="E12" s="337" t="s">
        <v>88</v>
      </c>
      <c r="F12" s="338"/>
    </row>
    <row r="13" spans="2:6" ht="39" thickBot="1" x14ac:dyDescent="0.25">
      <c r="B13" s="185">
        <v>5</v>
      </c>
      <c r="C13" s="186" t="s">
        <v>103</v>
      </c>
      <c r="D13" s="187" t="s">
        <v>117</v>
      </c>
      <c r="E13" s="321" t="s">
        <v>89</v>
      </c>
      <c r="F13" s="322"/>
    </row>
    <row r="14" spans="2:6" ht="29.25" customHeight="1" x14ac:dyDescent="0.2">
      <c r="B14" s="323">
        <v>6</v>
      </c>
      <c r="C14" s="329" t="s">
        <v>90</v>
      </c>
      <c r="D14" s="329"/>
      <c r="E14" s="329"/>
      <c r="F14" s="330"/>
    </row>
    <row r="15" spans="2:6" x14ac:dyDescent="0.2">
      <c r="B15" s="324"/>
      <c r="C15" s="95" t="s">
        <v>104</v>
      </c>
      <c r="D15" s="96" t="s">
        <v>118</v>
      </c>
      <c r="E15" s="335" t="s">
        <v>91</v>
      </c>
      <c r="F15" s="336"/>
    </row>
    <row r="16" spans="2:6" x14ac:dyDescent="0.2">
      <c r="B16" s="324"/>
      <c r="C16" s="95" t="s">
        <v>139</v>
      </c>
      <c r="D16" s="96" t="s">
        <v>119</v>
      </c>
      <c r="E16" s="335" t="s">
        <v>92</v>
      </c>
      <c r="F16" s="336"/>
    </row>
    <row r="17" spans="2:6" x14ac:dyDescent="0.2">
      <c r="B17" s="324"/>
      <c r="C17" s="95" t="s">
        <v>140</v>
      </c>
      <c r="D17" s="96" t="s">
        <v>120</v>
      </c>
      <c r="E17" s="335" t="s">
        <v>93</v>
      </c>
      <c r="F17" s="336"/>
    </row>
    <row r="18" spans="2:6" ht="13.5" thickBot="1" x14ac:dyDescent="0.25">
      <c r="B18" s="325"/>
      <c r="C18" s="97" t="s">
        <v>141</v>
      </c>
      <c r="D18" s="98" t="s">
        <v>121</v>
      </c>
      <c r="E18" s="339" t="s">
        <v>94</v>
      </c>
      <c r="F18" s="340"/>
    </row>
    <row r="19" spans="2:6" ht="15" customHeight="1" x14ac:dyDescent="0.2">
      <c r="B19" s="326">
        <v>7</v>
      </c>
      <c r="C19" s="331" t="s">
        <v>95</v>
      </c>
      <c r="D19" s="331"/>
      <c r="E19" s="331"/>
      <c r="F19" s="332"/>
    </row>
    <row r="20" spans="2:6" ht="13.5" thickBot="1" x14ac:dyDescent="0.25">
      <c r="B20" s="327"/>
      <c r="C20" s="81" t="s">
        <v>105</v>
      </c>
      <c r="D20" s="79" t="s">
        <v>122</v>
      </c>
      <c r="E20" s="333" t="s">
        <v>96</v>
      </c>
      <c r="F20" s="334"/>
    </row>
    <row r="22" spans="2:6" ht="13.5" thickBot="1" x14ac:dyDescent="0.25"/>
    <row r="23" spans="2:6" ht="13.5" thickBot="1" x14ac:dyDescent="0.25">
      <c r="C23" s="210" t="s">
        <v>123</v>
      </c>
      <c r="D23" s="211" t="s">
        <v>124</v>
      </c>
      <c r="E23" s="210" t="s">
        <v>106</v>
      </c>
      <c r="F23" s="212" t="s">
        <v>125</v>
      </c>
    </row>
    <row r="24" spans="2:6" ht="25.5" x14ac:dyDescent="0.2">
      <c r="C24" s="213" t="s">
        <v>77</v>
      </c>
      <c r="D24" s="214" t="s">
        <v>107</v>
      </c>
      <c r="E24" s="215">
        <v>0.04</v>
      </c>
      <c r="F24" s="216" t="s">
        <v>126</v>
      </c>
    </row>
    <row r="25" spans="2:6" x14ac:dyDescent="0.2">
      <c r="C25" s="217" t="s">
        <v>97</v>
      </c>
      <c r="D25" s="218" t="s">
        <v>108</v>
      </c>
      <c r="E25" s="219">
        <v>0.04</v>
      </c>
      <c r="F25" s="220" t="s">
        <v>126</v>
      </c>
    </row>
    <row r="26" spans="2:6" x14ac:dyDescent="0.2">
      <c r="C26" s="221" t="s">
        <v>98</v>
      </c>
      <c r="D26" s="218" t="s">
        <v>109</v>
      </c>
      <c r="E26" s="222">
        <v>0.04</v>
      </c>
      <c r="F26" s="220" t="s">
        <v>126</v>
      </c>
    </row>
    <row r="27" spans="2:6" x14ac:dyDescent="0.2">
      <c r="C27" s="221" t="s">
        <v>99</v>
      </c>
      <c r="D27" s="218" t="s">
        <v>110</v>
      </c>
      <c r="E27" s="222">
        <v>0.04</v>
      </c>
      <c r="F27" s="220" t="s">
        <v>126</v>
      </c>
    </row>
    <row r="28" spans="2:6" x14ac:dyDescent="0.2">
      <c r="C28" s="227" t="s">
        <v>100</v>
      </c>
      <c r="D28" s="228" t="s">
        <v>142</v>
      </c>
      <c r="E28" s="229">
        <v>0.01</v>
      </c>
      <c r="F28" s="230" t="s">
        <v>126</v>
      </c>
    </row>
    <row r="29" spans="2:6" x14ac:dyDescent="0.2">
      <c r="C29" s="217" t="s">
        <v>101</v>
      </c>
      <c r="D29" s="218" t="s">
        <v>143</v>
      </c>
      <c r="E29" s="222">
        <v>0.04</v>
      </c>
      <c r="F29" s="220" t="s">
        <v>126</v>
      </c>
    </row>
    <row r="30" spans="2:6" ht="12.75" customHeight="1" x14ac:dyDescent="0.2">
      <c r="C30" s="231" t="s">
        <v>102</v>
      </c>
      <c r="D30" s="232" t="s">
        <v>177</v>
      </c>
      <c r="E30" s="233">
        <v>0.5</v>
      </c>
      <c r="F30" s="234" t="s">
        <v>127</v>
      </c>
    </row>
    <row r="31" spans="2:6" ht="12.75" customHeight="1" x14ac:dyDescent="0.2">
      <c r="C31" s="231" t="s">
        <v>138</v>
      </c>
      <c r="D31" s="232" t="s">
        <v>176</v>
      </c>
      <c r="E31" s="233">
        <v>0.1</v>
      </c>
      <c r="F31" s="234" t="s">
        <v>127</v>
      </c>
    </row>
    <row r="32" spans="2:6" ht="26.25" customHeight="1" x14ac:dyDescent="0.2">
      <c r="C32" s="217" t="s">
        <v>103</v>
      </c>
      <c r="D32" s="218" t="s">
        <v>144</v>
      </c>
      <c r="E32" s="222">
        <v>0.01</v>
      </c>
      <c r="F32" s="220" t="s">
        <v>126</v>
      </c>
    </row>
    <row r="33" spans="3:6" x14ac:dyDescent="0.2">
      <c r="C33" s="231" t="s">
        <v>104</v>
      </c>
      <c r="D33" s="232" t="s">
        <v>145</v>
      </c>
      <c r="E33" s="233">
        <v>2.7</v>
      </c>
      <c r="F33" s="234" t="s">
        <v>127</v>
      </c>
    </row>
    <row r="34" spans="3:6" x14ac:dyDescent="0.2">
      <c r="C34" s="231" t="s">
        <v>139</v>
      </c>
      <c r="D34" s="232" t="s">
        <v>146</v>
      </c>
      <c r="E34" s="233">
        <v>1.3</v>
      </c>
      <c r="F34" s="234" t="s">
        <v>127</v>
      </c>
    </row>
    <row r="35" spans="3:6" x14ac:dyDescent="0.2">
      <c r="C35" s="231" t="s">
        <v>140</v>
      </c>
      <c r="D35" s="232" t="s">
        <v>147</v>
      </c>
      <c r="E35" s="233">
        <v>0.6</v>
      </c>
      <c r="F35" s="234" t="s">
        <v>127</v>
      </c>
    </row>
    <row r="36" spans="3:6" x14ac:dyDescent="0.2">
      <c r="C36" s="231" t="s">
        <v>141</v>
      </c>
      <c r="D36" s="232" t="s">
        <v>148</v>
      </c>
      <c r="E36" s="233">
        <v>0.3</v>
      </c>
      <c r="F36" s="234" t="s">
        <v>127</v>
      </c>
    </row>
    <row r="37" spans="3:6" ht="13.5" thickBot="1" x14ac:dyDescent="0.25">
      <c r="C37" s="223" t="s">
        <v>105</v>
      </c>
      <c r="D37" s="224" t="s">
        <v>171</v>
      </c>
      <c r="E37" s="225">
        <v>0.01</v>
      </c>
      <c r="F37" s="226" t="s">
        <v>126</v>
      </c>
    </row>
  </sheetData>
  <mergeCells count="24">
    <mergeCell ref="E2:F2"/>
    <mergeCell ref="C3:F3"/>
    <mergeCell ref="E4:F4"/>
    <mergeCell ref="E5:F5"/>
    <mergeCell ref="E8:F8"/>
    <mergeCell ref="B2:D2"/>
    <mergeCell ref="B3:B7"/>
    <mergeCell ref="E6:F6"/>
    <mergeCell ref="E7:F7"/>
    <mergeCell ref="E9:F9"/>
    <mergeCell ref="B14:B18"/>
    <mergeCell ref="B19:B20"/>
    <mergeCell ref="B10:B12"/>
    <mergeCell ref="C10:F10"/>
    <mergeCell ref="C19:F19"/>
    <mergeCell ref="E20:F20"/>
    <mergeCell ref="E11:F11"/>
    <mergeCell ref="E12:F12"/>
    <mergeCell ref="E13:F13"/>
    <mergeCell ref="C14:F14"/>
    <mergeCell ref="E15:F15"/>
    <mergeCell ref="E16:F16"/>
    <mergeCell ref="E17:F17"/>
    <mergeCell ref="E18:F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6"/>
  <dimension ref="A1:T94"/>
  <sheetViews>
    <sheetView zoomScale="90" zoomScaleNormal="90" workbookViewId="0">
      <selection activeCell="G23" sqref="G23"/>
    </sheetView>
  </sheetViews>
  <sheetFormatPr defaultColWidth="9.140625" defaultRowHeight="12.75" x14ac:dyDescent="0.25"/>
  <cols>
    <col min="1" max="1" width="1.140625" style="8" customWidth="1"/>
    <col min="2" max="2" width="21.5703125" style="8" customWidth="1"/>
    <col min="3" max="3" width="8.85546875" style="8" customWidth="1"/>
    <col min="4" max="4" width="10.85546875" style="8" customWidth="1"/>
    <col min="5" max="5" width="59.42578125" style="8" customWidth="1"/>
    <col min="6" max="6" width="9.5703125" style="8" customWidth="1"/>
    <col min="7" max="7" width="3" style="8" customWidth="1"/>
    <col min="8" max="8" width="6.42578125" style="8" customWidth="1"/>
    <col min="9" max="9" width="9.85546875" style="8" customWidth="1"/>
    <col min="10" max="10" width="33" style="8" customWidth="1"/>
    <col min="11" max="11" width="4.140625" style="8" hidden="1" customWidth="1"/>
    <col min="12" max="12" width="2.140625" style="8" customWidth="1"/>
    <col min="13" max="14" width="2.85546875" style="8" customWidth="1"/>
    <col min="15" max="15" width="5.140625" style="8" customWidth="1"/>
    <col min="16" max="16" width="3.42578125" style="8" bestFit="1" customWidth="1"/>
    <col min="17" max="17" width="10.5703125" style="8" customWidth="1"/>
    <col min="18" max="18" width="15.42578125" style="8" customWidth="1"/>
    <col min="19" max="16384" width="9.140625" style="8"/>
  </cols>
  <sheetData>
    <row r="1" spans="1:20" ht="5.25" customHeight="1" x14ac:dyDescent="0.25">
      <c r="A1" s="162"/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</row>
    <row r="2" spans="1:20" s="1" customFormat="1" ht="12" customHeight="1" x14ac:dyDescent="0.25">
      <c r="A2" s="163"/>
      <c r="B2" s="391" t="s">
        <v>304</v>
      </c>
      <c r="C2" s="391"/>
      <c r="D2" s="391"/>
      <c r="E2" s="391"/>
      <c r="F2" s="391"/>
      <c r="G2" s="391"/>
      <c r="H2" s="391"/>
      <c r="I2" s="391"/>
      <c r="J2" s="163"/>
      <c r="K2" s="163"/>
      <c r="L2" s="163"/>
      <c r="O2" s="84"/>
      <c r="P2" s="84"/>
      <c r="Q2" s="84"/>
      <c r="R2" s="84"/>
    </row>
    <row r="3" spans="1:20" s="1" customFormat="1" ht="12" customHeight="1" x14ac:dyDescent="0.25">
      <c r="A3" s="163"/>
      <c r="B3" s="391"/>
      <c r="C3" s="391"/>
      <c r="D3" s="391"/>
      <c r="E3" s="391"/>
      <c r="F3" s="391"/>
      <c r="G3" s="391"/>
      <c r="H3" s="391"/>
      <c r="I3" s="391"/>
      <c r="J3" s="163"/>
      <c r="K3" s="163"/>
      <c r="L3" s="163"/>
      <c r="O3" s="89"/>
      <c r="P3" s="89"/>
      <c r="Q3" s="85"/>
      <c r="R3" s="84"/>
    </row>
    <row r="4" spans="1:20" s="1" customFormat="1" ht="12" customHeight="1" thickBot="1" x14ac:dyDescent="0.3">
      <c r="A4" s="163"/>
      <c r="B4" s="391"/>
      <c r="C4" s="391"/>
      <c r="D4" s="391"/>
      <c r="E4" s="391"/>
      <c r="F4" s="391"/>
      <c r="G4" s="391"/>
      <c r="H4" s="391"/>
      <c r="I4" s="391"/>
      <c r="J4" s="163"/>
      <c r="K4" s="163"/>
      <c r="L4" s="163"/>
      <c r="O4" s="90"/>
      <c r="P4" s="90"/>
      <c r="Q4" s="90"/>
      <c r="R4" s="84"/>
      <c r="S4" s="140"/>
      <c r="T4" s="140"/>
    </row>
    <row r="5" spans="1:20" s="1" customFormat="1" ht="12" customHeight="1" x14ac:dyDescent="0.25">
      <c r="A5" s="163"/>
      <c r="B5" s="158" t="str">
        <f>Contagem!A5&amp;" : "&amp;Contagem!F5</f>
        <v xml:space="preserve">Sistema/Subsistema : </v>
      </c>
      <c r="C5" s="159"/>
      <c r="D5" s="159"/>
      <c r="E5" s="160" t="str">
        <f>Contagem!A4&amp;" : "&amp;Contagem!F4</f>
        <v>Empresa : BASIS Tecnologia</v>
      </c>
      <c r="F5" s="161"/>
      <c r="G5" s="157"/>
      <c r="H5" s="392" t="str">
        <f>Contagem!A6&amp;" : "&amp;Contagem!F6</f>
        <v xml:space="preserve">Projeto : </v>
      </c>
      <c r="I5" s="393"/>
      <c r="J5" s="163"/>
      <c r="L5" s="163"/>
      <c r="O5" s="150"/>
      <c r="P5" s="86"/>
      <c r="Q5" s="87"/>
      <c r="R5" s="84"/>
      <c r="S5" s="140"/>
      <c r="T5" s="140"/>
    </row>
    <row r="6" spans="1:20" s="11" customFormat="1" ht="14.25" thickBot="1" x14ac:dyDescent="0.25">
      <c r="A6" s="164"/>
      <c r="B6" s="394" t="str">
        <f>Contagem!A7&amp;" : "&amp;Contagem!F7</f>
        <v xml:space="preserve">Responsável : </v>
      </c>
      <c r="C6" s="395"/>
      <c r="D6" s="395"/>
      <c r="E6" s="394" t="str">
        <f>Contagem!A8&amp;" : "&amp;Contagem!F8</f>
        <v xml:space="preserve">Revisor : </v>
      </c>
      <c r="F6" s="395"/>
      <c r="G6" s="395"/>
      <c r="H6" s="395"/>
      <c r="I6" s="396"/>
      <c r="J6" s="164"/>
      <c r="K6" s="164"/>
      <c r="L6" s="164"/>
      <c r="O6" s="150"/>
      <c r="P6" s="86"/>
      <c r="Q6" s="87"/>
      <c r="R6" s="84"/>
      <c r="S6" s="141"/>
      <c r="T6" s="141"/>
    </row>
    <row r="7" spans="1:20" s="11" customFormat="1" ht="20.25" thickBot="1" x14ac:dyDescent="0.25">
      <c r="A7" s="164"/>
      <c r="B7" s="403" t="s">
        <v>168</v>
      </c>
      <c r="C7" s="404"/>
      <c r="D7" s="404"/>
      <c r="E7" s="404"/>
      <c r="F7" s="184">
        <f>Sumário!$G$45</f>
        <v>0</v>
      </c>
      <c r="G7" s="400" t="str">
        <f>"PFB  = "&amp;SUM(I10:I24)</f>
        <v>PFB  = 0</v>
      </c>
      <c r="H7" s="401"/>
      <c r="I7" s="402"/>
      <c r="J7" s="174"/>
      <c r="K7" s="174"/>
      <c r="L7" s="164"/>
      <c r="O7" s="150"/>
      <c r="P7" s="86"/>
      <c r="Q7" s="87"/>
      <c r="R7" s="84"/>
      <c r="S7" s="141"/>
      <c r="T7" s="141"/>
    </row>
    <row r="8" spans="1:20" s="18" customFormat="1" ht="30.75" customHeight="1" x14ac:dyDescent="0.25">
      <c r="A8" s="165"/>
      <c r="B8" s="410" t="s">
        <v>150</v>
      </c>
      <c r="C8" s="409" t="s">
        <v>167</v>
      </c>
      <c r="D8" s="409"/>
      <c r="E8" s="405" t="s">
        <v>153</v>
      </c>
      <c r="F8" s="406"/>
      <c r="G8" s="397" t="s">
        <v>152</v>
      </c>
      <c r="H8" s="398"/>
      <c r="I8" s="399"/>
      <c r="J8" s="352" t="s">
        <v>169</v>
      </c>
      <c r="K8" s="162"/>
      <c r="L8" s="165"/>
      <c r="O8" s="150"/>
      <c r="P8" s="90"/>
      <c r="Q8" s="87"/>
      <c r="R8" s="84"/>
      <c r="S8" s="142"/>
      <c r="T8" s="142"/>
    </row>
    <row r="9" spans="1:20" s="18" customFormat="1" ht="17.25" thickBot="1" x14ac:dyDescent="0.35">
      <c r="A9" s="165"/>
      <c r="B9" s="411"/>
      <c r="C9" s="181" t="s">
        <v>66</v>
      </c>
      <c r="D9" s="181" t="s">
        <v>3</v>
      </c>
      <c r="E9" s="407"/>
      <c r="F9" s="408"/>
      <c r="G9" s="182" t="s">
        <v>62</v>
      </c>
      <c r="H9" s="183" t="s">
        <v>66</v>
      </c>
      <c r="I9" s="192" t="s">
        <v>3</v>
      </c>
      <c r="J9" s="353"/>
      <c r="K9" s="163" t="s">
        <v>80</v>
      </c>
      <c r="L9" s="165"/>
      <c r="O9" s="150"/>
      <c r="P9" s="90"/>
      <c r="Q9" s="87"/>
      <c r="R9" s="84"/>
      <c r="S9" s="142"/>
      <c r="T9" s="142"/>
    </row>
    <row r="10" spans="1:20" s="18" customFormat="1" ht="15" x14ac:dyDescent="0.25">
      <c r="A10" s="165"/>
      <c r="B10" s="376" t="s">
        <v>136</v>
      </c>
      <c r="C10" s="379">
        <v>10</v>
      </c>
      <c r="D10" s="382">
        <f>C10*$F$7/100</f>
        <v>0</v>
      </c>
      <c r="E10" s="358" t="s">
        <v>154</v>
      </c>
      <c r="F10" s="359"/>
      <c r="G10" s="205" t="s">
        <v>62</v>
      </c>
      <c r="H10" s="365">
        <v>10</v>
      </c>
      <c r="I10" s="368">
        <f>H10*$F$7/100</f>
        <v>0</v>
      </c>
      <c r="J10" s="349" t="str">
        <f>IF(SUM(K10:K13)&lt;4,IF(H10&gt;=C10," Valor % deve ser menor que "&amp;C10&amp;" %",""),"")</f>
        <v/>
      </c>
      <c r="K10" s="162">
        <f t="shared" ref="K10:K24" si="0">IF(G10="X",1,IF(G10="x",1,0))</f>
        <v>1</v>
      </c>
      <c r="L10" s="165"/>
      <c r="O10" s="150"/>
      <c r="P10" s="90"/>
      <c r="Q10" s="87"/>
      <c r="R10" s="84"/>
      <c r="S10" s="142"/>
      <c r="T10" s="142"/>
    </row>
    <row r="11" spans="1:20" ht="12" customHeight="1" x14ac:dyDescent="0.25">
      <c r="A11" s="162"/>
      <c r="B11" s="377"/>
      <c r="C11" s="380"/>
      <c r="D11" s="383"/>
      <c r="E11" s="360" t="s">
        <v>155</v>
      </c>
      <c r="F11" s="361"/>
      <c r="G11" s="205" t="s">
        <v>62</v>
      </c>
      <c r="H11" s="366"/>
      <c r="I11" s="369"/>
      <c r="J11" s="350"/>
      <c r="K11" s="162">
        <f t="shared" si="0"/>
        <v>1</v>
      </c>
      <c r="L11" s="162"/>
      <c r="M11" s="156"/>
      <c r="N11" s="156"/>
      <c r="O11" s="145"/>
      <c r="P11" s="88"/>
      <c r="Q11" s="144"/>
      <c r="R11" s="145"/>
      <c r="S11" s="143"/>
      <c r="T11" s="143"/>
    </row>
    <row r="12" spans="1:20" ht="12" customHeight="1" x14ac:dyDescent="0.25">
      <c r="A12" s="162"/>
      <c r="B12" s="377"/>
      <c r="C12" s="380"/>
      <c r="D12" s="383"/>
      <c r="E12" s="360" t="s">
        <v>156</v>
      </c>
      <c r="F12" s="361"/>
      <c r="G12" s="205" t="s">
        <v>62</v>
      </c>
      <c r="H12" s="366"/>
      <c r="I12" s="369"/>
      <c r="J12" s="350"/>
      <c r="K12" s="162">
        <f t="shared" si="0"/>
        <v>1</v>
      </c>
      <c r="L12" s="162"/>
      <c r="M12" s="156"/>
      <c r="N12" s="156"/>
      <c r="O12" s="145"/>
      <c r="P12" s="88"/>
      <c r="Q12" s="144"/>
      <c r="R12" s="145"/>
      <c r="S12" s="143"/>
      <c r="T12" s="143"/>
    </row>
    <row r="13" spans="1:20" ht="12" customHeight="1" thickBot="1" x14ac:dyDescent="0.3">
      <c r="A13" s="162"/>
      <c r="B13" s="378"/>
      <c r="C13" s="381"/>
      <c r="D13" s="384"/>
      <c r="E13" s="362" t="s">
        <v>157</v>
      </c>
      <c r="F13" s="363"/>
      <c r="G13" s="206" t="s">
        <v>62</v>
      </c>
      <c r="H13" s="367"/>
      <c r="I13" s="370"/>
      <c r="J13" s="351"/>
      <c r="K13" s="162">
        <f t="shared" si="0"/>
        <v>1</v>
      </c>
      <c r="L13" s="162"/>
      <c r="M13" s="156"/>
      <c r="N13" s="156"/>
      <c r="O13" s="145"/>
      <c r="P13" s="88"/>
      <c r="Q13" s="144"/>
      <c r="R13" s="145"/>
      <c r="S13" s="143"/>
      <c r="T13" s="143"/>
    </row>
    <row r="14" spans="1:20" ht="12" customHeight="1" x14ac:dyDescent="0.25">
      <c r="A14" s="162"/>
      <c r="B14" s="376" t="s">
        <v>151</v>
      </c>
      <c r="C14" s="379">
        <v>6</v>
      </c>
      <c r="D14" s="382">
        <f>C14*$F$7/100</f>
        <v>0</v>
      </c>
      <c r="E14" s="364" t="s">
        <v>158</v>
      </c>
      <c r="F14" s="358"/>
      <c r="G14" s="207" t="s">
        <v>62</v>
      </c>
      <c r="H14" s="365">
        <v>6</v>
      </c>
      <c r="I14" s="368">
        <f>H14*$F$7/100</f>
        <v>0</v>
      </c>
      <c r="J14" s="354" t="str">
        <f>IF(SUM(K14:K20)&lt;4,IF(H14&gt;=C14," Valor % deve ser menor que "&amp;C10&amp;" %",""),"")</f>
        <v/>
      </c>
      <c r="K14" s="162">
        <f t="shared" si="0"/>
        <v>1</v>
      </c>
      <c r="L14" s="162"/>
      <c r="M14" s="156"/>
      <c r="N14" s="156"/>
      <c r="O14" s="145"/>
      <c r="P14" s="88"/>
      <c r="Q14" s="144"/>
      <c r="R14" s="145"/>
      <c r="S14" s="143"/>
      <c r="T14" s="143"/>
    </row>
    <row r="15" spans="1:20" ht="12" customHeight="1" x14ac:dyDescent="0.25">
      <c r="A15" s="162"/>
      <c r="B15" s="377"/>
      <c r="C15" s="380"/>
      <c r="D15" s="383"/>
      <c r="E15" s="375" t="s">
        <v>159</v>
      </c>
      <c r="F15" s="360"/>
      <c r="G15" s="205" t="s">
        <v>62</v>
      </c>
      <c r="H15" s="366"/>
      <c r="I15" s="369"/>
      <c r="J15" s="355"/>
      <c r="K15" s="162">
        <f t="shared" si="0"/>
        <v>1</v>
      </c>
      <c r="L15" s="162"/>
      <c r="M15" s="156"/>
      <c r="N15" s="156"/>
      <c r="O15" s="145"/>
      <c r="P15" s="88"/>
      <c r="Q15" s="144"/>
      <c r="R15" s="145"/>
      <c r="S15" s="143"/>
      <c r="T15" s="143"/>
    </row>
    <row r="16" spans="1:20" ht="12" customHeight="1" x14ac:dyDescent="0.25">
      <c r="A16" s="162"/>
      <c r="B16" s="377"/>
      <c r="C16" s="380"/>
      <c r="D16" s="383"/>
      <c r="E16" s="375" t="s">
        <v>160</v>
      </c>
      <c r="F16" s="360"/>
      <c r="G16" s="205" t="s">
        <v>62</v>
      </c>
      <c r="H16" s="366"/>
      <c r="I16" s="369"/>
      <c r="J16" s="355"/>
      <c r="K16" s="162">
        <f t="shared" si="0"/>
        <v>1</v>
      </c>
      <c r="L16" s="162"/>
      <c r="M16" s="156"/>
      <c r="N16" s="156"/>
      <c r="O16" s="152"/>
      <c r="P16" s="146"/>
      <c r="Q16" s="147"/>
      <c r="R16" s="148"/>
      <c r="S16" s="143"/>
      <c r="T16" s="143"/>
    </row>
    <row r="17" spans="1:20" ht="12" customHeight="1" x14ac:dyDescent="0.25">
      <c r="A17" s="162"/>
      <c r="B17" s="377"/>
      <c r="C17" s="380"/>
      <c r="D17" s="383"/>
      <c r="E17" s="375" t="s">
        <v>161</v>
      </c>
      <c r="F17" s="360"/>
      <c r="G17" s="205" t="s">
        <v>62</v>
      </c>
      <c r="H17" s="366"/>
      <c r="I17" s="369"/>
      <c r="J17" s="355"/>
      <c r="K17" s="162">
        <f t="shared" si="0"/>
        <v>1</v>
      </c>
      <c r="L17" s="162"/>
      <c r="M17" s="156"/>
      <c r="N17" s="156"/>
      <c r="O17" s="152"/>
      <c r="P17" s="146"/>
      <c r="Q17" s="147"/>
      <c r="R17" s="148"/>
      <c r="S17" s="143"/>
      <c r="T17" s="143"/>
    </row>
    <row r="18" spans="1:20" ht="12" customHeight="1" x14ac:dyDescent="0.25">
      <c r="A18" s="162"/>
      <c r="B18" s="377"/>
      <c r="C18" s="380"/>
      <c r="D18" s="383"/>
      <c r="E18" s="375" t="s">
        <v>162</v>
      </c>
      <c r="F18" s="360"/>
      <c r="G18" s="205" t="s">
        <v>62</v>
      </c>
      <c r="H18" s="366"/>
      <c r="I18" s="369"/>
      <c r="J18" s="355"/>
      <c r="K18" s="162">
        <f t="shared" si="0"/>
        <v>1</v>
      </c>
      <c r="L18" s="162"/>
      <c r="M18" s="156"/>
      <c r="N18" s="156"/>
      <c r="O18" s="152"/>
      <c r="P18" s="146"/>
      <c r="Q18" s="147"/>
      <c r="R18" s="148"/>
      <c r="S18" s="143"/>
      <c r="T18" s="143"/>
    </row>
    <row r="19" spans="1:20" ht="12" customHeight="1" x14ac:dyDescent="0.25">
      <c r="A19" s="162"/>
      <c r="B19" s="377"/>
      <c r="C19" s="380"/>
      <c r="D19" s="383"/>
      <c r="E19" s="375" t="s">
        <v>163</v>
      </c>
      <c r="F19" s="360"/>
      <c r="G19" s="205" t="s">
        <v>62</v>
      </c>
      <c r="H19" s="366"/>
      <c r="I19" s="369"/>
      <c r="J19" s="355"/>
      <c r="K19" s="162">
        <f t="shared" si="0"/>
        <v>1</v>
      </c>
      <c r="L19" s="162"/>
      <c r="M19" s="156"/>
      <c r="N19" s="156"/>
      <c r="O19" s="152"/>
      <c r="P19" s="146"/>
      <c r="Q19" s="147"/>
      <c r="R19" s="148"/>
      <c r="S19" s="143"/>
      <c r="T19" s="143"/>
    </row>
    <row r="20" spans="1:20" ht="12" customHeight="1" thickBot="1" x14ac:dyDescent="0.3">
      <c r="A20" s="162"/>
      <c r="B20" s="378"/>
      <c r="C20" s="381"/>
      <c r="D20" s="384"/>
      <c r="E20" s="386" t="s">
        <v>157</v>
      </c>
      <c r="F20" s="362"/>
      <c r="G20" s="206" t="s">
        <v>62</v>
      </c>
      <c r="H20" s="367"/>
      <c r="I20" s="370"/>
      <c r="J20" s="356"/>
      <c r="K20" s="162">
        <f t="shared" si="0"/>
        <v>1</v>
      </c>
      <c r="L20" s="162"/>
      <c r="M20" s="156"/>
      <c r="N20" s="156"/>
      <c r="O20" s="145"/>
      <c r="P20" s="88"/>
      <c r="Q20" s="149"/>
      <c r="R20" s="145"/>
      <c r="S20" s="143"/>
      <c r="T20" s="143"/>
    </row>
    <row r="21" spans="1:20" ht="12" customHeight="1" x14ac:dyDescent="0.25">
      <c r="A21" s="162"/>
      <c r="B21" s="389" t="s">
        <v>137</v>
      </c>
      <c r="C21" s="390">
        <v>4</v>
      </c>
      <c r="D21" s="385">
        <f>C21*$F$7/100</f>
        <v>0</v>
      </c>
      <c r="E21" s="387" t="s">
        <v>164</v>
      </c>
      <c r="F21" s="388"/>
      <c r="G21" s="208" t="s">
        <v>62</v>
      </c>
      <c r="H21" s="371">
        <v>4</v>
      </c>
      <c r="I21" s="373">
        <f>H21*$F$7/100</f>
        <v>0</v>
      </c>
      <c r="J21" s="357" t="str">
        <f>IF(SUM(K21:K24)&lt;4,IF(H21&gt;=C21," Valor % deve ser menor que "&amp;C21&amp;" %",""),"")</f>
        <v/>
      </c>
      <c r="K21" s="162">
        <f t="shared" si="0"/>
        <v>1</v>
      </c>
      <c r="L21" s="162"/>
      <c r="M21" s="156"/>
      <c r="N21" s="156"/>
      <c r="O21" s="143"/>
      <c r="P21" s="143"/>
      <c r="Q21" s="143"/>
      <c r="R21" s="143"/>
      <c r="S21" s="143"/>
      <c r="T21" s="143"/>
    </row>
    <row r="22" spans="1:20" ht="12" customHeight="1" x14ac:dyDescent="0.25">
      <c r="A22" s="162"/>
      <c r="B22" s="377"/>
      <c r="C22" s="380"/>
      <c r="D22" s="383"/>
      <c r="E22" s="375" t="s">
        <v>165</v>
      </c>
      <c r="F22" s="360"/>
      <c r="G22" s="205" t="s">
        <v>62</v>
      </c>
      <c r="H22" s="366"/>
      <c r="I22" s="369"/>
      <c r="J22" s="350"/>
      <c r="K22" s="162">
        <f t="shared" si="0"/>
        <v>1</v>
      </c>
      <c r="L22" s="162"/>
      <c r="M22" s="156"/>
      <c r="N22" s="156"/>
      <c r="O22" s="143"/>
      <c r="P22" s="143"/>
      <c r="Q22" s="143"/>
      <c r="R22" s="143"/>
      <c r="S22" s="143"/>
      <c r="T22" s="143"/>
    </row>
    <row r="23" spans="1:20" ht="12" customHeight="1" x14ac:dyDescent="0.25">
      <c r="A23" s="162"/>
      <c r="B23" s="377"/>
      <c r="C23" s="380"/>
      <c r="D23" s="383"/>
      <c r="E23" s="375" t="s">
        <v>166</v>
      </c>
      <c r="F23" s="360"/>
      <c r="G23" s="205" t="s">
        <v>62</v>
      </c>
      <c r="H23" s="366"/>
      <c r="I23" s="369"/>
      <c r="J23" s="350"/>
      <c r="K23" s="162">
        <f t="shared" si="0"/>
        <v>1</v>
      </c>
      <c r="L23" s="162"/>
      <c r="M23" s="156"/>
      <c r="N23" s="156"/>
      <c r="O23" s="151"/>
      <c r="P23" s="84"/>
      <c r="Q23" s="84"/>
      <c r="R23" s="84"/>
      <c r="S23" s="143"/>
      <c r="T23" s="143"/>
    </row>
    <row r="24" spans="1:20" ht="12" customHeight="1" thickBot="1" x14ac:dyDescent="0.3">
      <c r="A24" s="162"/>
      <c r="B24" s="378"/>
      <c r="C24" s="381"/>
      <c r="D24" s="384"/>
      <c r="E24" s="386" t="s">
        <v>157</v>
      </c>
      <c r="F24" s="362"/>
      <c r="G24" s="209" t="s">
        <v>62</v>
      </c>
      <c r="H24" s="372"/>
      <c r="I24" s="374"/>
      <c r="J24" s="350"/>
      <c r="K24" s="162">
        <f t="shared" si="0"/>
        <v>1</v>
      </c>
      <c r="L24" s="162"/>
      <c r="M24" s="156"/>
      <c r="N24" s="156"/>
      <c r="O24" s="143"/>
      <c r="P24" s="143"/>
      <c r="Q24" s="143"/>
      <c r="R24" s="143"/>
      <c r="S24" s="143"/>
      <c r="T24" s="143"/>
    </row>
    <row r="25" spans="1:20" ht="17.25" thickBot="1" x14ac:dyDescent="0.35">
      <c r="A25" s="162"/>
      <c r="B25" s="175" t="s">
        <v>54</v>
      </c>
      <c r="C25" s="176">
        <v>20</v>
      </c>
      <c r="D25" s="176">
        <f>C25*$F$7/100</f>
        <v>0</v>
      </c>
      <c r="E25" s="177"/>
      <c r="F25" s="178"/>
      <c r="G25" s="179"/>
      <c r="H25" s="180">
        <f>SUM(H10:H24)</f>
        <v>20</v>
      </c>
      <c r="I25" s="193">
        <f>H25*$F$7/100</f>
        <v>0</v>
      </c>
      <c r="J25" s="191"/>
      <c r="K25" s="170"/>
      <c r="L25" s="170"/>
      <c r="M25" s="156"/>
      <c r="N25" s="156"/>
      <c r="O25" s="143"/>
      <c r="P25" s="143"/>
      <c r="Q25" s="143"/>
      <c r="R25" s="143"/>
      <c r="S25" s="143"/>
      <c r="T25" s="143"/>
    </row>
    <row r="26" spans="1:20" ht="12" customHeight="1" x14ac:dyDescent="0.25">
      <c r="A26" s="162"/>
      <c r="B26" s="162"/>
      <c r="C26" s="162"/>
      <c r="D26" s="162"/>
      <c r="E26" s="162"/>
      <c r="F26" s="162"/>
      <c r="G26" s="162"/>
      <c r="H26" s="162"/>
      <c r="I26" s="162"/>
      <c r="J26" s="170"/>
      <c r="K26" s="170"/>
      <c r="L26" s="170"/>
      <c r="M26" s="156"/>
      <c r="N26" s="156"/>
      <c r="P26" s="143"/>
      <c r="Q26" s="143"/>
      <c r="R26" s="143"/>
      <c r="S26" s="143"/>
      <c r="T26" s="143"/>
    </row>
    <row r="27" spans="1:20" ht="12" customHeight="1" x14ac:dyDescent="0.25">
      <c r="A27" s="162"/>
      <c r="B27" s="166"/>
      <c r="C27" s="166"/>
      <c r="D27" s="166"/>
      <c r="E27" s="166"/>
      <c r="F27" s="166"/>
      <c r="G27" s="166"/>
      <c r="H27" s="169"/>
      <c r="I27" s="169"/>
      <c r="J27" s="170"/>
      <c r="K27" s="170"/>
      <c r="L27" s="170"/>
      <c r="M27" s="156"/>
      <c r="N27" s="156"/>
      <c r="P27" s="143"/>
      <c r="Q27" s="143"/>
      <c r="R27" s="143"/>
      <c r="S27" s="143"/>
      <c r="T27" s="143"/>
    </row>
    <row r="28" spans="1:20" ht="12" customHeight="1" x14ac:dyDescent="0.25">
      <c r="A28" s="162"/>
      <c r="B28" s="166"/>
      <c r="C28" s="166"/>
      <c r="D28" s="166"/>
      <c r="E28" s="167"/>
      <c r="F28" s="167"/>
      <c r="G28" s="167"/>
      <c r="H28" s="168"/>
      <c r="I28" s="169"/>
      <c r="J28" s="170"/>
      <c r="K28" s="170"/>
      <c r="L28" s="170"/>
      <c r="M28" s="156"/>
      <c r="N28" s="156"/>
      <c r="P28" s="143"/>
      <c r="Q28" s="143"/>
      <c r="R28" s="143"/>
      <c r="S28" s="143"/>
      <c r="T28" s="143"/>
    </row>
    <row r="29" spans="1:20" ht="12" customHeight="1" x14ac:dyDescent="0.25">
      <c r="A29" s="162"/>
      <c r="B29" s="166"/>
      <c r="C29" s="166"/>
      <c r="D29" s="166"/>
      <c r="E29" s="167"/>
      <c r="F29" s="167"/>
      <c r="G29" s="167"/>
      <c r="H29" s="168"/>
      <c r="I29" s="169"/>
      <c r="J29" s="170"/>
      <c r="K29" s="170"/>
      <c r="L29" s="170"/>
      <c r="M29" s="156"/>
      <c r="N29" s="156"/>
    </row>
    <row r="30" spans="1:20" ht="13.5" x14ac:dyDescent="0.25">
      <c r="A30" s="162"/>
      <c r="B30" s="166"/>
      <c r="C30" s="166"/>
      <c r="D30" s="166"/>
      <c r="E30" s="167"/>
      <c r="F30" s="167"/>
      <c r="G30" s="167"/>
      <c r="H30" s="171"/>
      <c r="I30" s="169"/>
      <c r="J30" s="170"/>
      <c r="K30" s="170"/>
      <c r="L30" s="170"/>
      <c r="M30" s="156"/>
      <c r="N30" s="156"/>
    </row>
    <row r="31" spans="1:20" ht="13.5" x14ac:dyDescent="0.25">
      <c r="A31" s="162"/>
      <c r="B31" s="166"/>
      <c r="C31" s="166"/>
      <c r="D31" s="166"/>
      <c r="E31" s="167"/>
      <c r="F31" s="167"/>
      <c r="G31" s="167"/>
      <c r="H31" s="171"/>
      <c r="I31" s="169"/>
      <c r="J31" s="170"/>
      <c r="K31" s="170"/>
      <c r="L31" s="170"/>
      <c r="M31" s="156"/>
      <c r="N31" s="156"/>
    </row>
    <row r="32" spans="1:20" ht="13.5" x14ac:dyDescent="0.25">
      <c r="A32" s="162"/>
      <c r="B32" s="166"/>
      <c r="C32" s="166"/>
      <c r="D32" s="166"/>
      <c r="E32" s="167"/>
      <c r="F32" s="167"/>
      <c r="G32" s="167"/>
      <c r="H32" s="171"/>
      <c r="I32" s="169"/>
      <c r="J32" s="170"/>
      <c r="K32" s="170"/>
      <c r="L32" s="170"/>
      <c r="M32" s="156"/>
      <c r="N32" s="156"/>
    </row>
    <row r="33" spans="1:14" x14ac:dyDescent="0.25">
      <c r="A33" s="162"/>
      <c r="B33" s="172"/>
      <c r="C33" s="172"/>
      <c r="D33" s="172"/>
      <c r="E33" s="172"/>
      <c r="F33" s="172"/>
      <c r="G33" s="172"/>
      <c r="H33" s="173"/>
      <c r="I33" s="173"/>
      <c r="J33" s="170"/>
      <c r="K33" s="170"/>
      <c r="L33" s="170"/>
      <c r="M33" s="156"/>
      <c r="N33" s="156"/>
    </row>
    <row r="34" spans="1:14" x14ac:dyDescent="0.25">
      <c r="A34" s="162"/>
      <c r="B34" s="172"/>
      <c r="C34" s="172"/>
      <c r="D34" s="172"/>
      <c r="E34" s="172"/>
      <c r="F34" s="172"/>
      <c r="G34" s="172"/>
      <c r="H34" s="173"/>
      <c r="I34" s="173"/>
      <c r="J34" s="170"/>
      <c r="K34" s="170"/>
      <c r="L34" s="170"/>
      <c r="M34" s="156"/>
      <c r="N34" s="156"/>
    </row>
    <row r="35" spans="1:14" x14ac:dyDescent="0.25">
      <c r="A35" s="162"/>
      <c r="B35" s="172"/>
      <c r="C35" s="172"/>
      <c r="D35" s="172"/>
      <c r="E35" s="172"/>
      <c r="F35" s="172"/>
      <c r="G35" s="172"/>
      <c r="H35" s="173"/>
      <c r="I35" s="173"/>
      <c r="J35" s="170"/>
      <c r="K35" s="170"/>
      <c r="L35" s="170"/>
      <c r="M35" s="156"/>
      <c r="N35" s="156"/>
    </row>
    <row r="36" spans="1:14" x14ac:dyDescent="0.25">
      <c r="B36" s="153"/>
      <c r="C36" s="153"/>
      <c r="D36" s="153"/>
      <c r="E36" s="153"/>
      <c r="F36" s="153"/>
      <c r="G36" s="153"/>
      <c r="H36" s="154"/>
      <c r="I36" s="154"/>
      <c r="J36" s="155"/>
      <c r="K36" s="155"/>
      <c r="L36" s="155"/>
      <c r="M36" s="156"/>
      <c r="N36" s="156"/>
    </row>
    <row r="37" spans="1:14" x14ac:dyDescent="0.25">
      <c r="B37" s="153"/>
      <c r="C37" s="153"/>
      <c r="D37" s="153"/>
      <c r="E37" s="153"/>
      <c r="F37" s="153"/>
      <c r="G37" s="153"/>
      <c r="H37" s="154"/>
      <c r="I37" s="154"/>
      <c r="J37" s="155"/>
      <c r="K37" s="155"/>
      <c r="L37" s="155"/>
      <c r="M37" s="156"/>
      <c r="N37" s="156"/>
    </row>
    <row r="38" spans="1:14" x14ac:dyDescent="0.25">
      <c r="B38" s="153"/>
      <c r="C38" s="153"/>
      <c r="D38" s="153"/>
      <c r="E38" s="153"/>
      <c r="F38" s="153"/>
      <c r="G38" s="153"/>
      <c r="H38" s="154"/>
      <c r="I38" s="154"/>
      <c r="J38" s="155"/>
      <c r="K38" s="155"/>
      <c r="L38" s="155"/>
      <c r="M38" s="156"/>
      <c r="N38" s="156"/>
    </row>
    <row r="39" spans="1:14" x14ac:dyDescent="0.25">
      <c r="B39" s="153"/>
      <c r="C39" s="153"/>
      <c r="D39" s="153"/>
      <c r="E39" s="153"/>
      <c r="F39" s="153"/>
      <c r="G39" s="153"/>
      <c r="H39" s="154"/>
      <c r="I39" s="154"/>
      <c r="J39" s="155"/>
      <c r="K39" s="155"/>
      <c r="L39" s="155"/>
      <c r="M39" s="156"/>
      <c r="N39" s="156"/>
    </row>
    <row r="40" spans="1:14" x14ac:dyDescent="0.25">
      <c r="B40" s="153"/>
      <c r="C40" s="153"/>
      <c r="D40" s="153"/>
      <c r="E40" s="153"/>
      <c r="F40" s="153"/>
      <c r="G40" s="153"/>
      <c r="H40" s="154"/>
      <c r="I40" s="154"/>
      <c r="J40" s="155"/>
      <c r="K40" s="155"/>
      <c r="L40" s="155"/>
      <c r="M40" s="156"/>
      <c r="N40" s="156"/>
    </row>
    <row r="41" spans="1:14" x14ac:dyDescent="0.25">
      <c r="B41" s="153"/>
      <c r="C41" s="153"/>
      <c r="D41" s="153"/>
      <c r="E41" s="153"/>
      <c r="F41" s="153"/>
      <c r="G41" s="153"/>
      <c r="H41" s="154"/>
      <c r="I41" s="154"/>
      <c r="J41" s="155"/>
      <c r="K41" s="155"/>
      <c r="L41" s="155"/>
      <c r="M41" s="156"/>
      <c r="N41" s="156"/>
    </row>
    <row r="42" spans="1:14" x14ac:dyDescent="0.25">
      <c r="B42" s="153"/>
      <c r="C42" s="153"/>
      <c r="D42" s="153"/>
      <c r="E42" s="153"/>
      <c r="F42" s="153"/>
      <c r="G42" s="153"/>
      <c r="H42" s="154"/>
      <c r="I42" s="154"/>
      <c r="J42" s="155"/>
      <c r="K42" s="155"/>
      <c r="L42" s="155"/>
      <c r="M42" s="156"/>
      <c r="N42" s="156"/>
    </row>
    <row r="43" spans="1:14" x14ac:dyDescent="0.25">
      <c r="B43" s="153"/>
      <c r="C43" s="153"/>
      <c r="D43" s="153"/>
      <c r="E43" s="153"/>
      <c r="F43" s="153"/>
      <c r="G43" s="153"/>
      <c r="H43" s="154"/>
      <c r="I43" s="154"/>
      <c r="J43" s="155"/>
      <c r="K43" s="155"/>
      <c r="L43" s="155"/>
      <c r="M43" s="156"/>
      <c r="N43" s="156"/>
    </row>
    <row r="44" spans="1:14" x14ac:dyDescent="0.25">
      <c r="B44" s="153"/>
      <c r="C44" s="153"/>
      <c r="D44" s="153"/>
      <c r="E44" s="153"/>
      <c r="F44" s="153"/>
      <c r="G44" s="153"/>
      <c r="H44" s="154"/>
      <c r="I44" s="154"/>
      <c r="J44" s="155"/>
      <c r="K44" s="155"/>
      <c r="L44" s="155"/>
      <c r="M44" s="156"/>
      <c r="N44" s="156"/>
    </row>
    <row r="45" spans="1:14" x14ac:dyDescent="0.25">
      <c r="B45" s="153"/>
      <c r="C45" s="153"/>
      <c r="D45" s="153"/>
      <c r="E45" s="153"/>
      <c r="F45" s="153"/>
      <c r="G45" s="153"/>
      <c r="H45" s="154"/>
      <c r="I45" s="154"/>
      <c r="J45" s="155"/>
      <c r="K45" s="155"/>
      <c r="L45" s="155"/>
      <c r="M45" s="156"/>
      <c r="N45" s="156"/>
    </row>
    <row r="46" spans="1:14" x14ac:dyDescent="0.25">
      <c r="B46" s="153"/>
      <c r="C46" s="153"/>
      <c r="D46" s="153"/>
      <c r="E46" s="153"/>
      <c r="F46" s="153"/>
      <c r="G46" s="153"/>
      <c r="H46" s="154"/>
      <c r="I46" s="154"/>
      <c r="J46" s="155"/>
      <c r="K46" s="155"/>
      <c r="L46" s="155"/>
      <c r="M46" s="156"/>
      <c r="N46" s="156"/>
    </row>
    <row r="47" spans="1:14" x14ac:dyDescent="0.25">
      <c r="B47" s="153"/>
      <c r="C47" s="153"/>
      <c r="D47" s="153"/>
      <c r="E47" s="153"/>
      <c r="F47" s="153"/>
      <c r="G47" s="153"/>
      <c r="H47" s="154"/>
      <c r="I47" s="154"/>
      <c r="J47" s="155"/>
      <c r="K47" s="155"/>
      <c r="L47" s="155"/>
      <c r="M47" s="156"/>
      <c r="N47" s="156"/>
    </row>
    <row r="48" spans="1:14" x14ac:dyDescent="0.25">
      <c r="B48" s="153"/>
      <c r="C48" s="153"/>
      <c r="D48" s="153"/>
      <c r="E48" s="153"/>
      <c r="F48" s="153"/>
      <c r="G48" s="153"/>
      <c r="H48" s="154"/>
      <c r="I48" s="154"/>
      <c r="J48" s="155"/>
      <c r="K48" s="155"/>
      <c r="L48" s="155"/>
      <c r="M48" s="156"/>
      <c r="N48" s="156"/>
    </row>
    <row r="49" spans="2:14" x14ac:dyDescent="0.25">
      <c r="B49" s="153"/>
      <c r="C49" s="153"/>
      <c r="D49" s="153"/>
      <c r="E49" s="153"/>
      <c r="F49" s="153"/>
      <c r="G49" s="153"/>
      <c r="H49" s="154"/>
      <c r="I49" s="154"/>
      <c r="J49" s="155"/>
      <c r="K49" s="155"/>
      <c r="L49" s="155"/>
      <c r="M49" s="156"/>
      <c r="N49" s="156"/>
    </row>
    <row r="50" spans="2:14" x14ac:dyDescent="0.25">
      <c r="B50" s="153"/>
      <c r="C50" s="153"/>
      <c r="D50" s="153"/>
      <c r="E50" s="153"/>
      <c r="F50" s="153"/>
      <c r="G50" s="153"/>
      <c r="H50" s="154"/>
      <c r="I50" s="154"/>
      <c r="J50" s="155"/>
      <c r="K50" s="155"/>
      <c r="L50" s="155"/>
      <c r="M50" s="156"/>
      <c r="N50" s="156"/>
    </row>
    <row r="51" spans="2:14" x14ac:dyDescent="0.25">
      <c r="B51" s="153"/>
      <c r="C51" s="153"/>
      <c r="D51" s="153"/>
      <c r="E51" s="153"/>
      <c r="F51" s="153"/>
      <c r="G51" s="153"/>
      <c r="H51" s="154"/>
      <c r="I51" s="154"/>
      <c r="J51" s="155"/>
      <c r="K51" s="155"/>
      <c r="L51" s="155"/>
      <c r="M51" s="156"/>
      <c r="N51" s="156"/>
    </row>
    <row r="52" spans="2:14" x14ac:dyDescent="0.25">
      <c r="B52" s="153"/>
      <c r="C52" s="153"/>
      <c r="D52" s="153"/>
      <c r="E52" s="153"/>
      <c r="F52" s="153"/>
      <c r="G52" s="153"/>
      <c r="H52" s="154"/>
      <c r="I52" s="154"/>
      <c r="J52" s="155"/>
      <c r="K52" s="155"/>
      <c r="L52" s="155"/>
      <c r="M52" s="156"/>
      <c r="N52" s="156"/>
    </row>
    <row r="53" spans="2:14" x14ac:dyDescent="0.25">
      <c r="B53" s="153"/>
      <c r="C53" s="153"/>
      <c r="D53" s="153"/>
      <c r="E53" s="153"/>
      <c r="F53" s="153"/>
      <c r="G53" s="153"/>
      <c r="H53" s="154"/>
      <c r="I53" s="154"/>
      <c r="J53" s="155"/>
      <c r="K53" s="155"/>
      <c r="L53" s="155"/>
      <c r="M53" s="156"/>
      <c r="N53" s="156"/>
    </row>
    <row r="54" spans="2:14" x14ac:dyDescent="0.25">
      <c r="B54" s="153"/>
      <c r="C54" s="153"/>
      <c r="D54" s="153"/>
      <c r="E54" s="153"/>
      <c r="F54" s="153"/>
      <c r="G54" s="153"/>
      <c r="H54" s="154"/>
      <c r="I54" s="154"/>
      <c r="J54" s="155"/>
      <c r="K54" s="155"/>
      <c r="L54" s="155"/>
      <c r="M54" s="156"/>
      <c r="N54" s="156"/>
    </row>
    <row r="55" spans="2:14" x14ac:dyDescent="0.25">
      <c r="B55" s="153"/>
      <c r="C55" s="153"/>
      <c r="D55" s="153"/>
      <c r="E55" s="153"/>
      <c r="F55" s="153"/>
      <c r="G55" s="153"/>
      <c r="H55" s="154"/>
      <c r="I55" s="154"/>
      <c r="J55" s="155"/>
      <c r="K55" s="155"/>
      <c r="L55" s="155"/>
      <c r="M55" s="156"/>
      <c r="N55" s="156"/>
    </row>
    <row r="56" spans="2:14" x14ac:dyDescent="0.25">
      <c r="B56" s="153"/>
      <c r="C56" s="153"/>
      <c r="D56" s="153"/>
      <c r="E56" s="153"/>
      <c r="F56" s="153"/>
      <c r="G56" s="153"/>
      <c r="H56" s="154"/>
      <c r="I56" s="154"/>
      <c r="J56" s="155"/>
      <c r="K56" s="155"/>
      <c r="L56" s="155"/>
      <c r="M56" s="156"/>
      <c r="N56" s="156"/>
    </row>
    <row r="57" spans="2:14" x14ac:dyDescent="0.25">
      <c r="B57" s="153"/>
      <c r="C57" s="153"/>
      <c r="D57" s="153"/>
      <c r="E57" s="153"/>
      <c r="F57" s="153"/>
      <c r="G57" s="153"/>
      <c r="H57" s="154"/>
      <c r="I57" s="154"/>
      <c r="J57" s="155"/>
      <c r="K57" s="155"/>
      <c r="L57" s="155"/>
      <c r="M57" s="156"/>
      <c r="N57" s="156"/>
    </row>
    <row r="58" spans="2:14" x14ac:dyDescent="0.25">
      <c r="B58" s="153"/>
      <c r="C58" s="153"/>
      <c r="D58" s="153"/>
      <c r="E58" s="153"/>
      <c r="F58" s="153"/>
      <c r="G58" s="153"/>
      <c r="H58" s="154"/>
      <c r="I58" s="154"/>
      <c r="J58" s="155"/>
      <c r="K58" s="155"/>
      <c r="L58" s="155"/>
      <c r="M58" s="156"/>
      <c r="N58" s="156"/>
    </row>
    <row r="59" spans="2:14" x14ac:dyDescent="0.25">
      <c r="B59" s="153"/>
      <c r="C59" s="153"/>
      <c r="D59" s="153"/>
      <c r="E59" s="153"/>
      <c r="F59" s="153"/>
      <c r="G59" s="153"/>
      <c r="H59" s="154"/>
      <c r="I59" s="154"/>
      <c r="J59" s="155"/>
      <c r="K59" s="155"/>
      <c r="L59" s="155"/>
      <c r="M59" s="156"/>
      <c r="N59" s="156"/>
    </row>
    <row r="60" spans="2:14" x14ac:dyDescent="0.25">
      <c r="B60" s="153"/>
      <c r="C60" s="153"/>
      <c r="D60" s="153"/>
      <c r="E60" s="153"/>
      <c r="F60" s="153"/>
      <c r="G60" s="153"/>
      <c r="H60" s="154"/>
      <c r="I60" s="154"/>
      <c r="J60" s="155"/>
      <c r="K60" s="155"/>
      <c r="L60" s="155"/>
      <c r="M60" s="156"/>
      <c r="N60" s="156"/>
    </row>
    <row r="61" spans="2:14" x14ac:dyDescent="0.25">
      <c r="B61" s="153"/>
      <c r="C61" s="153"/>
      <c r="D61" s="153"/>
      <c r="E61" s="153"/>
      <c r="F61" s="153"/>
      <c r="G61" s="153"/>
      <c r="H61" s="154"/>
      <c r="I61" s="154"/>
      <c r="J61" s="155"/>
      <c r="K61" s="155"/>
      <c r="L61" s="155"/>
      <c r="M61" s="156"/>
      <c r="N61" s="156"/>
    </row>
    <row r="62" spans="2:14" x14ac:dyDescent="0.25">
      <c r="B62" s="153"/>
      <c r="C62" s="153"/>
      <c r="D62" s="153"/>
      <c r="E62" s="153"/>
      <c r="F62" s="153"/>
      <c r="G62" s="153"/>
      <c r="H62" s="154"/>
      <c r="I62" s="154"/>
      <c r="J62" s="155"/>
      <c r="K62" s="155"/>
      <c r="L62" s="155"/>
      <c r="M62" s="156"/>
      <c r="N62" s="156"/>
    </row>
    <row r="63" spans="2:14" x14ac:dyDescent="0.25">
      <c r="B63" s="153"/>
      <c r="C63" s="153"/>
      <c r="D63" s="153"/>
      <c r="E63" s="153"/>
      <c r="F63" s="153"/>
      <c r="G63" s="153"/>
      <c r="H63" s="154"/>
      <c r="I63" s="154"/>
      <c r="J63" s="155"/>
      <c r="K63" s="155"/>
      <c r="L63" s="155"/>
      <c r="M63" s="156"/>
      <c r="N63" s="156"/>
    </row>
    <row r="64" spans="2:14" x14ac:dyDescent="0.25">
      <c r="B64" s="153"/>
      <c r="C64" s="153"/>
      <c r="D64" s="153"/>
      <c r="E64" s="153"/>
      <c r="F64" s="153"/>
      <c r="G64" s="153"/>
      <c r="H64" s="154"/>
      <c r="I64" s="154"/>
      <c r="J64" s="155"/>
      <c r="K64" s="155"/>
      <c r="L64" s="155"/>
      <c r="M64" s="156"/>
      <c r="N64" s="156"/>
    </row>
    <row r="65" spans="2:14" x14ac:dyDescent="0.25">
      <c r="B65" s="153"/>
      <c r="C65" s="153"/>
      <c r="D65" s="153"/>
      <c r="E65" s="153"/>
      <c r="F65" s="153"/>
      <c r="G65" s="153"/>
      <c r="H65" s="154"/>
      <c r="I65" s="154"/>
      <c r="J65" s="155"/>
      <c r="K65" s="155"/>
      <c r="L65" s="155"/>
      <c r="M65" s="156"/>
      <c r="N65" s="156"/>
    </row>
    <row r="66" spans="2:14" x14ac:dyDescent="0.25">
      <c r="B66" s="153"/>
      <c r="C66" s="153"/>
      <c r="D66" s="153"/>
      <c r="E66" s="153"/>
      <c r="F66" s="153"/>
      <c r="G66" s="153"/>
      <c r="H66" s="154"/>
      <c r="I66" s="154"/>
      <c r="J66" s="155"/>
      <c r="K66" s="155"/>
      <c r="L66" s="155"/>
      <c r="M66" s="156"/>
      <c r="N66" s="156"/>
    </row>
    <row r="67" spans="2:14" x14ac:dyDescent="0.25">
      <c r="B67" s="153"/>
      <c r="C67" s="153"/>
      <c r="D67" s="153"/>
      <c r="E67" s="153"/>
      <c r="F67" s="153"/>
      <c r="G67" s="153"/>
      <c r="H67" s="154"/>
      <c r="I67" s="154"/>
      <c r="J67" s="155"/>
      <c r="K67" s="155"/>
      <c r="L67" s="155"/>
      <c r="M67" s="156"/>
      <c r="N67" s="156"/>
    </row>
    <row r="68" spans="2:14" x14ac:dyDescent="0.25">
      <c r="B68" s="153"/>
      <c r="C68" s="153"/>
      <c r="D68" s="153"/>
      <c r="E68" s="153"/>
      <c r="F68" s="153"/>
      <c r="G68" s="153"/>
      <c r="H68" s="154"/>
      <c r="I68" s="154"/>
      <c r="J68" s="155"/>
      <c r="K68" s="155"/>
      <c r="L68" s="155"/>
      <c r="M68" s="156"/>
      <c r="N68" s="156"/>
    </row>
    <row r="69" spans="2:14" x14ac:dyDescent="0.25">
      <c r="B69" s="153"/>
      <c r="C69" s="153"/>
      <c r="D69" s="153"/>
      <c r="E69" s="153"/>
      <c r="F69" s="153"/>
      <c r="G69" s="153"/>
      <c r="H69" s="154"/>
      <c r="I69" s="154"/>
      <c r="J69" s="155"/>
      <c r="K69" s="155"/>
      <c r="L69" s="155"/>
      <c r="M69" s="156"/>
      <c r="N69" s="156"/>
    </row>
    <row r="70" spans="2:14" x14ac:dyDescent="0.25">
      <c r="B70" s="153"/>
      <c r="C70" s="153"/>
      <c r="D70" s="153"/>
      <c r="E70" s="153"/>
      <c r="F70" s="153"/>
      <c r="G70" s="153"/>
      <c r="H70" s="154"/>
      <c r="I70" s="154"/>
      <c r="J70" s="155"/>
      <c r="K70" s="155"/>
      <c r="L70" s="155"/>
      <c r="M70" s="156"/>
      <c r="N70" s="156"/>
    </row>
    <row r="71" spans="2:14" x14ac:dyDescent="0.25">
      <c r="B71" s="153"/>
      <c r="C71" s="153"/>
      <c r="D71" s="153"/>
      <c r="E71" s="153"/>
      <c r="F71" s="153"/>
      <c r="G71" s="153"/>
      <c r="H71" s="154"/>
      <c r="I71" s="154"/>
      <c r="J71" s="155"/>
      <c r="K71" s="155"/>
      <c r="L71" s="155"/>
      <c r="M71" s="156"/>
      <c r="N71" s="156"/>
    </row>
    <row r="72" spans="2:14" x14ac:dyDescent="0.25">
      <c r="B72" s="153"/>
      <c r="C72" s="153"/>
      <c r="D72" s="153"/>
      <c r="E72" s="153"/>
      <c r="F72" s="153"/>
      <c r="G72" s="153"/>
      <c r="H72" s="154"/>
      <c r="I72" s="154"/>
      <c r="J72" s="155"/>
      <c r="K72" s="155"/>
      <c r="L72" s="155"/>
      <c r="M72" s="156"/>
      <c r="N72" s="156"/>
    </row>
    <row r="73" spans="2:14" x14ac:dyDescent="0.25">
      <c r="B73" s="153"/>
      <c r="C73" s="153"/>
      <c r="D73" s="153"/>
      <c r="E73" s="153"/>
      <c r="F73" s="153"/>
      <c r="G73" s="153"/>
      <c r="H73" s="154"/>
      <c r="I73" s="154"/>
      <c r="J73" s="155"/>
      <c r="K73" s="155"/>
      <c r="L73" s="155"/>
      <c r="M73" s="156"/>
      <c r="N73" s="156"/>
    </row>
    <row r="74" spans="2:14" x14ac:dyDescent="0.25">
      <c r="B74" s="153"/>
      <c r="C74" s="153"/>
      <c r="D74" s="153"/>
      <c r="E74" s="153"/>
      <c r="F74" s="153"/>
      <c r="G74" s="153"/>
      <c r="H74" s="154"/>
      <c r="I74" s="154"/>
      <c r="J74" s="155"/>
      <c r="K74" s="155"/>
      <c r="L74" s="155"/>
      <c r="M74" s="156"/>
      <c r="N74" s="156"/>
    </row>
    <row r="75" spans="2:14" x14ac:dyDescent="0.25">
      <c r="B75" s="153"/>
      <c r="C75" s="153"/>
      <c r="D75" s="153"/>
      <c r="E75" s="153"/>
      <c r="F75" s="153"/>
      <c r="G75" s="153"/>
      <c r="H75" s="154"/>
      <c r="I75" s="154"/>
      <c r="J75" s="155"/>
      <c r="K75" s="155"/>
      <c r="L75" s="155"/>
      <c r="M75" s="156"/>
      <c r="N75" s="156"/>
    </row>
    <row r="76" spans="2:14" x14ac:dyDescent="0.25">
      <c r="B76" s="153"/>
      <c r="C76" s="153"/>
      <c r="D76" s="153"/>
      <c r="E76" s="153"/>
      <c r="F76" s="153"/>
      <c r="G76" s="153"/>
      <c r="H76" s="154"/>
      <c r="I76" s="154"/>
      <c r="J76" s="155"/>
      <c r="K76" s="155"/>
      <c r="L76" s="155"/>
      <c r="M76" s="156"/>
      <c r="N76" s="156"/>
    </row>
    <row r="77" spans="2:14" x14ac:dyDescent="0.25">
      <c r="B77" s="153"/>
      <c r="C77" s="153"/>
      <c r="D77" s="153"/>
      <c r="E77" s="153"/>
      <c r="F77" s="153"/>
      <c r="G77" s="153"/>
      <c r="H77" s="154"/>
      <c r="I77" s="154"/>
      <c r="J77" s="155"/>
      <c r="K77" s="155"/>
      <c r="L77" s="155"/>
      <c r="M77" s="156"/>
      <c r="N77" s="156"/>
    </row>
    <row r="78" spans="2:14" x14ac:dyDescent="0.25">
      <c r="B78" s="153"/>
      <c r="C78" s="153"/>
      <c r="D78" s="153"/>
      <c r="E78" s="153"/>
      <c r="F78" s="153"/>
      <c r="G78" s="153"/>
      <c r="H78" s="154"/>
      <c r="I78" s="154"/>
      <c r="J78" s="155"/>
      <c r="K78" s="155"/>
      <c r="L78" s="155"/>
      <c r="M78" s="156"/>
      <c r="N78" s="156"/>
    </row>
    <row r="79" spans="2:14" x14ac:dyDescent="0.25">
      <c r="B79" s="153"/>
      <c r="C79" s="153"/>
      <c r="D79" s="153"/>
      <c r="E79" s="153"/>
      <c r="F79" s="153"/>
      <c r="G79" s="153"/>
      <c r="H79" s="154"/>
      <c r="I79" s="154"/>
      <c r="J79" s="155"/>
      <c r="K79" s="155"/>
      <c r="L79" s="155"/>
      <c r="M79" s="156"/>
      <c r="N79" s="156"/>
    </row>
    <row r="80" spans="2:14" x14ac:dyDescent="0.25">
      <c r="B80" s="153"/>
      <c r="C80" s="153"/>
      <c r="D80" s="153"/>
      <c r="E80" s="153"/>
      <c r="F80" s="153"/>
      <c r="G80" s="153"/>
      <c r="H80" s="154"/>
      <c r="I80" s="154"/>
      <c r="J80" s="155"/>
      <c r="K80" s="155"/>
      <c r="L80" s="155"/>
      <c r="M80" s="156"/>
      <c r="N80" s="156"/>
    </row>
    <row r="81" spans="2:14" x14ac:dyDescent="0.25">
      <c r="B81" s="153"/>
      <c r="C81" s="153"/>
      <c r="D81" s="153"/>
      <c r="E81" s="153"/>
      <c r="F81" s="153"/>
      <c r="G81" s="153"/>
      <c r="H81" s="154"/>
      <c r="I81" s="154"/>
      <c r="J81" s="155"/>
      <c r="K81" s="155"/>
      <c r="L81" s="155"/>
      <c r="M81" s="156"/>
      <c r="N81" s="156"/>
    </row>
    <row r="82" spans="2:14" x14ac:dyDescent="0.25">
      <c r="B82" s="153"/>
      <c r="C82" s="153"/>
      <c r="D82" s="153"/>
      <c r="E82" s="153"/>
      <c r="F82" s="153"/>
      <c r="G82" s="153"/>
      <c r="H82" s="154"/>
      <c r="I82" s="154"/>
      <c r="J82" s="155"/>
      <c r="K82" s="155"/>
      <c r="L82" s="155"/>
      <c r="M82" s="156"/>
      <c r="N82" s="156"/>
    </row>
    <row r="83" spans="2:14" x14ac:dyDescent="0.25">
      <c r="B83" s="153"/>
      <c r="C83" s="153"/>
      <c r="D83" s="153"/>
      <c r="E83" s="153"/>
      <c r="F83" s="153"/>
      <c r="G83" s="153"/>
      <c r="H83" s="154"/>
      <c r="I83" s="154"/>
      <c r="J83" s="155"/>
      <c r="K83" s="155"/>
      <c r="L83" s="155"/>
      <c r="M83" s="156"/>
      <c r="N83" s="156"/>
    </row>
    <row r="84" spans="2:14" x14ac:dyDescent="0.25">
      <c r="B84" s="153"/>
      <c r="C84" s="153"/>
      <c r="D84" s="153"/>
      <c r="E84" s="153"/>
      <c r="F84" s="153"/>
      <c r="G84" s="153"/>
      <c r="H84" s="154"/>
      <c r="I84" s="154"/>
      <c r="J84" s="155"/>
      <c r="K84" s="155"/>
      <c r="L84" s="155"/>
      <c r="M84" s="156"/>
      <c r="N84" s="156"/>
    </row>
    <row r="85" spans="2:14" x14ac:dyDescent="0.25">
      <c r="B85" s="153"/>
      <c r="C85" s="153"/>
      <c r="D85" s="153"/>
      <c r="E85" s="153"/>
      <c r="F85" s="153"/>
      <c r="G85" s="153"/>
      <c r="H85" s="154"/>
      <c r="I85" s="154"/>
      <c r="J85" s="155"/>
      <c r="K85" s="155"/>
      <c r="L85" s="155"/>
      <c r="M85" s="156"/>
      <c r="N85" s="156"/>
    </row>
    <row r="86" spans="2:14" x14ac:dyDescent="0.25">
      <c r="B86" s="153"/>
      <c r="C86" s="153"/>
      <c r="D86" s="153"/>
      <c r="E86" s="153"/>
      <c r="F86" s="153"/>
      <c r="G86" s="153"/>
      <c r="H86" s="154"/>
      <c r="I86" s="154"/>
      <c r="J86" s="155"/>
      <c r="K86" s="155"/>
      <c r="L86" s="155"/>
      <c r="M86" s="156"/>
      <c r="N86" s="156"/>
    </row>
    <row r="87" spans="2:14" x14ac:dyDescent="0.25">
      <c r="B87" s="153"/>
      <c r="C87" s="153"/>
      <c r="D87" s="153"/>
      <c r="E87" s="153"/>
      <c r="F87" s="153"/>
      <c r="G87" s="153"/>
      <c r="H87" s="154"/>
      <c r="I87" s="154"/>
      <c r="J87" s="155"/>
      <c r="K87" s="155"/>
      <c r="L87" s="155"/>
      <c r="M87" s="156"/>
      <c r="N87" s="156"/>
    </row>
    <row r="88" spans="2:14" x14ac:dyDescent="0.25">
      <c r="B88" s="153"/>
      <c r="C88" s="153"/>
      <c r="D88" s="153"/>
      <c r="E88" s="153"/>
      <c r="F88" s="153"/>
      <c r="G88" s="153"/>
      <c r="H88" s="154"/>
      <c r="I88" s="154"/>
      <c r="J88" s="155"/>
      <c r="K88" s="155"/>
      <c r="L88" s="155"/>
      <c r="M88" s="156"/>
      <c r="N88" s="156"/>
    </row>
    <row r="89" spans="2:14" x14ac:dyDescent="0.25">
      <c r="B89" s="153"/>
      <c r="C89" s="153"/>
      <c r="D89" s="153"/>
      <c r="E89" s="153"/>
      <c r="F89" s="153"/>
      <c r="G89" s="153"/>
      <c r="H89" s="154"/>
      <c r="I89" s="154"/>
      <c r="J89" s="155"/>
      <c r="K89" s="155"/>
      <c r="L89" s="155"/>
      <c r="M89" s="156"/>
      <c r="N89" s="156"/>
    </row>
    <row r="90" spans="2:14" x14ac:dyDescent="0.25">
      <c r="B90" s="153"/>
      <c r="C90" s="153"/>
      <c r="D90" s="153"/>
      <c r="E90" s="153"/>
      <c r="F90" s="153"/>
      <c r="G90" s="153"/>
      <c r="H90" s="154"/>
      <c r="I90" s="154"/>
      <c r="J90" s="155"/>
      <c r="K90" s="155"/>
      <c r="L90" s="155"/>
      <c r="M90" s="156"/>
      <c r="N90" s="156"/>
    </row>
    <row r="91" spans="2:14" x14ac:dyDescent="0.25">
      <c r="B91" s="153"/>
      <c r="C91" s="153"/>
      <c r="D91" s="153"/>
      <c r="E91" s="153"/>
      <c r="F91" s="153"/>
      <c r="G91" s="153"/>
      <c r="H91" s="154"/>
      <c r="I91" s="154"/>
      <c r="J91" s="155"/>
      <c r="K91" s="155"/>
      <c r="L91" s="155"/>
      <c r="M91" s="156"/>
      <c r="N91" s="156"/>
    </row>
    <row r="92" spans="2:14" x14ac:dyDescent="0.25">
      <c r="B92" s="153"/>
      <c r="C92" s="153"/>
      <c r="D92" s="153"/>
      <c r="E92" s="153"/>
      <c r="F92" s="153"/>
      <c r="G92" s="153"/>
      <c r="H92" s="154"/>
      <c r="I92" s="154"/>
      <c r="J92" s="155"/>
      <c r="K92" s="155"/>
      <c r="L92" s="155"/>
      <c r="M92" s="156"/>
      <c r="N92" s="156"/>
    </row>
    <row r="93" spans="2:14" x14ac:dyDescent="0.25">
      <c r="B93" s="153"/>
      <c r="C93" s="153"/>
      <c r="D93" s="153"/>
      <c r="E93" s="153"/>
      <c r="F93" s="153"/>
      <c r="G93" s="153"/>
      <c r="H93" s="154"/>
      <c r="I93" s="154"/>
      <c r="J93" s="155"/>
      <c r="K93" s="155"/>
      <c r="L93" s="155"/>
      <c r="M93" s="156"/>
      <c r="N93" s="156"/>
    </row>
    <row r="94" spans="2:14" x14ac:dyDescent="0.25">
      <c r="B94" s="153"/>
      <c r="C94" s="153"/>
      <c r="D94" s="153"/>
      <c r="E94" s="153"/>
      <c r="F94" s="153"/>
      <c r="G94" s="153"/>
      <c r="H94" s="154"/>
      <c r="I94" s="154"/>
      <c r="J94" s="155"/>
      <c r="K94" s="155"/>
      <c r="L94" s="155"/>
      <c r="M94" s="156"/>
      <c r="N94" s="156"/>
    </row>
  </sheetData>
  <mergeCells count="44">
    <mergeCell ref="B2:I4"/>
    <mergeCell ref="H5:I5"/>
    <mergeCell ref="B6:D6"/>
    <mergeCell ref="E6:I6"/>
    <mergeCell ref="G8:I8"/>
    <mergeCell ref="G7:I7"/>
    <mergeCell ref="B7:E7"/>
    <mergeCell ref="E8:F9"/>
    <mergeCell ref="C8:D8"/>
    <mergeCell ref="B8:B9"/>
    <mergeCell ref="H14:H20"/>
    <mergeCell ref="B14:B20"/>
    <mergeCell ref="C14:C20"/>
    <mergeCell ref="D14:D20"/>
    <mergeCell ref="B21:B24"/>
    <mergeCell ref="C21:C24"/>
    <mergeCell ref="E22:F22"/>
    <mergeCell ref="E23:F23"/>
    <mergeCell ref="E24:F24"/>
    <mergeCell ref="B10:B13"/>
    <mergeCell ref="C10:C13"/>
    <mergeCell ref="D10:D13"/>
    <mergeCell ref="D21:D24"/>
    <mergeCell ref="E17:F17"/>
    <mergeCell ref="E18:F18"/>
    <mergeCell ref="E19:F19"/>
    <mergeCell ref="E20:F20"/>
    <mergeCell ref="E21:F21"/>
    <mergeCell ref="J10:J13"/>
    <mergeCell ref="J8:J9"/>
    <mergeCell ref="J14:J20"/>
    <mergeCell ref="J21:J24"/>
    <mergeCell ref="E10:F10"/>
    <mergeCell ref="E11:F11"/>
    <mergeCell ref="E12:F12"/>
    <mergeCell ref="E13:F13"/>
    <mergeCell ref="E14:F14"/>
    <mergeCell ref="H10:H13"/>
    <mergeCell ref="I10:I13"/>
    <mergeCell ref="I14:I20"/>
    <mergeCell ref="H21:H24"/>
    <mergeCell ref="I21:I24"/>
    <mergeCell ref="E15:F15"/>
    <mergeCell ref="E16:F16"/>
  </mergeCells>
  <conditionalFormatting sqref="I27:I94">
    <cfRule type="iconSet" priority="34">
      <iconSet>
        <cfvo type="percent" val="0"/>
        <cfvo type="num" val="0"/>
        <cfvo type="num" val="0.5"/>
      </iconSet>
    </cfRule>
  </conditionalFormatting>
  <conditionalFormatting sqref="B7">
    <cfRule type="expression" dxfId="0" priority="36">
      <formula>K8&lt;0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7"/>
  <dimension ref="A1:A122"/>
  <sheetViews>
    <sheetView topLeftCell="A70" workbookViewId="0">
      <selection activeCell="D68" sqref="D68"/>
    </sheetView>
  </sheetViews>
  <sheetFormatPr defaultRowHeight="12.75" x14ac:dyDescent="0.2"/>
  <sheetData>
    <row r="1" spans="1:1" x14ac:dyDescent="0.2">
      <c r="A1" t="s">
        <v>199</v>
      </c>
    </row>
    <row r="2" spans="1:1" x14ac:dyDescent="0.2">
      <c r="A2" t="s">
        <v>200</v>
      </c>
    </row>
    <row r="3" spans="1:1" x14ac:dyDescent="0.2">
      <c r="A3" t="s">
        <v>201</v>
      </c>
    </row>
    <row r="4" spans="1:1" x14ac:dyDescent="0.2">
      <c r="A4" t="s">
        <v>202</v>
      </c>
    </row>
    <row r="5" spans="1:1" x14ac:dyDescent="0.2">
      <c r="A5" t="s">
        <v>203</v>
      </c>
    </row>
    <row r="6" spans="1:1" x14ac:dyDescent="0.2">
      <c r="A6" t="s">
        <v>204</v>
      </c>
    </row>
    <row r="7" spans="1:1" x14ac:dyDescent="0.2">
      <c r="A7" t="s">
        <v>205</v>
      </c>
    </row>
    <row r="8" spans="1:1" x14ac:dyDescent="0.2">
      <c r="A8" t="s">
        <v>206</v>
      </c>
    </row>
    <row r="9" spans="1:1" x14ac:dyDescent="0.2">
      <c r="A9" t="s">
        <v>207</v>
      </c>
    </row>
    <row r="10" spans="1:1" x14ac:dyDescent="0.2">
      <c r="A10" t="s">
        <v>208</v>
      </c>
    </row>
    <row r="11" spans="1:1" x14ac:dyDescent="0.2">
      <c r="A11" t="s">
        <v>209</v>
      </c>
    </row>
    <row r="12" spans="1:1" x14ac:dyDescent="0.2">
      <c r="A12" t="s">
        <v>210</v>
      </c>
    </row>
    <row r="13" spans="1:1" x14ac:dyDescent="0.2">
      <c r="A13" t="s">
        <v>211</v>
      </c>
    </row>
    <row r="14" spans="1:1" x14ac:dyDescent="0.2">
      <c r="A14" t="s">
        <v>212</v>
      </c>
    </row>
    <row r="15" spans="1:1" x14ac:dyDescent="0.2">
      <c r="A15" t="s">
        <v>213</v>
      </c>
    </row>
    <row r="16" spans="1:1" x14ac:dyDescent="0.2">
      <c r="A16" t="s">
        <v>214</v>
      </c>
    </row>
    <row r="17" spans="1:1" x14ac:dyDescent="0.2">
      <c r="A17" t="s">
        <v>215</v>
      </c>
    </row>
    <row r="18" spans="1:1" x14ac:dyDescent="0.2">
      <c r="A18" t="s">
        <v>216</v>
      </c>
    </row>
    <row r="19" spans="1:1" x14ac:dyDescent="0.2">
      <c r="A19" t="s">
        <v>217</v>
      </c>
    </row>
    <row r="20" spans="1:1" x14ac:dyDescent="0.2">
      <c r="A20" t="s">
        <v>218</v>
      </c>
    </row>
    <row r="21" spans="1:1" x14ac:dyDescent="0.2">
      <c r="A21" t="s">
        <v>219</v>
      </c>
    </row>
    <row r="22" spans="1:1" x14ac:dyDescent="0.2">
      <c r="A22" t="s">
        <v>220</v>
      </c>
    </row>
    <row r="23" spans="1:1" x14ac:dyDescent="0.2">
      <c r="A23" t="s">
        <v>221</v>
      </c>
    </row>
    <row r="24" spans="1:1" x14ac:dyDescent="0.2">
      <c r="A24" t="s">
        <v>222</v>
      </c>
    </row>
    <row r="25" spans="1:1" x14ac:dyDescent="0.2">
      <c r="A25" t="s">
        <v>179</v>
      </c>
    </row>
    <row r="26" spans="1:1" x14ac:dyDescent="0.2">
      <c r="A26" t="s">
        <v>180</v>
      </c>
    </row>
    <row r="27" spans="1:1" x14ac:dyDescent="0.2">
      <c r="A27" t="s">
        <v>181</v>
      </c>
    </row>
    <row r="28" spans="1:1" x14ac:dyDescent="0.2">
      <c r="A28" t="s">
        <v>182</v>
      </c>
    </row>
    <row r="29" spans="1:1" x14ac:dyDescent="0.2">
      <c r="A29" t="s">
        <v>183</v>
      </c>
    </row>
    <row r="30" spans="1:1" x14ac:dyDescent="0.2">
      <c r="A30" t="s">
        <v>223</v>
      </c>
    </row>
    <row r="31" spans="1:1" x14ac:dyDescent="0.2">
      <c r="A31" t="s">
        <v>224</v>
      </c>
    </row>
    <row r="32" spans="1:1" x14ac:dyDescent="0.2">
      <c r="A32" t="s">
        <v>225</v>
      </c>
    </row>
    <row r="33" spans="1:1" x14ac:dyDescent="0.2">
      <c r="A33" t="s">
        <v>226</v>
      </c>
    </row>
    <row r="34" spans="1:1" x14ac:dyDescent="0.2">
      <c r="A34" t="s">
        <v>227</v>
      </c>
    </row>
    <row r="35" spans="1:1" x14ac:dyDescent="0.2">
      <c r="A35" t="s">
        <v>228</v>
      </c>
    </row>
    <row r="36" spans="1:1" x14ac:dyDescent="0.2">
      <c r="A36" t="s">
        <v>229</v>
      </c>
    </row>
    <row r="37" spans="1:1" x14ac:dyDescent="0.2">
      <c r="A37" t="s">
        <v>230</v>
      </c>
    </row>
    <row r="38" spans="1:1" x14ac:dyDescent="0.2">
      <c r="A38" t="s">
        <v>231</v>
      </c>
    </row>
    <row r="39" spans="1:1" x14ac:dyDescent="0.2">
      <c r="A39" t="s">
        <v>232</v>
      </c>
    </row>
    <row r="40" spans="1:1" x14ac:dyDescent="0.2">
      <c r="A40" t="s">
        <v>233</v>
      </c>
    </row>
    <row r="41" spans="1:1" x14ac:dyDescent="0.2">
      <c r="A41" t="s">
        <v>184</v>
      </c>
    </row>
    <row r="42" spans="1:1" x14ac:dyDescent="0.2">
      <c r="A42" t="s">
        <v>234</v>
      </c>
    </row>
    <row r="43" spans="1:1" x14ac:dyDescent="0.2">
      <c r="A43" t="s">
        <v>235</v>
      </c>
    </row>
    <row r="44" spans="1:1" x14ac:dyDescent="0.2">
      <c r="A44" t="s">
        <v>236</v>
      </c>
    </row>
    <row r="45" spans="1:1" x14ac:dyDescent="0.2">
      <c r="A45" t="s">
        <v>237</v>
      </c>
    </row>
    <row r="46" spans="1:1" x14ac:dyDescent="0.2">
      <c r="A46" t="s">
        <v>238</v>
      </c>
    </row>
    <row r="47" spans="1:1" x14ac:dyDescent="0.2">
      <c r="A47" t="s">
        <v>239</v>
      </c>
    </row>
    <row r="48" spans="1:1" x14ac:dyDescent="0.2">
      <c r="A48" t="s">
        <v>240</v>
      </c>
    </row>
    <row r="49" spans="1:1" x14ac:dyDescent="0.2">
      <c r="A49" t="s">
        <v>241</v>
      </c>
    </row>
    <row r="50" spans="1:1" x14ac:dyDescent="0.2">
      <c r="A50" t="s">
        <v>242</v>
      </c>
    </row>
    <row r="51" spans="1:1" x14ac:dyDescent="0.2">
      <c r="A51" t="s">
        <v>243</v>
      </c>
    </row>
    <row r="52" spans="1:1" x14ac:dyDescent="0.2">
      <c r="A52" t="s">
        <v>244</v>
      </c>
    </row>
    <row r="53" spans="1:1" x14ac:dyDescent="0.2">
      <c r="A53" t="s">
        <v>245</v>
      </c>
    </row>
    <row r="54" spans="1:1" x14ac:dyDescent="0.2">
      <c r="A54" t="s">
        <v>246</v>
      </c>
    </row>
    <row r="55" spans="1:1" x14ac:dyDescent="0.2">
      <c r="A55" t="s">
        <v>247</v>
      </c>
    </row>
    <row r="56" spans="1:1" x14ac:dyDescent="0.2">
      <c r="A56" t="s">
        <v>248</v>
      </c>
    </row>
    <row r="57" spans="1:1" x14ac:dyDescent="0.2">
      <c r="A57" t="s">
        <v>249</v>
      </c>
    </row>
    <row r="58" spans="1:1" x14ac:dyDescent="0.2">
      <c r="A58" t="s">
        <v>250</v>
      </c>
    </row>
    <row r="59" spans="1:1" x14ac:dyDescent="0.2">
      <c r="A59" t="s">
        <v>251</v>
      </c>
    </row>
    <row r="60" spans="1:1" x14ac:dyDescent="0.2">
      <c r="A60" t="s">
        <v>252</v>
      </c>
    </row>
    <row r="61" spans="1:1" x14ac:dyDescent="0.2">
      <c r="A61" t="s">
        <v>185</v>
      </c>
    </row>
    <row r="62" spans="1:1" x14ac:dyDescent="0.2">
      <c r="A62" t="s">
        <v>253</v>
      </c>
    </row>
    <row r="63" spans="1:1" x14ac:dyDescent="0.2">
      <c r="A63" t="s">
        <v>254</v>
      </c>
    </row>
    <row r="64" spans="1:1" x14ac:dyDescent="0.2">
      <c r="A64" t="s">
        <v>255</v>
      </c>
    </row>
    <row r="65" spans="1:1" x14ac:dyDescent="0.2">
      <c r="A65" t="s">
        <v>256</v>
      </c>
    </row>
    <row r="66" spans="1:1" x14ac:dyDescent="0.2">
      <c r="A66" t="s">
        <v>257</v>
      </c>
    </row>
    <row r="67" spans="1:1" x14ac:dyDescent="0.2">
      <c r="A67" t="s">
        <v>258</v>
      </c>
    </row>
    <row r="68" spans="1:1" x14ac:dyDescent="0.2">
      <c r="A68" t="s">
        <v>259</v>
      </c>
    </row>
    <row r="69" spans="1:1" x14ac:dyDescent="0.2">
      <c r="A69" t="s">
        <v>186</v>
      </c>
    </row>
    <row r="70" spans="1:1" x14ac:dyDescent="0.2">
      <c r="A70" t="s">
        <v>187</v>
      </c>
    </row>
    <row r="71" spans="1:1" x14ac:dyDescent="0.2">
      <c r="A71" t="s">
        <v>188</v>
      </c>
    </row>
    <row r="72" spans="1:1" x14ac:dyDescent="0.2">
      <c r="A72" t="s">
        <v>260</v>
      </c>
    </row>
    <row r="73" spans="1:1" x14ac:dyDescent="0.2">
      <c r="A73" t="s">
        <v>261</v>
      </c>
    </row>
    <row r="74" spans="1:1" x14ac:dyDescent="0.2">
      <c r="A74" t="s">
        <v>262</v>
      </c>
    </row>
    <row r="75" spans="1:1" x14ac:dyDescent="0.2">
      <c r="A75" t="s">
        <v>263</v>
      </c>
    </row>
    <row r="76" spans="1:1" x14ac:dyDescent="0.2">
      <c r="A76" t="s">
        <v>264</v>
      </c>
    </row>
    <row r="77" spans="1:1" x14ac:dyDescent="0.2">
      <c r="A77" t="s">
        <v>265</v>
      </c>
    </row>
    <row r="78" spans="1:1" x14ac:dyDescent="0.2">
      <c r="A78" t="s">
        <v>266</v>
      </c>
    </row>
    <row r="79" spans="1:1" x14ac:dyDescent="0.2">
      <c r="A79" t="s">
        <v>267</v>
      </c>
    </row>
    <row r="80" spans="1:1" x14ac:dyDescent="0.2">
      <c r="A80" t="s">
        <v>268</v>
      </c>
    </row>
    <row r="81" spans="1:1" x14ac:dyDescent="0.2">
      <c r="A81" t="s">
        <v>269</v>
      </c>
    </row>
    <row r="82" spans="1:1" x14ac:dyDescent="0.2">
      <c r="A82" t="s">
        <v>270</v>
      </c>
    </row>
    <row r="83" spans="1:1" x14ac:dyDescent="0.2">
      <c r="A83" t="s">
        <v>271</v>
      </c>
    </row>
    <row r="84" spans="1:1" x14ac:dyDescent="0.2">
      <c r="A84" t="s">
        <v>272</v>
      </c>
    </row>
    <row r="85" spans="1:1" x14ac:dyDescent="0.2">
      <c r="A85" t="s">
        <v>273</v>
      </c>
    </row>
    <row r="86" spans="1:1" x14ac:dyDescent="0.2">
      <c r="A86" t="s">
        <v>274</v>
      </c>
    </row>
    <row r="87" spans="1:1" x14ac:dyDescent="0.2">
      <c r="A87" t="s">
        <v>275</v>
      </c>
    </row>
    <row r="88" spans="1:1" x14ac:dyDescent="0.2">
      <c r="A88" t="s">
        <v>276</v>
      </c>
    </row>
    <row r="89" spans="1:1" x14ac:dyDescent="0.2">
      <c r="A89" t="s">
        <v>277</v>
      </c>
    </row>
    <row r="90" spans="1:1" x14ac:dyDescent="0.2">
      <c r="A90" t="s">
        <v>278</v>
      </c>
    </row>
    <row r="91" spans="1:1" x14ac:dyDescent="0.2">
      <c r="A91" t="s">
        <v>279</v>
      </c>
    </row>
    <row r="92" spans="1:1" x14ac:dyDescent="0.2">
      <c r="A92" t="s">
        <v>280</v>
      </c>
    </row>
    <row r="93" spans="1:1" x14ac:dyDescent="0.2">
      <c r="A93" t="s">
        <v>281</v>
      </c>
    </row>
    <row r="94" spans="1:1" x14ac:dyDescent="0.2">
      <c r="A94" t="s">
        <v>282</v>
      </c>
    </row>
    <row r="95" spans="1:1" x14ac:dyDescent="0.2">
      <c r="A95" t="s">
        <v>283</v>
      </c>
    </row>
    <row r="96" spans="1:1" x14ac:dyDescent="0.2">
      <c r="A96" t="s">
        <v>189</v>
      </c>
    </row>
    <row r="97" spans="1:1" x14ac:dyDescent="0.2">
      <c r="A97" t="s">
        <v>190</v>
      </c>
    </row>
    <row r="98" spans="1:1" x14ac:dyDescent="0.2">
      <c r="A98" t="s">
        <v>191</v>
      </c>
    </row>
    <row r="99" spans="1:1" x14ac:dyDescent="0.2">
      <c r="A99" t="s">
        <v>192</v>
      </c>
    </row>
    <row r="100" spans="1:1" x14ac:dyDescent="0.2">
      <c r="A100" t="s">
        <v>284</v>
      </c>
    </row>
    <row r="101" spans="1:1" x14ac:dyDescent="0.2">
      <c r="A101" t="s">
        <v>285</v>
      </c>
    </row>
    <row r="102" spans="1:1" x14ac:dyDescent="0.2">
      <c r="A102" t="s">
        <v>286</v>
      </c>
    </row>
    <row r="103" spans="1:1" x14ac:dyDescent="0.2">
      <c r="A103" t="s">
        <v>287</v>
      </c>
    </row>
    <row r="104" spans="1:1" x14ac:dyDescent="0.2">
      <c r="A104" t="s">
        <v>288</v>
      </c>
    </row>
    <row r="105" spans="1:1" x14ac:dyDescent="0.2">
      <c r="A105" t="s">
        <v>289</v>
      </c>
    </row>
    <row r="106" spans="1:1" x14ac:dyDescent="0.2">
      <c r="A106" s="253" t="s">
        <v>314</v>
      </c>
    </row>
    <row r="107" spans="1:1" x14ac:dyDescent="0.2">
      <c r="A107" t="s">
        <v>290</v>
      </c>
    </row>
    <row r="108" spans="1:1" x14ac:dyDescent="0.2">
      <c r="A108" t="s">
        <v>291</v>
      </c>
    </row>
    <row r="109" spans="1:1" x14ac:dyDescent="0.2">
      <c r="A109" t="s">
        <v>292</v>
      </c>
    </row>
    <row r="110" spans="1:1" x14ac:dyDescent="0.2">
      <c r="A110" t="s">
        <v>193</v>
      </c>
    </row>
    <row r="111" spans="1:1" x14ac:dyDescent="0.2">
      <c r="A111" t="s">
        <v>194</v>
      </c>
    </row>
    <row r="112" spans="1:1" x14ac:dyDescent="0.2">
      <c r="A112" t="s">
        <v>293</v>
      </c>
    </row>
    <row r="113" spans="1:1" x14ac:dyDescent="0.2">
      <c r="A113" t="s">
        <v>294</v>
      </c>
    </row>
    <row r="114" spans="1:1" x14ac:dyDescent="0.2">
      <c r="A114" t="s">
        <v>295</v>
      </c>
    </row>
    <row r="115" spans="1:1" x14ac:dyDescent="0.2">
      <c r="A115" t="s">
        <v>296</v>
      </c>
    </row>
    <row r="116" spans="1:1" x14ac:dyDescent="0.2">
      <c r="A116" t="s">
        <v>297</v>
      </c>
    </row>
    <row r="117" spans="1:1" x14ac:dyDescent="0.2">
      <c r="A117" t="s">
        <v>195</v>
      </c>
    </row>
    <row r="118" spans="1:1" x14ac:dyDescent="0.2">
      <c r="A118" t="s">
        <v>298</v>
      </c>
    </row>
    <row r="119" spans="1:1" x14ac:dyDescent="0.2">
      <c r="A119" t="s">
        <v>196</v>
      </c>
    </row>
    <row r="120" spans="1:1" x14ac:dyDescent="0.2">
      <c r="A120" t="s">
        <v>197</v>
      </c>
    </row>
    <row r="121" spans="1:1" x14ac:dyDescent="0.2">
      <c r="A121" t="s">
        <v>299</v>
      </c>
    </row>
    <row r="122" spans="1:1" x14ac:dyDescent="0.2">
      <c r="A122" t="s">
        <v>300</v>
      </c>
    </row>
  </sheetData>
  <sortState xmlns:xlrd2="http://schemas.microsoft.com/office/spreadsheetml/2017/richdata2" ref="A1:A117">
    <sortCondition ref="A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10</vt:i4>
      </vt:variant>
    </vt:vector>
  </HeadingPairs>
  <TitlesOfParts>
    <vt:vector size="17" baseType="lpstr">
      <vt:lpstr>Contagem</vt:lpstr>
      <vt:lpstr>Funções</vt:lpstr>
      <vt:lpstr>Sumário</vt:lpstr>
      <vt:lpstr>Itens Não Mensuráveis</vt:lpstr>
      <vt:lpstr>INM - Regras</vt:lpstr>
      <vt:lpstr>Documentação de Legado</vt:lpstr>
      <vt:lpstr>Sistemas</vt:lpstr>
      <vt:lpstr>Funções!Area_de_impressao</vt:lpstr>
      <vt:lpstr>Sumário!Area_de_impressao</vt:lpstr>
      <vt:lpstr>CF</vt:lpstr>
      <vt:lpstr>Data</vt:lpstr>
      <vt:lpstr>Projeto</vt:lpstr>
      <vt:lpstr>Responsável</vt:lpstr>
      <vt:lpstr>Revisão</vt:lpstr>
      <vt:lpstr>Revisor</vt:lpstr>
      <vt:lpstr>Funções!Titulos_de_impressao</vt:lpstr>
      <vt:lpstr>UFPB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Modelo de Contagem de Pontos de Função</dc:title>
  <dc:creator>Raimundo SALES Neto e Azevedo F141569</dc:creator>
  <cp:lastModifiedBy>Victor</cp:lastModifiedBy>
  <cp:revision>1</cp:revision>
  <cp:lastPrinted>2008-05-09T18:03:14Z</cp:lastPrinted>
  <dcterms:created xsi:type="dcterms:W3CDTF">2001-07-23T10:50:56Z</dcterms:created>
  <dcterms:modified xsi:type="dcterms:W3CDTF">2022-07-14T17:52:55Z</dcterms:modified>
</cp:coreProperties>
</file>